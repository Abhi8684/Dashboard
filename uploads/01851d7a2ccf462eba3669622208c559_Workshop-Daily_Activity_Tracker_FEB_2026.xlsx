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9098791-6AC0-4E7E-B6E2-423D5802B4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12" r:id="rId1"/>
    <sheet name="Dash Board Final" sheetId="13" r:id="rId2"/>
    <sheet name="Man Hours" sheetId="15" r:id="rId3"/>
    <sheet name="Daily_Activity_Tracker" sheetId="11" r:id="rId4"/>
    <sheet name="Sheet3" sheetId="17" r:id="rId5"/>
  </sheets>
  <definedNames>
    <definedName name="_xlnm._FilterDatabase" localSheetId="3" hidden="1">Daily_Activity_Tracker!$A$1:$P$2074</definedName>
    <definedName name="DV_EquipmentType">#REF!</definedName>
    <definedName name="DV_ProjectName">#REF!</definedName>
    <definedName name="DV_Status">#REF!</definedName>
    <definedName name="DV_Technicians">#REF!</definedName>
  </definedNames>
  <calcPr calcId="191029" calcMode="manual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50" i="11" l="1"/>
  <c r="M2049" i="11"/>
  <c r="M2073" i="11"/>
  <c r="M2067" i="11"/>
  <c r="M2066" i="11"/>
  <c r="M2048" i="11"/>
  <c r="M2047" i="11"/>
  <c r="M2074" i="11"/>
  <c r="M2072" i="11"/>
  <c r="M2071" i="11"/>
  <c r="M2070" i="11"/>
  <c r="M2069" i="11"/>
  <c r="M2068" i="11"/>
  <c r="M2065" i="11"/>
  <c r="M2064" i="11"/>
  <c r="M2063" i="11"/>
  <c r="M2062" i="11"/>
  <c r="M2061" i="11"/>
  <c r="M2060" i="11"/>
  <c r="M2059" i="11"/>
  <c r="M2058" i="11"/>
  <c r="M2057" i="11"/>
  <c r="M2056" i="11"/>
  <c r="M2055" i="11"/>
  <c r="M2054" i="11"/>
  <c r="M2053" i="11"/>
  <c r="M2052" i="11"/>
  <c r="M2051" i="11"/>
  <c r="M2046" i="11"/>
  <c r="M2043" i="11"/>
  <c r="M2042" i="11"/>
  <c r="M2041" i="11"/>
  <c r="M2040" i="11"/>
  <c r="M2005" i="11"/>
  <c r="M2039" i="11"/>
  <c r="M2038" i="11"/>
  <c r="M2037" i="11"/>
  <c r="M2036" i="11"/>
  <c r="M2035" i="11"/>
  <c r="M2034" i="11"/>
  <c r="M2033" i="11"/>
  <c r="M2032" i="11"/>
  <c r="M2031" i="11"/>
  <c r="M2030" i="11"/>
  <c r="M2029" i="11"/>
  <c r="M2028" i="11"/>
  <c r="M2027" i="11"/>
  <c r="M2026" i="11"/>
  <c r="M2025" i="11"/>
  <c r="M2024" i="11"/>
  <c r="M2023" i="11"/>
  <c r="M2022" i="11"/>
  <c r="M2021" i="11"/>
  <c r="M2020" i="11"/>
  <c r="M2019" i="11"/>
  <c r="M2018" i="11"/>
  <c r="M2017" i="11"/>
  <c r="M2014" i="11"/>
  <c r="M2013" i="11"/>
  <c r="M2010" i="11"/>
  <c r="M2009" i="11"/>
  <c r="M2004" i="11"/>
  <c r="M2003" i="11"/>
  <c r="M2002" i="11"/>
  <c r="M2001" i="11"/>
  <c r="M1997" i="11"/>
  <c r="M2000" i="11"/>
  <c r="M1999" i="11"/>
  <c r="M1992" i="11"/>
  <c r="M1984" i="11"/>
  <c r="M1983" i="11"/>
  <c r="M1982" i="11"/>
  <c r="M1965" i="11"/>
  <c r="M1966" i="11"/>
  <c r="M1967" i="11"/>
  <c r="M1968" i="11"/>
  <c r="M1969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5" i="11"/>
  <c r="M1986" i="11"/>
  <c r="M1987" i="11"/>
  <c r="M1988" i="11"/>
  <c r="M1989" i="11"/>
  <c r="M1990" i="11"/>
  <c r="M1991" i="11"/>
  <c r="M1993" i="11"/>
  <c r="M1994" i="11"/>
  <c r="M1995" i="11"/>
  <c r="M1996" i="11"/>
  <c r="M1998" i="11"/>
  <c r="M1854" i="11"/>
  <c r="M1855" i="11"/>
  <c r="M1856" i="11"/>
  <c r="M1857" i="11"/>
  <c r="M1858" i="11"/>
  <c r="M1859" i="11"/>
  <c r="M1860" i="11"/>
  <c r="M1861" i="11"/>
  <c r="M1862" i="11"/>
  <c r="M1863" i="11"/>
  <c r="M1864" i="11"/>
  <c r="M1865" i="11"/>
  <c r="M1866" i="11"/>
  <c r="M1867" i="11"/>
  <c r="M1868" i="11"/>
  <c r="M1869" i="11"/>
  <c r="M1870" i="11"/>
  <c r="M1871" i="11"/>
  <c r="M1872" i="11"/>
  <c r="M1873" i="11"/>
  <c r="M1874" i="11"/>
  <c r="M1875" i="11"/>
  <c r="M1876" i="11"/>
  <c r="M1877" i="11"/>
  <c r="M1878" i="11"/>
  <c r="M1879" i="11"/>
  <c r="M1880" i="11"/>
  <c r="M1881" i="11"/>
  <c r="M1882" i="11"/>
  <c r="M1883" i="11"/>
  <c r="M1884" i="11"/>
  <c r="M1885" i="11"/>
  <c r="M1886" i="11"/>
  <c r="M1887" i="11"/>
  <c r="M1888" i="11"/>
  <c r="M1889" i="11"/>
  <c r="M1890" i="11"/>
  <c r="M1891" i="11"/>
  <c r="M1892" i="11"/>
  <c r="M1893" i="11"/>
  <c r="M1894" i="11"/>
  <c r="M1895" i="11"/>
  <c r="M1896" i="11"/>
  <c r="M1897" i="11"/>
  <c r="M1898" i="11"/>
  <c r="M1899" i="11"/>
  <c r="M1900" i="11"/>
  <c r="M1901" i="11"/>
  <c r="M1902" i="11"/>
  <c r="M1903" i="11"/>
  <c r="M1904" i="11"/>
  <c r="M1905" i="11"/>
  <c r="M1906" i="11"/>
  <c r="M1907" i="11"/>
  <c r="M1908" i="11"/>
  <c r="M1909" i="11"/>
  <c r="M1910" i="11"/>
  <c r="M1911" i="11"/>
  <c r="M1912" i="11"/>
  <c r="M1913" i="11"/>
  <c r="M1914" i="11"/>
  <c r="M1915" i="11"/>
  <c r="M1916" i="11"/>
  <c r="M1917" i="11"/>
  <c r="M1918" i="11"/>
  <c r="M1919" i="11"/>
  <c r="M1920" i="11"/>
  <c r="M1921" i="11"/>
  <c r="M1922" i="11"/>
  <c r="M1923" i="11"/>
  <c r="M1924" i="11"/>
  <c r="M1925" i="11"/>
  <c r="M1926" i="11"/>
  <c r="M1927" i="11"/>
  <c r="M1928" i="11"/>
  <c r="M1929" i="11"/>
  <c r="M1930" i="11"/>
  <c r="M1931" i="11"/>
  <c r="M1932" i="11"/>
  <c r="M1933" i="11"/>
  <c r="M1934" i="11"/>
  <c r="M1935" i="11"/>
  <c r="M1936" i="11"/>
  <c r="M1937" i="11"/>
  <c r="M1938" i="11"/>
  <c r="M1939" i="11"/>
  <c r="M1940" i="11"/>
  <c r="M1941" i="11"/>
  <c r="M1942" i="11"/>
  <c r="M1943" i="11"/>
  <c r="M1944" i="11"/>
  <c r="M1945" i="11"/>
  <c r="M1946" i="11"/>
  <c r="M1947" i="11"/>
  <c r="M1948" i="11"/>
  <c r="M1949" i="11"/>
  <c r="M1950" i="11"/>
  <c r="M1951" i="11"/>
  <c r="M1952" i="11"/>
  <c r="M1953" i="11"/>
  <c r="M1954" i="11"/>
  <c r="M1955" i="11"/>
  <c r="M1956" i="11"/>
  <c r="M1957" i="11"/>
  <c r="M1958" i="11"/>
  <c r="M1959" i="11"/>
  <c r="M1960" i="11"/>
  <c r="M266" i="11"/>
  <c r="M2" i="11" l="1"/>
  <c r="M3" i="11"/>
  <c r="M4" i="11"/>
  <c r="M5" i="11"/>
  <c r="M16" i="11" l="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1002" i="11"/>
  <c r="M1003" i="11"/>
  <c r="M1004" i="11"/>
  <c r="M1005" i="11"/>
  <c r="M1006" i="11"/>
  <c r="M1007" i="11"/>
  <c r="M1008" i="11"/>
  <c r="M1009" i="11"/>
  <c r="M1010" i="11"/>
  <c r="M1011" i="11"/>
  <c r="M1012" i="11"/>
  <c r="M1013" i="11"/>
  <c r="M1014" i="11"/>
  <c r="M1015" i="11"/>
  <c r="M1016" i="11"/>
  <c r="M1017" i="11"/>
  <c r="M1018" i="11"/>
  <c r="M1019" i="11"/>
  <c r="M1020" i="11"/>
  <c r="M1021" i="11"/>
  <c r="M1022" i="11"/>
  <c r="M1023" i="11"/>
  <c r="M1024" i="11"/>
  <c r="M1025" i="11"/>
  <c r="M1026" i="11"/>
  <c r="M1027" i="11"/>
  <c r="M1028" i="11"/>
  <c r="M1029" i="11"/>
  <c r="M1030" i="11"/>
  <c r="M1031" i="11"/>
  <c r="M1032" i="11"/>
  <c r="M1033" i="11"/>
  <c r="M1034" i="11"/>
  <c r="M1035" i="11"/>
  <c r="M1036" i="11"/>
  <c r="M1037" i="11"/>
  <c r="M1038" i="11"/>
  <c r="M1039" i="11"/>
  <c r="M1040" i="11"/>
  <c r="M1041" i="11"/>
  <c r="M1042" i="11"/>
  <c r="M1043" i="11"/>
  <c r="M1044" i="11"/>
  <c r="M1045" i="11"/>
  <c r="M1046" i="11"/>
  <c r="M1047" i="11"/>
  <c r="M1048" i="11"/>
  <c r="M1049" i="11"/>
  <c r="M1050" i="11"/>
  <c r="M1051" i="11"/>
  <c r="M1052" i="11"/>
  <c r="M1053" i="11"/>
  <c r="M1054" i="11"/>
  <c r="M1055" i="11"/>
  <c r="M1056" i="11"/>
  <c r="M1057" i="11"/>
  <c r="M1058" i="11"/>
  <c r="M1059" i="11"/>
  <c r="M1060" i="11"/>
  <c r="M1061" i="11"/>
  <c r="M1062" i="11"/>
  <c r="M1063" i="11"/>
  <c r="M1064" i="11"/>
  <c r="M1065" i="11"/>
  <c r="M1066" i="11"/>
  <c r="M1067" i="11"/>
  <c r="M1068" i="11"/>
  <c r="M1069" i="11"/>
  <c r="M1070" i="11"/>
  <c r="M1071" i="11"/>
  <c r="M1072" i="11"/>
  <c r="M1073" i="11"/>
  <c r="M1074" i="11"/>
  <c r="M1075" i="11"/>
  <c r="M1076" i="11"/>
  <c r="M1077" i="11"/>
  <c r="M1078" i="11"/>
  <c r="M1079" i="11"/>
  <c r="M1080" i="11"/>
  <c r="M1081" i="11"/>
  <c r="M1082" i="11"/>
  <c r="M1083" i="11"/>
  <c r="M1084" i="11"/>
  <c r="M1085" i="11"/>
  <c r="M1086" i="11"/>
  <c r="M1087" i="11"/>
  <c r="M1088" i="11"/>
  <c r="M1089" i="11"/>
  <c r="M1090" i="11"/>
  <c r="M1091" i="11"/>
  <c r="M1092" i="11"/>
  <c r="M1093" i="11"/>
  <c r="M1094" i="11"/>
  <c r="M1095" i="11"/>
  <c r="M1096" i="11"/>
  <c r="M1097" i="11"/>
  <c r="M1098" i="11"/>
  <c r="M1099" i="11"/>
  <c r="M1100" i="11"/>
  <c r="M1101" i="11"/>
  <c r="M1102" i="11"/>
  <c r="M1103" i="11"/>
  <c r="M1104" i="11"/>
  <c r="M1105" i="11"/>
  <c r="M1106" i="11"/>
  <c r="M1107" i="11"/>
  <c r="M1108" i="11"/>
  <c r="M1109" i="11"/>
  <c r="M1110" i="11"/>
  <c r="M1111" i="11"/>
  <c r="M1112" i="11"/>
  <c r="M1113" i="11"/>
  <c r="M1114" i="11"/>
  <c r="M1115" i="11"/>
  <c r="M1116" i="11"/>
  <c r="M1117" i="11"/>
  <c r="M1118" i="11"/>
  <c r="M1119" i="11"/>
  <c r="M1120" i="11"/>
  <c r="M1121" i="11"/>
  <c r="M1122" i="11"/>
  <c r="M1123" i="11"/>
  <c r="M1124" i="11"/>
  <c r="M1125" i="11"/>
  <c r="M1126" i="11"/>
  <c r="M1127" i="11"/>
  <c r="M1128" i="11"/>
  <c r="M1129" i="11"/>
  <c r="M1130" i="11"/>
  <c r="M1131" i="11"/>
  <c r="M1132" i="11"/>
  <c r="M1133" i="11"/>
  <c r="M1134" i="11"/>
  <c r="M1135" i="11"/>
  <c r="M1136" i="11"/>
  <c r="M1137" i="11"/>
  <c r="M1138" i="11"/>
  <c r="M1139" i="11"/>
  <c r="M1140" i="11"/>
  <c r="M1141" i="11"/>
  <c r="M1142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4" i="11"/>
  <c r="M1155" i="11"/>
  <c r="M1156" i="11"/>
  <c r="M1157" i="11"/>
  <c r="M1158" i="11"/>
  <c r="M1159" i="11"/>
  <c r="M1160" i="11"/>
  <c r="M1161" i="11"/>
  <c r="M1162" i="11"/>
  <c r="M1163" i="11"/>
  <c r="M1164" i="11"/>
  <c r="M1165" i="11"/>
  <c r="M1166" i="11"/>
  <c r="M1167" i="11"/>
  <c r="M1168" i="11"/>
  <c r="M1169" i="11"/>
  <c r="M1170" i="11"/>
  <c r="M1171" i="11"/>
  <c r="M1172" i="11"/>
  <c r="M1173" i="11"/>
  <c r="M1174" i="11"/>
  <c r="M1175" i="11"/>
  <c r="M1176" i="11"/>
  <c r="M1177" i="11"/>
  <c r="M1178" i="11"/>
  <c r="M1179" i="11"/>
  <c r="M1180" i="11"/>
  <c r="M1181" i="11"/>
  <c r="M1182" i="11"/>
  <c r="M1183" i="11"/>
  <c r="M1184" i="11"/>
  <c r="M1185" i="11"/>
  <c r="M1186" i="11"/>
  <c r="M1187" i="11"/>
  <c r="M1188" i="11"/>
  <c r="M1189" i="11"/>
  <c r="M1190" i="11"/>
  <c r="M1191" i="11"/>
  <c r="M1192" i="11"/>
  <c r="M1193" i="11"/>
  <c r="M1194" i="11"/>
  <c r="M1195" i="11"/>
  <c r="M1196" i="11"/>
  <c r="M1197" i="11"/>
  <c r="M1198" i="11"/>
  <c r="M1199" i="11"/>
  <c r="M1200" i="11"/>
  <c r="M1201" i="11"/>
  <c r="M1202" i="11"/>
  <c r="M1203" i="11"/>
  <c r="M1204" i="11"/>
  <c r="M1205" i="11"/>
  <c r="M1206" i="11"/>
  <c r="M1207" i="11"/>
  <c r="M1208" i="11"/>
  <c r="M1209" i="11"/>
  <c r="M1210" i="11"/>
  <c r="M1211" i="11"/>
  <c r="M1212" i="11"/>
  <c r="M1213" i="11"/>
  <c r="M1214" i="11"/>
  <c r="M1215" i="11"/>
  <c r="M1216" i="11"/>
  <c r="M1217" i="11"/>
  <c r="M1218" i="11"/>
  <c r="M1219" i="11"/>
  <c r="M1220" i="11"/>
  <c r="M1221" i="11"/>
  <c r="M1222" i="11"/>
  <c r="M1223" i="11"/>
  <c r="M1224" i="11"/>
  <c r="M1225" i="11"/>
  <c r="M1226" i="11"/>
  <c r="M1227" i="11"/>
  <c r="M1228" i="11"/>
  <c r="M1229" i="11"/>
  <c r="M1230" i="11"/>
  <c r="M1231" i="11"/>
  <c r="M1232" i="11"/>
  <c r="M1233" i="11"/>
  <c r="M1234" i="11"/>
  <c r="M1235" i="11"/>
  <c r="M1236" i="11"/>
  <c r="M1237" i="11"/>
  <c r="M1238" i="11"/>
  <c r="M1239" i="11"/>
  <c r="M1240" i="11"/>
  <c r="M1241" i="11"/>
  <c r="M1242" i="11"/>
  <c r="M1243" i="11"/>
  <c r="M1244" i="11"/>
  <c r="M1245" i="11"/>
  <c r="M1246" i="11"/>
  <c r="M1247" i="11"/>
  <c r="M1248" i="11"/>
  <c r="M1249" i="11"/>
  <c r="M1250" i="11"/>
  <c r="M1251" i="11"/>
  <c r="M1252" i="11"/>
  <c r="M1253" i="11"/>
  <c r="M1254" i="11"/>
  <c r="M1255" i="11"/>
  <c r="M1256" i="11"/>
  <c r="M1257" i="11"/>
  <c r="M1258" i="11"/>
  <c r="M1259" i="11"/>
  <c r="M1260" i="11"/>
  <c r="M1261" i="11"/>
  <c r="M1262" i="11"/>
  <c r="M1263" i="11"/>
  <c r="M1264" i="11"/>
  <c r="M1265" i="11"/>
  <c r="M1266" i="11"/>
  <c r="M1267" i="11"/>
  <c r="M1268" i="11"/>
  <c r="M1269" i="11"/>
  <c r="M1270" i="11"/>
  <c r="M1271" i="11"/>
  <c r="M1272" i="11"/>
  <c r="M1273" i="11"/>
  <c r="M1274" i="11"/>
  <c r="M1275" i="11"/>
  <c r="M1276" i="11"/>
  <c r="M1277" i="11"/>
  <c r="M1278" i="11"/>
  <c r="M1279" i="11"/>
  <c r="M1280" i="11"/>
  <c r="M1281" i="11"/>
  <c r="M1282" i="11"/>
  <c r="M1283" i="11"/>
  <c r="M1284" i="11"/>
  <c r="M1285" i="11"/>
  <c r="M1286" i="11"/>
  <c r="M1287" i="11"/>
  <c r="M1288" i="11"/>
  <c r="M1289" i="11"/>
  <c r="M1290" i="11"/>
  <c r="M1291" i="11"/>
  <c r="M1292" i="11"/>
  <c r="M1293" i="11"/>
  <c r="M1294" i="11"/>
  <c r="M1295" i="11"/>
  <c r="M1296" i="11"/>
  <c r="M1297" i="11"/>
  <c r="M1298" i="11"/>
  <c r="M1299" i="11"/>
  <c r="M1300" i="11"/>
  <c r="M1301" i="11"/>
  <c r="M1302" i="11"/>
  <c r="M1303" i="11"/>
  <c r="M1304" i="11"/>
  <c r="M1305" i="11"/>
  <c r="M1306" i="11"/>
  <c r="M1307" i="11"/>
  <c r="M1308" i="11"/>
  <c r="M1309" i="11"/>
  <c r="M1310" i="11"/>
  <c r="M1311" i="11"/>
  <c r="M1312" i="11"/>
  <c r="M1313" i="11"/>
  <c r="M1314" i="11"/>
  <c r="M1315" i="11"/>
  <c r="M1316" i="11"/>
  <c r="M1317" i="11"/>
  <c r="M1318" i="11"/>
  <c r="M1319" i="11"/>
  <c r="M1320" i="11"/>
  <c r="M1321" i="11"/>
  <c r="M1322" i="11"/>
  <c r="M1323" i="11"/>
  <c r="M1324" i="11"/>
  <c r="M1325" i="11"/>
  <c r="M1326" i="11"/>
  <c r="M1327" i="11"/>
  <c r="M1328" i="11"/>
  <c r="M1329" i="11"/>
  <c r="M1330" i="11"/>
  <c r="M1331" i="11"/>
  <c r="M1332" i="11"/>
  <c r="M1333" i="11"/>
  <c r="M1334" i="11"/>
  <c r="M1335" i="11"/>
  <c r="M1336" i="11"/>
  <c r="M1337" i="11"/>
  <c r="M1338" i="11"/>
  <c r="M1339" i="11"/>
  <c r="M1340" i="11"/>
  <c r="M1341" i="11"/>
  <c r="M1342" i="11"/>
  <c r="M1343" i="11"/>
  <c r="M1344" i="11"/>
  <c r="M1345" i="11"/>
  <c r="M1346" i="11"/>
  <c r="M1347" i="11"/>
  <c r="M1348" i="11"/>
  <c r="M1349" i="11"/>
  <c r="M1350" i="11"/>
  <c r="M1351" i="11"/>
  <c r="M1352" i="11"/>
  <c r="M1353" i="11"/>
  <c r="M1354" i="11"/>
  <c r="M1355" i="11"/>
  <c r="M1356" i="11"/>
  <c r="M1357" i="11"/>
  <c r="M1358" i="11"/>
  <c r="M1359" i="11"/>
  <c r="M1360" i="11"/>
  <c r="M1361" i="11"/>
  <c r="M1362" i="11"/>
  <c r="M1363" i="11"/>
  <c r="M1364" i="11"/>
  <c r="M1365" i="11"/>
  <c r="M1366" i="11"/>
  <c r="M1367" i="11"/>
  <c r="M1368" i="11"/>
  <c r="M1369" i="11"/>
  <c r="M1370" i="11"/>
  <c r="M1371" i="11"/>
  <c r="M1372" i="11"/>
  <c r="M1373" i="11"/>
  <c r="M1374" i="11"/>
  <c r="M1375" i="11"/>
  <c r="M1376" i="11"/>
  <c r="M1377" i="11"/>
  <c r="M1378" i="11"/>
  <c r="M1379" i="11"/>
  <c r="M1380" i="11"/>
  <c r="M1381" i="11"/>
  <c r="M1382" i="11"/>
  <c r="M1383" i="11"/>
  <c r="M1384" i="11"/>
  <c r="M1385" i="11"/>
  <c r="M1386" i="11"/>
  <c r="M1387" i="11"/>
  <c r="M1388" i="11"/>
  <c r="M1389" i="11"/>
  <c r="M1390" i="11"/>
  <c r="M1391" i="11"/>
  <c r="M1392" i="11"/>
  <c r="M1393" i="11"/>
  <c r="M1394" i="11"/>
  <c r="M1395" i="11"/>
  <c r="M1396" i="11"/>
  <c r="M1397" i="11"/>
  <c r="M1398" i="11"/>
  <c r="M1399" i="11"/>
  <c r="M1400" i="11"/>
  <c r="M1401" i="11"/>
  <c r="M1402" i="11"/>
  <c r="M1403" i="11"/>
  <c r="M1404" i="11"/>
  <c r="M1405" i="11"/>
  <c r="M1406" i="11"/>
  <c r="M1407" i="11"/>
  <c r="M1408" i="11"/>
  <c r="M1409" i="11"/>
  <c r="M1410" i="11"/>
  <c r="M1411" i="11"/>
  <c r="M1412" i="11"/>
  <c r="M1413" i="11"/>
  <c r="M1414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27" i="11"/>
  <c r="M1428" i="11"/>
  <c r="M1429" i="11"/>
  <c r="M1430" i="11"/>
  <c r="M1431" i="11"/>
  <c r="M1432" i="11"/>
  <c r="M1433" i="11"/>
  <c r="M1434" i="11"/>
  <c r="M1435" i="11"/>
  <c r="M1436" i="11"/>
  <c r="M1437" i="11"/>
  <c r="M1438" i="11"/>
  <c r="M1439" i="11"/>
  <c r="M1440" i="11"/>
  <c r="M1441" i="11"/>
  <c r="M1442" i="11"/>
  <c r="M1443" i="11"/>
  <c r="M1444" i="11"/>
  <c r="M1445" i="11"/>
  <c r="M1446" i="11"/>
  <c r="M1447" i="11"/>
  <c r="M1448" i="11"/>
  <c r="M1449" i="11"/>
  <c r="M1450" i="11"/>
  <c r="M1451" i="11"/>
  <c r="M1452" i="11"/>
  <c r="M1453" i="11"/>
  <c r="M1454" i="11"/>
  <c r="M1455" i="11"/>
  <c r="M1456" i="11"/>
  <c r="M1457" i="11"/>
  <c r="M1458" i="11"/>
  <c r="M1459" i="11"/>
  <c r="M1460" i="11"/>
  <c r="M1461" i="11"/>
  <c r="M1462" i="11"/>
  <c r="M1463" i="11"/>
  <c r="M1464" i="11"/>
  <c r="M1465" i="11"/>
  <c r="M1466" i="11"/>
  <c r="M1467" i="11"/>
  <c r="M1468" i="11"/>
  <c r="M1469" i="11"/>
  <c r="M1470" i="11"/>
  <c r="M1471" i="11"/>
  <c r="M1472" i="11"/>
  <c r="M1473" i="11"/>
  <c r="M1474" i="11"/>
  <c r="M1475" i="11"/>
  <c r="M1476" i="11"/>
  <c r="M1477" i="11"/>
  <c r="M1478" i="11"/>
  <c r="M1479" i="11"/>
  <c r="M1480" i="11"/>
  <c r="M1481" i="11"/>
  <c r="M1482" i="11"/>
  <c r="M1483" i="11"/>
  <c r="M1484" i="11"/>
  <c r="M1485" i="11"/>
  <c r="M1486" i="11"/>
  <c r="M1487" i="11"/>
  <c r="M1488" i="11"/>
  <c r="M1489" i="11"/>
  <c r="M1490" i="11"/>
  <c r="M1491" i="11"/>
  <c r="M1492" i="11"/>
  <c r="M1493" i="11"/>
  <c r="M1494" i="11"/>
  <c r="M1495" i="11"/>
  <c r="M1496" i="11"/>
  <c r="M1497" i="11"/>
  <c r="M1498" i="11"/>
  <c r="M1499" i="11"/>
  <c r="M1500" i="11"/>
  <c r="M1501" i="11"/>
  <c r="M1502" i="11"/>
  <c r="M1503" i="11"/>
  <c r="M1504" i="11"/>
  <c r="M1505" i="11"/>
  <c r="M1506" i="11"/>
  <c r="M1507" i="11"/>
  <c r="M1508" i="11"/>
  <c r="M1509" i="11"/>
  <c r="M1510" i="11"/>
  <c r="M1511" i="11"/>
  <c r="M1512" i="11"/>
  <c r="M1513" i="11"/>
  <c r="M1514" i="11"/>
  <c r="M1515" i="11"/>
  <c r="M1516" i="11"/>
  <c r="M1517" i="11"/>
  <c r="M1518" i="11"/>
  <c r="M1519" i="11"/>
  <c r="M1520" i="11"/>
  <c r="M1521" i="11"/>
  <c r="M1522" i="11"/>
  <c r="M1523" i="11"/>
  <c r="M1524" i="11"/>
  <c r="M1525" i="11"/>
  <c r="M1526" i="11"/>
  <c r="M1527" i="11"/>
  <c r="M1528" i="11"/>
  <c r="M1529" i="11"/>
  <c r="M1530" i="11"/>
  <c r="M1531" i="11"/>
  <c r="M1532" i="11"/>
  <c r="M1533" i="11"/>
  <c r="M1534" i="11"/>
  <c r="M1535" i="11"/>
  <c r="M1536" i="11"/>
  <c r="M1537" i="11"/>
  <c r="M1538" i="11"/>
  <c r="M1539" i="11"/>
  <c r="M1540" i="11"/>
  <c r="M1541" i="11"/>
  <c r="M1542" i="11"/>
  <c r="M1543" i="11"/>
  <c r="M1544" i="11"/>
  <c r="M1545" i="11"/>
  <c r="M1546" i="11"/>
  <c r="M1547" i="11"/>
  <c r="M1548" i="11"/>
  <c r="M1549" i="11"/>
  <c r="M1550" i="11"/>
  <c r="M1551" i="11"/>
  <c r="M1552" i="11"/>
  <c r="M1553" i="11"/>
  <c r="M1554" i="11"/>
  <c r="M1555" i="11"/>
  <c r="M1556" i="11"/>
  <c r="M1557" i="11"/>
  <c r="M1558" i="11"/>
  <c r="M1559" i="11"/>
  <c r="M1560" i="11"/>
  <c r="M1561" i="11"/>
  <c r="M1562" i="11"/>
  <c r="M1563" i="11"/>
  <c r="M1564" i="11"/>
  <c r="M1565" i="11"/>
  <c r="M1566" i="11"/>
  <c r="M1567" i="11"/>
  <c r="M1568" i="11"/>
  <c r="M1569" i="11"/>
  <c r="M1570" i="11"/>
  <c r="M1571" i="11"/>
  <c r="M1572" i="11"/>
  <c r="M1573" i="11"/>
  <c r="M1574" i="11"/>
  <c r="M1575" i="11"/>
  <c r="M1576" i="11"/>
  <c r="M1577" i="11"/>
  <c r="M1578" i="11"/>
  <c r="M1579" i="11"/>
  <c r="M1580" i="11"/>
  <c r="M1581" i="11"/>
  <c r="M1582" i="11"/>
  <c r="M1583" i="11"/>
  <c r="M1584" i="11"/>
  <c r="M1585" i="11"/>
  <c r="M1586" i="11"/>
  <c r="M1587" i="11"/>
  <c r="M1588" i="11"/>
  <c r="M1589" i="11"/>
  <c r="M1590" i="11"/>
  <c r="M1591" i="11"/>
  <c r="M1592" i="11"/>
  <c r="M1593" i="11"/>
  <c r="M1594" i="11"/>
  <c r="M1595" i="11"/>
  <c r="M1596" i="11"/>
  <c r="M1597" i="11"/>
  <c r="M1598" i="11"/>
  <c r="M1599" i="11"/>
  <c r="M1600" i="11"/>
  <c r="M1601" i="11"/>
  <c r="M1602" i="11"/>
  <c r="M1603" i="11"/>
  <c r="M1604" i="11"/>
  <c r="M1605" i="11"/>
  <c r="M1606" i="11"/>
  <c r="M1607" i="11"/>
  <c r="M1608" i="11"/>
  <c r="M1609" i="11"/>
  <c r="M1610" i="11"/>
  <c r="M1611" i="11"/>
  <c r="M1612" i="11"/>
  <c r="M1613" i="11"/>
  <c r="M1614" i="11"/>
  <c r="M1615" i="11"/>
  <c r="M1616" i="11"/>
  <c r="M1617" i="11"/>
  <c r="M1618" i="11"/>
  <c r="M1619" i="11"/>
  <c r="M1620" i="11"/>
  <c r="M1621" i="11"/>
  <c r="M1622" i="11"/>
  <c r="M1623" i="11"/>
  <c r="M1624" i="11"/>
  <c r="M1625" i="11"/>
  <c r="M1626" i="11"/>
  <c r="M1627" i="11"/>
  <c r="M1628" i="11"/>
  <c r="M1629" i="11"/>
  <c r="M1630" i="11"/>
  <c r="M1631" i="11"/>
  <c r="M1632" i="11"/>
  <c r="M1633" i="11"/>
  <c r="M1634" i="11"/>
  <c r="M1635" i="11"/>
  <c r="M1636" i="11"/>
  <c r="M1637" i="11"/>
  <c r="M1638" i="11"/>
  <c r="M1639" i="11"/>
  <c r="M1640" i="11"/>
  <c r="M1641" i="11"/>
  <c r="M1642" i="11"/>
  <c r="M1643" i="11"/>
  <c r="M1644" i="11"/>
  <c r="M1645" i="11"/>
  <c r="M1646" i="11"/>
  <c r="M1647" i="11"/>
  <c r="M1648" i="11"/>
  <c r="M1649" i="11"/>
  <c r="M1650" i="11"/>
  <c r="M1651" i="11"/>
  <c r="M1652" i="11"/>
  <c r="M1653" i="11"/>
  <c r="M1654" i="11"/>
  <c r="M1655" i="11"/>
  <c r="M1656" i="11"/>
  <c r="M1657" i="11"/>
  <c r="M1658" i="11"/>
  <c r="M1659" i="11"/>
  <c r="M1660" i="11"/>
  <c r="M1661" i="11"/>
  <c r="M1662" i="11"/>
  <c r="M1663" i="11"/>
  <c r="M1664" i="11"/>
  <c r="M1665" i="11"/>
  <c r="M1666" i="11"/>
  <c r="M1667" i="11"/>
  <c r="M1668" i="11"/>
  <c r="M1669" i="11"/>
  <c r="M1670" i="11"/>
  <c r="M1671" i="11"/>
  <c r="M1672" i="11"/>
  <c r="M1673" i="11"/>
  <c r="M1674" i="11"/>
  <c r="M1675" i="11"/>
  <c r="M1676" i="11"/>
  <c r="M1677" i="11"/>
  <c r="M1678" i="11"/>
  <c r="M1679" i="11"/>
  <c r="M1680" i="11"/>
  <c r="M1681" i="11"/>
  <c r="M1682" i="11"/>
  <c r="M1683" i="11"/>
  <c r="M1684" i="11"/>
  <c r="M1685" i="11"/>
  <c r="M1686" i="11"/>
  <c r="M1687" i="11"/>
  <c r="M1688" i="11"/>
  <c r="M1689" i="11"/>
  <c r="M1690" i="11"/>
  <c r="M1691" i="11"/>
  <c r="M1692" i="11"/>
  <c r="M1693" i="11"/>
  <c r="M1694" i="11"/>
  <c r="M1695" i="11"/>
  <c r="M1696" i="11"/>
  <c r="M1697" i="11"/>
  <c r="M1698" i="11"/>
  <c r="M1699" i="11"/>
  <c r="M1700" i="11"/>
  <c r="M1701" i="11"/>
  <c r="M1702" i="11"/>
  <c r="M1703" i="11"/>
  <c r="M1704" i="11"/>
  <c r="M1705" i="11"/>
  <c r="M1706" i="11"/>
  <c r="M1707" i="11"/>
  <c r="M1708" i="11"/>
  <c r="M1709" i="11"/>
  <c r="M1710" i="11"/>
  <c r="M1711" i="11"/>
  <c r="M1712" i="11"/>
  <c r="M1713" i="11"/>
  <c r="M1714" i="11"/>
  <c r="M1715" i="11"/>
  <c r="M1716" i="11"/>
  <c r="M1717" i="11"/>
  <c r="M1718" i="11"/>
  <c r="M1719" i="11"/>
  <c r="M1720" i="11"/>
  <c r="M1721" i="11"/>
  <c r="M1722" i="11"/>
  <c r="M1723" i="11"/>
  <c r="M1724" i="11"/>
  <c r="M1725" i="11"/>
  <c r="M1726" i="11"/>
  <c r="M1727" i="11"/>
  <c r="M1728" i="11"/>
  <c r="M1729" i="11"/>
  <c r="M1730" i="11"/>
  <c r="M1731" i="11"/>
  <c r="M1732" i="11"/>
  <c r="M1733" i="11"/>
  <c r="M1734" i="11"/>
  <c r="M1735" i="11"/>
  <c r="M1736" i="11"/>
  <c r="M1737" i="11"/>
  <c r="M1738" i="11"/>
  <c r="M1739" i="11"/>
  <c r="M1740" i="11"/>
  <c r="M1741" i="11"/>
  <c r="M1742" i="11"/>
  <c r="M1743" i="11"/>
  <c r="M1744" i="11"/>
  <c r="M1745" i="11"/>
  <c r="M1746" i="11"/>
  <c r="M1747" i="11"/>
  <c r="M1748" i="11"/>
  <c r="M1749" i="11"/>
  <c r="M1750" i="11"/>
  <c r="M1751" i="11"/>
  <c r="M1752" i="11"/>
  <c r="M1753" i="11"/>
  <c r="M1754" i="11"/>
  <c r="M1755" i="11"/>
  <c r="M1756" i="11"/>
  <c r="M1757" i="11"/>
  <c r="M1758" i="11"/>
  <c r="M1759" i="11"/>
  <c r="M1760" i="11"/>
  <c r="M1761" i="11"/>
  <c r="M1762" i="11"/>
  <c r="M1763" i="11"/>
  <c r="M1764" i="11"/>
  <c r="M1765" i="11"/>
  <c r="M1766" i="11"/>
  <c r="M1767" i="11"/>
  <c r="M1768" i="11"/>
  <c r="M1769" i="11"/>
  <c r="M1770" i="11"/>
  <c r="M1771" i="11"/>
  <c r="M1772" i="11"/>
  <c r="M1773" i="11"/>
  <c r="M1774" i="11"/>
  <c r="M1775" i="11"/>
  <c r="M1776" i="11"/>
  <c r="M1777" i="11"/>
  <c r="M1778" i="11"/>
  <c r="M1779" i="11"/>
  <c r="M1780" i="11"/>
  <c r="M1781" i="11"/>
  <c r="M1782" i="11"/>
  <c r="M1783" i="11"/>
  <c r="M1784" i="11"/>
  <c r="M1785" i="11"/>
  <c r="M1786" i="11"/>
  <c r="M1787" i="11"/>
  <c r="M1788" i="11"/>
  <c r="M1789" i="11"/>
  <c r="M1790" i="11"/>
  <c r="M1791" i="11"/>
  <c r="M1792" i="11"/>
  <c r="M1793" i="11"/>
  <c r="M1794" i="11"/>
  <c r="M1795" i="11"/>
  <c r="M1796" i="11"/>
  <c r="M1797" i="11"/>
  <c r="M1798" i="11"/>
  <c r="M1799" i="11"/>
  <c r="M1800" i="11"/>
  <c r="M1801" i="11"/>
  <c r="M1802" i="11"/>
  <c r="M1803" i="11"/>
  <c r="M1804" i="11"/>
  <c r="M1805" i="11"/>
  <c r="M1806" i="11"/>
  <c r="M1807" i="11"/>
  <c r="M1808" i="11"/>
  <c r="M1809" i="11"/>
  <c r="M1810" i="11"/>
  <c r="M1811" i="11"/>
  <c r="M1812" i="11"/>
  <c r="M1813" i="11"/>
  <c r="M1814" i="11"/>
  <c r="M1815" i="11"/>
  <c r="M1816" i="11"/>
  <c r="M1817" i="11"/>
  <c r="M1818" i="11"/>
  <c r="M1819" i="11"/>
  <c r="M1820" i="11"/>
  <c r="M1821" i="11"/>
  <c r="M1822" i="11"/>
  <c r="M1823" i="11"/>
  <c r="M1824" i="11"/>
  <c r="M1825" i="11"/>
  <c r="M1826" i="11"/>
  <c r="M1827" i="11"/>
  <c r="M1828" i="11"/>
  <c r="M1829" i="11"/>
  <c r="M1830" i="11"/>
  <c r="M1831" i="11"/>
  <c r="M1832" i="11"/>
  <c r="M1833" i="11"/>
  <c r="M1834" i="11"/>
  <c r="M1835" i="11"/>
  <c r="M1836" i="11"/>
  <c r="M1837" i="11"/>
  <c r="M1838" i="11"/>
  <c r="M1839" i="11"/>
  <c r="M1840" i="11"/>
  <c r="M1841" i="11"/>
  <c r="M1842" i="11"/>
  <c r="M1843" i="11"/>
  <c r="M1844" i="11"/>
  <c r="M1845" i="11"/>
  <c r="M1846" i="11"/>
  <c r="M1847" i="11"/>
  <c r="M1848" i="11"/>
  <c r="M1849" i="11"/>
  <c r="M1850" i="11"/>
  <c r="M1851" i="11"/>
  <c r="M1852" i="11"/>
  <c r="M1853" i="11"/>
  <c r="M6" i="11"/>
  <c r="M7" i="11"/>
  <c r="M8" i="11"/>
  <c r="M9" i="11"/>
  <c r="M10" i="11"/>
  <c r="M11" i="11"/>
  <c r="M12" i="11"/>
  <c r="M13" i="11"/>
  <c r="M14" i="11"/>
  <c r="M15" i="11"/>
  <c r="I3" i="11"/>
  <c r="I2" i="11"/>
</calcChain>
</file>

<file path=xl/sharedStrings.xml><?xml version="1.0" encoding="utf-8"?>
<sst xmlns="http://schemas.openxmlformats.org/spreadsheetml/2006/main" count="10346" uniqueCount="1363">
  <si>
    <t>Completed</t>
  </si>
  <si>
    <t>Ongoing</t>
  </si>
  <si>
    <t>Date</t>
  </si>
  <si>
    <t>Remarks</t>
  </si>
  <si>
    <t>Employee Name</t>
  </si>
  <si>
    <t>Fleet Number</t>
  </si>
  <si>
    <t>Task Description</t>
  </si>
  <si>
    <t>Jagdev</t>
  </si>
  <si>
    <t>Generator</t>
  </si>
  <si>
    <t>Suraj</t>
  </si>
  <si>
    <t>Area</t>
  </si>
  <si>
    <t>Current Status</t>
  </si>
  <si>
    <t>Asif</t>
  </si>
  <si>
    <t>Jahir</t>
  </si>
  <si>
    <t>Martino</t>
  </si>
  <si>
    <t>James</t>
  </si>
  <si>
    <t>Ismail</t>
  </si>
  <si>
    <t>Bharathesha</t>
  </si>
  <si>
    <t>Aman</t>
  </si>
  <si>
    <t>Bay 6 -
Generator</t>
  </si>
  <si>
    <t>Bay 4&amp;5 - 
Pumps</t>
  </si>
  <si>
    <t>Electrical</t>
  </si>
  <si>
    <t>Gihan</t>
  </si>
  <si>
    <t>Suleman</t>
  </si>
  <si>
    <t>Panel</t>
  </si>
  <si>
    <t>Venu</t>
  </si>
  <si>
    <t>Fahad</t>
  </si>
  <si>
    <t>Other</t>
  </si>
  <si>
    <t>Suresh S</t>
  </si>
  <si>
    <t>Drill Rig</t>
  </si>
  <si>
    <t>Hold</t>
  </si>
  <si>
    <t>Shaji</t>
  </si>
  <si>
    <t>Tank</t>
  </si>
  <si>
    <t>Vinod</t>
  </si>
  <si>
    <t>Afsar</t>
  </si>
  <si>
    <t>Imran</t>
  </si>
  <si>
    <t>Charith</t>
  </si>
  <si>
    <t>Faisal</t>
  </si>
  <si>
    <t>Stator rewinding</t>
  </si>
  <si>
    <t>Task Start Date</t>
  </si>
  <si>
    <t>Planned Completion Date</t>
  </si>
  <si>
    <t>Actual Completion Date</t>
  </si>
  <si>
    <t>Submersible pumps</t>
  </si>
  <si>
    <t>Submersible pump</t>
  </si>
  <si>
    <t>Diesel Driven CP Pump</t>
  </si>
  <si>
    <t>Task Start Time(Today)</t>
  </si>
  <si>
    <t>Task End Time(Today)</t>
  </si>
  <si>
    <t>Mintu</t>
  </si>
  <si>
    <t>Shakeel</t>
  </si>
  <si>
    <t>Donal</t>
  </si>
  <si>
    <t>Lijo</t>
  </si>
  <si>
    <t>Shahanawaz</t>
  </si>
  <si>
    <t>CP150-218</t>
  </si>
  <si>
    <t>SPB95-001</t>
  </si>
  <si>
    <t>Borehole pump</t>
  </si>
  <si>
    <t>Saqib</t>
  </si>
  <si>
    <t>Ghiyan</t>
  </si>
  <si>
    <t>CP150-002</t>
  </si>
  <si>
    <t>PT175-522</t>
  </si>
  <si>
    <t>Pump assembling</t>
  </si>
  <si>
    <t>PT175-515</t>
  </si>
  <si>
    <t>System work for work orders &amp; IDT</t>
  </si>
  <si>
    <t>GEN250-043</t>
  </si>
  <si>
    <t>SM1002-140</t>
  </si>
  <si>
    <t>CD300M-03</t>
  </si>
  <si>
    <t>Contractor dewatering Pump</t>
  </si>
  <si>
    <t>2X CP150</t>
  </si>
  <si>
    <t xml:space="preserve">vaccum Pump repair </t>
  </si>
  <si>
    <t xml:space="preserve">Pump repair &amp; water test </t>
  </si>
  <si>
    <t>Engine prepapre for assembling, gear dismantled &amp; repairing.</t>
  </si>
  <si>
    <t>Engine repair &amp; water testing</t>
  </si>
  <si>
    <t>GEN200-014</t>
  </si>
  <si>
    <t>Oil service</t>
  </si>
  <si>
    <t>GEN250-051</t>
  </si>
  <si>
    <t>Oil service, Silencer fabrication work.</t>
  </si>
  <si>
    <t>GEN20-002</t>
  </si>
  <si>
    <t>FIP &amp; injector filing, fuel tank cleaning, valave guard &amp; gegenral repair</t>
  </si>
  <si>
    <t>GENJ80-027</t>
  </si>
  <si>
    <t xml:space="preserve"> fuel tank cleaning, valave guaging &amp; genenral repair</t>
  </si>
  <si>
    <t>Power &amp; control wiring</t>
  </si>
  <si>
    <t>SPB22.037</t>
  </si>
  <si>
    <t>Repairing &amp; testing</t>
  </si>
  <si>
    <t>General work</t>
  </si>
  <si>
    <t>Lock holder &amp; alarm system, cutting &amp; drilling</t>
  </si>
  <si>
    <t>Ac alternator inspection &amp; servicing assembling</t>
  </si>
  <si>
    <t>2.2kw</t>
  </si>
  <si>
    <t>25nos pump inspection checking &amp; socket fixing &amp; number tagging</t>
  </si>
  <si>
    <t>SM1002/SM530</t>
  </si>
  <si>
    <t>3nos pumps water test</t>
  </si>
  <si>
    <t>CP1212S15-015</t>
  </si>
  <si>
    <t>Float &amp; vaccum pump repairing, vaccum testing, NRV repairing</t>
  </si>
  <si>
    <t>Injector and turbo installation and top cover gasket replacement</t>
  </si>
  <si>
    <t>CP150V-001</t>
  </si>
  <si>
    <t>Pump dismantle</t>
  </si>
  <si>
    <t>GEN7-008</t>
  </si>
  <si>
    <t>General repair, ac alternator service, dc charging,  oil service</t>
  </si>
  <si>
    <t>CP150-676</t>
  </si>
  <si>
    <t>ACT12-27/28</t>
  </si>
  <si>
    <t>Coolant &amp; oil filling, gauges &amp; connections installation.</t>
  </si>
  <si>
    <t>CD300M-033</t>
  </si>
  <si>
    <t>Water testing &amp; removing from bay</t>
  </si>
  <si>
    <t>Allah Ditta</t>
  </si>
  <si>
    <t>CP220S12SP-029/031/032</t>
  </si>
  <si>
    <t>Inspection, fuel filling connections, Starting PDI</t>
  </si>
  <si>
    <t>GEN250-044</t>
  </si>
  <si>
    <t>GEN150-053</t>
  </si>
  <si>
    <t>General repair, fuel tank cleaning, coolant change, valve gauging</t>
  </si>
  <si>
    <t>Saqib khan</t>
  </si>
  <si>
    <t>Load testing &amp; cable connection</t>
  </si>
  <si>
    <t>Enclosure cutting &amp; door wiring</t>
  </si>
  <si>
    <t>Electrical section</t>
  </si>
  <si>
    <t>Panel section wiring &amp; light fixing.</t>
  </si>
  <si>
    <t>Cylinder head repairing</t>
  </si>
  <si>
    <t>CP150-033</t>
  </si>
  <si>
    <t>vaccum Pump repair &amp; test</t>
  </si>
  <si>
    <t>Engine assembling</t>
  </si>
  <si>
    <t>Pump dismantling &amp; prepare for assembling</t>
  </si>
  <si>
    <t xml:space="preserve">System work </t>
  </si>
  <si>
    <t>Suhaib</t>
  </si>
  <si>
    <t>13nos pump inspection checking &amp; socket fixing &amp; number tagging</t>
  </si>
  <si>
    <t>SM1002</t>
  </si>
  <si>
    <t xml:space="preserve"> pumps water test</t>
  </si>
  <si>
    <t>ACT12-29/30</t>
  </si>
  <si>
    <t>CP1212-006</t>
  </si>
  <si>
    <t>Inspection, vaccum testing</t>
  </si>
  <si>
    <t>Water testing</t>
  </si>
  <si>
    <t>Engine repair &amp; test</t>
  </si>
  <si>
    <t>Ventilation fan fixing</t>
  </si>
  <si>
    <t>DB-289</t>
  </si>
  <si>
    <t>Reparing &amp; safety cover making</t>
  </si>
  <si>
    <t>FIP, injector &amp; radiator remove</t>
  </si>
  <si>
    <t>GEN250-012</t>
  </si>
  <si>
    <t>DSE configuration &amp; load test</t>
  </si>
  <si>
    <t>GENJ135-002</t>
  </si>
  <si>
    <t>Ac alternator remove &amp; service</t>
  </si>
  <si>
    <t>Allah ditta</t>
  </si>
  <si>
    <t>Installation on test bay &amp; testing</t>
  </si>
  <si>
    <t>Vaccum testing &amp; fuel line replacement</t>
  </si>
  <si>
    <t>General work with quality controller</t>
  </si>
  <si>
    <t>General work &amp; PDI flowfinity</t>
  </si>
  <si>
    <t>IDT &amp; system work</t>
  </si>
  <si>
    <t>GEN40-003</t>
  </si>
  <si>
    <t>FM150</t>
  </si>
  <si>
    <t>8nos new flowmeter fixing, cable &amp; socket</t>
  </si>
  <si>
    <t>New 2.2kw</t>
  </si>
  <si>
    <t>SM1002-125</t>
  </si>
  <si>
    <t>Rotor repair &amp; assembling</t>
  </si>
  <si>
    <t>Vaccum Pump repair &amp; test</t>
  </si>
  <si>
    <t>GEN250-021</t>
  </si>
  <si>
    <t xml:space="preserve">Load testing </t>
  </si>
  <si>
    <t>BA180-002</t>
  </si>
  <si>
    <t>HL130M-07</t>
  </si>
  <si>
    <t>RC stator winding</t>
  </si>
  <si>
    <t>2nos new flowmeter fixing, cable &amp; socket</t>
  </si>
  <si>
    <t>SM1002-126</t>
  </si>
  <si>
    <t>AC825-05</t>
  </si>
  <si>
    <t>Radiator installation &amp; engine service</t>
  </si>
  <si>
    <t>General work &amp; system work</t>
  </si>
  <si>
    <t>CP150</t>
  </si>
  <si>
    <t>Vaccum Pump repair for site</t>
  </si>
  <si>
    <t>Pump dismantle &amp; prepare for assemble</t>
  </si>
  <si>
    <t>PT175-554</t>
  </si>
  <si>
    <t>Pump assembling ongoing</t>
  </si>
  <si>
    <t>CP150V-009</t>
  </si>
  <si>
    <t>Engine assembling ongoing</t>
  </si>
  <si>
    <t>CP150-694</t>
  </si>
  <si>
    <t>Pump &amp; engine minor repair</t>
  </si>
  <si>
    <t>Harish</t>
  </si>
  <si>
    <t>GEN200-009</t>
  </si>
  <si>
    <t>General repair, fuel tank cleaning, Ac alternator fixing</t>
  </si>
  <si>
    <t>GENJ150-021</t>
  </si>
  <si>
    <t>Silencer cleaning &amp; fixing, load test</t>
  </si>
  <si>
    <t>New employee training &amp; general work</t>
  </si>
  <si>
    <t>Enclosure replacement</t>
  </si>
  <si>
    <t>Enclosure replacement repairing &amp; stand fixing</t>
  </si>
  <si>
    <t>SPB15-010</t>
  </si>
  <si>
    <t>Testing &amp; PDI, general work in mechanical section.</t>
  </si>
  <si>
    <t>Pump repair and water test</t>
  </si>
  <si>
    <t>Pump dismantling and prepare for assembling</t>
  </si>
  <si>
    <t>Alternator fixing, Fuel tank cleaning</t>
  </si>
  <si>
    <t>Drill rig</t>
  </si>
  <si>
    <t>DR-024</t>
  </si>
  <si>
    <t>Repair on site</t>
  </si>
  <si>
    <t>SPB3.7-029</t>
  </si>
  <si>
    <t>SPB3.7-100</t>
  </si>
  <si>
    <t>Canopy and alarm system fixing</t>
  </si>
  <si>
    <t>Alternator rewinding</t>
  </si>
  <si>
    <t>12nos pump inspection checking &amp; socket fixing &amp; number tagging</t>
  </si>
  <si>
    <t>New 3kw</t>
  </si>
  <si>
    <t>10nos pump inspection checking &amp; socket fixing &amp; number tagging</t>
  </si>
  <si>
    <t>SM1002-074</t>
  </si>
  <si>
    <t>Pump dismantling</t>
  </si>
  <si>
    <t>Air compressor and priming unit repair, Air line and fuel line replacemnet</t>
  </si>
  <si>
    <t>Parts cleaning, Shaft, bearing seal replacement</t>
  </si>
  <si>
    <t>General repair safety guard fixing, load test/ac alternator fail need to service</t>
  </si>
  <si>
    <t>Cable connection</t>
  </si>
  <si>
    <t>Cable connection &amp; load test</t>
  </si>
  <si>
    <t>CP150-574</t>
  </si>
  <si>
    <t>Pump &amp; engine repair, test failed, mechanical seal leakage</t>
  </si>
  <si>
    <t>Power cable connection</t>
  </si>
  <si>
    <t>New 5.5kw pump</t>
  </si>
  <si>
    <t>9nos pump inspection checking &amp; socket fixing &amp; number tagging</t>
  </si>
  <si>
    <t>ACT900-002</t>
  </si>
  <si>
    <t>Air compressor and air drier connection, pressure testing, removing</t>
  </si>
  <si>
    <t>ACT900-001</t>
  </si>
  <si>
    <t>Radiator installation &amp; testing bay</t>
  </si>
  <si>
    <t>GENJ250-043</t>
  </si>
  <si>
    <t>Ac alternator fixing, fuel pump &amp; injector fixing, valve clearance setting</t>
  </si>
  <si>
    <t>Anwar</t>
  </si>
  <si>
    <t>Site task</t>
  </si>
  <si>
    <t>Safety Cover &amp; PDI</t>
  </si>
  <si>
    <t>Pump assembling &amp; water test</t>
  </si>
  <si>
    <t>PT175-511</t>
  </si>
  <si>
    <t>BFT3-121</t>
  </si>
  <si>
    <t>Tank removing &amp; cleaning, new fitting fixing,</t>
  </si>
  <si>
    <t>Load test, final fitting</t>
  </si>
  <si>
    <t>BFM355-008</t>
  </si>
  <si>
    <t>welding machine 3units (A,B,C) inspection repair</t>
  </si>
  <si>
    <t>Old BH pump 2.2kw</t>
  </si>
  <si>
    <t>4nos cable joints &amp; water testing</t>
  </si>
  <si>
    <t>ISO250E-001</t>
  </si>
  <si>
    <t>pump coupling dismantling</t>
  </si>
  <si>
    <t>Each muffler piping installation</t>
  </si>
  <si>
    <t>CP150-396</t>
  </si>
  <si>
    <t>Engine dismantling</t>
  </si>
  <si>
    <t>HDP welding nocting, 3units inspection &amp; repair</t>
  </si>
  <si>
    <t>SM530-563</t>
  </si>
  <si>
    <t>Water testing &amp; removing from bay,washing &amp; vernior control installation</t>
  </si>
  <si>
    <t>3XCP150</t>
  </si>
  <si>
    <t>Vaccum pump repair</t>
  </si>
  <si>
    <t>Pump assembling &amp; engine repair</t>
  </si>
  <si>
    <t>CP150-514</t>
  </si>
  <si>
    <t>Pump repair &amp; warer test</t>
  </si>
  <si>
    <t>SPB15-019</t>
  </si>
  <si>
    <t>Socket fixing &amp; testing</t>
  </si>
  <si>
    <t>GEN150-021</t>
  </si>
  <si>
    <t>Canopy &amp; alternator removing</t>
  </si>
  <si>
    <t>GEN150-047</t>
  </si>
  <si>
    <t>PDI &amp; flowfinity</t>
  </si>
  <si>
    <t>Load test</t>
  </si>
  <si>
    <t>Fuel pump injector fitting, valve clearance setting</t>
  </si>
  <si>
    <t>SM530-617</t>
  </si>
  <si>
    <t>GEN45-005</t>
  </si>
  <si>
    <t>Exciter rotor &amp; field winding removing</t>
  </si>
  <si>
    <t>Final fitting</t>
  </si>
  <si>
    <t>HDP welding nocting, 2units inspection &amp; repair</t>
  </si>
  <si>
    <t>New BH pump 7.5kw</t>
  </si>
  <si>
    <t>13nos new B:h pumps inspection &amp; fleet socket 32A</t>
  </si>
  <si>
    <t>CP1212-001</t>
  </si>
  <si>
    <t>vaccum pump overhauling</t>
  </si>
  <si>
    <t>CP1212517-26</t>
  </si>
  <si>
    <t>PT175-521</t>
  </si>
  <si>
    <t xml:space="preserve">Engine repair &amp; assembling </t>
  </si>
  <si>
    <t>BFT3-305</t>
  </si>
  <si>
    <t>Hose fitting</t>
  </si>
  <si>
    <t>BFT3-309/330/325</t>
  </si>
  <si>
    <t>Main cover removing, NRV checking, Hose &amp; fittings fixing</t>
  </si>
  <si>
    <t>WOT-012</t>
  </si>
  <si>
    <t>Waste tank sensor installation</t>
  </si>
  <si>
    <t>BT20-113</t>
  </si>
  <si>
    <t>General work for SS</t>
  </si>
  <si>
    <t>Panel section wiring &amp; ss work</t>
  </si>
  <si>
    <t>CP150-569/814/783</t>
  </si>
  <si>
    <t>Inspection &amp; dismantling</t>
  </si>
  <si>
    <t>GENJ135-003</t>
  </si>
  <si>
    <t>Pump assembling, float repair, vaccum oil tank clean, oil change</t>
  </si>
  <si>
    <t>New engine fitting on pump alignment, external parts fittings.</t>
  </si>
  <si>
    <t>Inspection, servicing &amp; assemble</t>
  </si>
  <si>
    <t>ABI-001</t>
  </si>
  <si>
    <t>Reapir on site</t>
  </si>
  <si>
    <t>GEN30-020</t>
  </si>
  <si>
    <t>SM1002-276</t>
  </si>
  <si>
    <t>Engine reapir &amp; water test failed,engine flywheel seal leakage,</t>
  </si>
  <si>
    <t>Exciter rotor &amp; field rewinding</t>
  </si>
  <si>
    <t>Cherith</t>
  </si>
  <si>
    <t>12nos new B:H pumps inspection &amp; fleet socket 32A</t>
  </si>
  <si>
    <t>SM530X2</t>
  </si>
  <si>
    <t>SM1002X1</t>
  </si>
  <si>
    <t>CP150X3</t>
  </si>
  <si>
    <t>Pump water test &amp; repair</t>
  </si>
  <si>
    <t>Oil sump repair, bearing check &amp; seal change, engine fitting with frame &amp; test.</t>
  </si>
  <si>
    <t>Engine repair &amp; assembling ongoing</t>
  </si>
  <si>
    <t>Pump dismantle &amp; prepare for assemble ongoing</t>
  </si>
  <si>
    <t>CP150-813</t>
  </si>
  <si>
    <t>Pump assembling, float repair, vaccum oil tank clean, oil change, manifold change,</t>
  </si>
  <si>
    <t>Final fitting, PDI, flowfinity, hose repair.</t>
  </si>
  <si>
    <t xml:space="preserve">Hose &amp; fittings Final fitting </t>
  </si>
  <si>
    <t>GEN135-013</t>
  </si>
  <si>
    <t>Ac alternator removing, crank shaft oil seal work, fuel tank cleaning,</t>
  </si>
  <si>
    <t>Fuel pump &amp; injector removing,</t>
  </si>
  <si>
    <t>CD150M-004</t>
  </si>
  <si>
    <t>Pump end dismantling, compressor repairing, engine service</t>
  </si>
  <si>
    <t>HL130M-10</t>
  </si>
  <si>
    <t>Exh modification,priming &amp; NRV repairing, fan guard repairing</t>
  </si>
  <si>
    <t>General work stock labeling &amp; paint for SS</t>
  </si>
  <si>
    <t>Load test, CT coil failure</t>
  </si>
  <si>
    <t>CP150-832</t>
  </si>
  <si>
    <t>BA700-001
BA700-002</t>
  </si>
  <si>
    <t>Inspection battery installation, washing &amp; testing, PDI</t>
  </si>
  <si>
    <t>Coil repairing</t>
  </si>
  <si>
    <t>SMSP3-021</t>
  </si>
  <si>
    <t>95kw pump water testing</t>
  </si>
  <si>
    <t>New BH pump 2.2kw</t>
  </si>
  <si>
    <t>10nos new B:H pumps inspection &amp; fleet socketing</t>
  </si>
  <si>
    <t>Pump prepapre for assembling</t>
  </si>
  <si>
    <t>Engine minor repair &amp; test</t>
  </si>
  <si>
    <t>PT175-536</t>
  </si>
  <si>
    <t>Engine dismantling &amp; prepare for assembling</t>
  </si>
  <si>
    <t>CP150-836</t>
  </si>
  <si>
    <t>Pump &amp; float repair, vaccum oil tank clean, oil change, water test</t>
  </si>
  <si>
    <t>Pump assembling, engine fixing on frame, alignment &amp; water test</t>
  </si>
  <si>
    <t>General inspection &amp; general repair</t>
  </si>
  <si>
    <t>GENJ30-069/070</t>
  </si>
  <si>
    <t>GEN5-013/014</t>
  </si>
  <si>
    <t>General repair, oil service, load test</t>
  </si>
  <si>
    <t>GEN10-001</t>
  </si>
  <si>
    <t>GEN250-057</t>
  </si>
  <si>
    <t>Ac alternator</t>
  </si>
  <si>
    <t>3rd party pump</t>
  </si>
  <si>
    <t>Silincer fixing, fuel connection &amp; PDI</t>
  </si>
  <si>
    <t>Gulam</t>
  </si>
  <si>
    <t>SMSP3-017</t>
  </si>
  <si>
    <t>7.5kw pump water testing</t>
  </si>
  <si>
    <t>Alternator service and assembling</t>
  </si>
  <si>
    <t>19nos new BH pumps inspection &amp; fleet socketing</t>
  </si>
  <si>
    <t>Exciter field rewinding and assembling</t>
  </si>
  <si>
    <t>Repair on site - Fuel pump replacement</t>
  </si>
  <si>
    <t>BFT1-006</t>
  </si>
  <si>
    <t>BFT1-015</t>
  </si>
  <si>
    <t>Fuel tank cleaning</t>
  </si>
  <si>
    <t>Pump assembling and installation on test bay</t>
  </si>
  <si>
    <t>CP1212-009</t>
  </si>
  <si>
    <t>Pump end removing out from canopy</t>
  </si>
  <si>
    <t>AC350-08</t>
  </si>
  <si>
    <t>Inspection funtional test</t>
  </si>
  <si>
    <t>Pummp assembling</t>
  </si>
  <si>
    <t>Pump assembling, engine fixing on frame and alignment</t>
  </si>
  <si>
    <t>CP150-276</t>
  </si>
  <si>
    <t>Engine preparing for assembling and assembling</t>
  </si>
  <si>
    <t xml:space="preserve">Ac alternator fixing </t>
  </si>
  <si>
    <t>GENJ150-058</t>
  </si>
  <si>
    <t>Alternator removing and dismantling</t>
  </si>
  <si>
    <t>Scrap panels stand removing and arrangements</t>
  </si>
  <si>
    <t>BA100-001</t>
  </si>
  <si>
    <t>SPB2.2-076</t>
  </si>
  <si>
    <t>DB-287</t>
  </si>
  <si>
    <t>Inspection &amp; assemble</t>
  </si>
  <si>
    <t>15nos new BH pumps inspection &amp; fleet socketing</t>
  </si>
  <si>
    <t>Assemble</t>
  </si>
  <si>
    <t>Inspection &amp; repair</t>
  </si>
  <si>
    <t>SPB3.7-180</t>
  </si>
  <si>
    <t>New build stand &amp; canopy</t>
  </si>
  <si>
    <t xml:space="preserve">Final fitting, flowfinity, vaccum pump repair, </t>
  </si>
  <si>
    <t>Water test &amp; float repair</t>
  </si>
  <si>
    <t>CP150-403</t>
  </si>
  <si>
    <t>Pummp dismantlling</t>
  </si>
  <si>
    <t>installation on test bay, water test &amp; removing from test bay</t>
  </si>
  <si>
    <t>HVMRZV925-003</t>
  </si>
  <si>
    <t>All seal reapir, hydraulic pipe</t>
  </si>
  <si>
    <t>Fuel tank cleaning &amp; fitting fixing</t>
  </si>
  <si>
    <t>Fuel pump &amp; injector fitting.</t>
  </si>
  <si>
    <t>GENJ30-079</t>
  </si>
  <si>
    <t>General inspection &amp; load test</t>
  </si>
  <si>
    <t>Electrical repair</t>
  </si>
  <si>
    <t>FM-034/036</t>
  </si>
  <si>
    <t>Flowmeter inspection &amp; PDI</t>
  </si>
  <si>
    <t>Exciter field copper cable removing</t>
  </si>
  <si>
    <t>SPB75-001</t>
  </si>
  <si>
    <t>Testing &amp; PDI</t>
  </si>
  <si>
    <t>SPB75-004</t>
  </si>
  <si>
    <t>SMSP3-022</t>
  </si>
  <si>
    <t>Inspection &amp; reapir</t>
  </si>
  <si>
    <t>Exciter field rewinding</t>
  </si>
  <si>
    <t>SM1002-179</t>
  </si>
  <si>
    <t>Load test &amp; final fitting</t>
  </si>
  <si>
    <t>BFT334/339/343/344</t>
  </si>
  <si>
    <t>Tank cap removing, suction return fitting &amp; hose fixing</t>
  </si>
  <si>
    <t>DIP pump</t>
  </si>
  <si>
    <t>Engine &amp; pump repair</t>
  </si>
  <si>
    <t>Pummp pump assembling</t>
  </si>
  <si>
    <t>Pump prepare for assembling</t>
  </si>
  <si>
    <t>Pump assembling waiting for machine job</t>
  </si>
  <si>
    <t>Engine assembling pump prepare for assembling</t>
  </si>
  <si>
    <t>PLC replacement, test &amp; PDI</t>
  </si>
  <si>
    <t>SPB3.7-181/182</t>
  </si>
  <si>
    <t>Stand fixing</t>
  </si>
  <si>
    <t>NRV installation, fan guard installation on test bay</t>
  </si>
  <si>
    <t>engine removing out from canopy</t>
  </si>
  <si>
    <t>5nos BH pumps inspection, fleet number socket</t>
  </si>
  <si>
    <t>New 2.2kw pump</t>
  </si>
  <si>
    <t>12nos BH pumps inspection, fleet number socket</t>
  </si>
  <si>
    <t>Tested</t>
  </si>
  <si>
    <t>SM1002-058</t>
  </si>
  <si>
    <t xml:space="preserve">Engine prepapre for assembling, </t>
  </si>
  <si>
    <t>Pump &amp; engine repair, water test</t>
  </si>
  <si>
    <t>PT175-520</t>
  </si>
  <si>
    <t>Engine repair</t>
  </si>
  <si>
    <t>MCS work &amp; general work</t>
  </si>
  <si>
    <t>Water &amp; Vaccum test</t>
  </si>
  <si>
    <t>BFT334/321/326/327/335</t>
  </si>
  <si>
    <t>Main cover removing, suction return fitting &amp; hose fixing</t>
  </si>
  <si>
    <t>Test &amp; PDI, dispatching</t>
  </si>
  <si>
    <t>SPB3.7-180/181/182</t>
  </si>
  <si>
    <t>SPB3.7-183/184</t>
  </si>
  <si>
    <t>Final fitting, PDI, flowfinity</t>
  </si>
  <si>
    <t>37kw pump water testing</t>
  </si>
  <si>
    <t>GEN60-041</t>
  </si>
  <si>
    <t>Ac alternator, copper winding removing</t>
  </si>
  <si>
    <t>Test &amp; PDI with load</t>
  </si>
  <si>
    <t>DIP pump 3rd party</t>
  </si>
  <si>
    <t>CP150X2</t>
  </si>
  <si>
    <t>vaccum pump</t>
  </si>
  <si>
    <t>CP150-090</t>
  </si>
  <si>
    <t>Pump repair</t>
  </si>
  <si>
    <t>vaccum pump repair</t>
  </si>
  <si>
    <t>CP150-632</t>
  </si>
  <si>
    <t>GEN100-013</t>
  </si>
  <si>
    <t>Canopy &amp; ac alternator removing</t>
  </si>
  <si>
    <t>Radiator &amp; ac alternator fixing</t>
  </si>
  <si>
    <t>KV550-001</t>
  </si>
  <si>
    <t>pump dismentaling</t>
  </si>
  <si>
    <t>Bilal</t>
  </si>
  <si>
    <t>CD300M-08</t>
  </si>
  <si>
    <t>Pump end dismantling.</t>
  </si>
  <si>
    <t>SMSP3-023</t>
  </si>
  <si>
    <t>75kw pump inspection &amp; dismantle</t>
  </si>
  <si>
    <t>Ac alternator copper winding, rewinding</t>
  </si>
  <si>
    <t>10nos BH pumps inspection, fleet number socket32a, tagging.</t>
  </si>
  <si>
    <t>SPB37-082</t>
  </si>
  <si>
    <t>Engine assmebling</t>
  </si>
  <si>
    <t>Repair work</t>
  </si>
  <si>
    <t>75kw pumpservicing &amp; cleaning</t>
  </si>
  <si>
    <t>Ac alternator copper winding, removing</t>
  </si>
  <si>
    <t>12nos BH pumps inspection, fleet number socket 32a, number tagging.</t>
  </si>
  <si>
    <t>Cable glinding</t>
  </si>
  <si>
    <t>95kw pump inspection</t>
  </si>
  <si>
    <t>SPB3.7</t>
  </si>
  <si>
    <t>4nos panels testing, PDI &amp; dispatching</t>
  </si>
  <si>
    <t>SPB3.7-185/186</t>
  </si>
  <si>
    <t xml:space="preserve">Stand &amp; canopy fixing </t>
  </si>
  <si>
    <t>Rear seal change, ac alternator fixing, valve &amp; fuel tank cleaning</t>
  </si>
  <si>
    <t>GEN200-007</t>
  </si>
  <si>
    <t xml:space="preserve">Radiator fixing &amp; final fitting </t>
  </si>
  <si>
    <t>Suction casing repairing, sleeve removing from the shaft</t>
  </si>
  <si>
    <t>Jaheer</t>
  </si>
  <si>
    <t>Water testing, removing from the test bay</t>
  </si>
  <si>
    <t>vaccum pump repair for maf</t>
  </si>
  <si>
    <t>PT175-531</t>
  </si>
  <si>
    <t>CP150-001</t>
  </si>
  <si>
    <t>CP150-022</t>
  </si>
  <si>
    <t xml:space="preserve">Pump repair </t>
  </si>
  <si>
    <t>CP150-923</t>
  </si>
  <si>
    <t>95kv pump inspection &amp; repairing &amp; assemble</t>
  </si>
  <si>
    <t xml:space="preserve">Ac alternator copper winding, </t>
  </si>
  <si>
    <t xml:space="preserve">75kw pump service &amp; cleaning </t>
  </si>
  <si>
    <t xml:space="preserve">Ac alternator &amp; timing cover fixing, </t>
  </si>
  <si>
    <t>ATS400</t>
  </si>
  <si>
    <t>Motorized change over inspection&amp; repairing</t>
  </si>
  <si>
    <t>SPB3.7-187/188</t>
  </si>
  <si>
    <t>Stand Canopy &amp; alarm system fixing</t>
  </si>
  <si>
    <t>DB-363</t>
  </si>
  <si>
    <t>Stand replacement, MCCb replacement, Test &amp; PDI</t>
  </si>
  <si>
    <t>HD12TCR-002</t>
  </si>
  <si>
    <t>Drive chain replacement</t>
  </si>
  <si>
    <t>CP181820</t>
  </si>
  <si>
    <t>ECM filter housing, sensor replacement, radiator cleaning, fan hub inspection.</t>
  </si>
  <si>
    <t>CP150-836/632</t>
  </si>
  <si>
    <t xml:space="preserve">Engine prepare for assembling </t>
  </si>
  <si>
    <t>Pump &amp; engine repair &amp; water test</t>
  </si>
  <si>
    <t>Pump repair &amp; engine repair</t>
  </si>
  <si>
    <t>20nos B:H pumps inspection &amp; fleet number tagging.</t>
  </si>
  <si>
    <t>BFT-325/332/337</t>
  </si>
  <si>
    <t>Main cover removed, returned pipe tightened.</t>
  </si>
  <si>
    <t>Pump &amp; engine repair, test failed, pump dismantle</t>
  </si>
  <si>
    <t xml:space="preserve">Ac alternator re- winding, </t>
  </si>
  <si>
    <t>10nos B:H pumps inspection &amp; fleet number tagging.</t>
  </si>
  <si>
    <t>SGN-006</t>
  </si>
  <si>
    <t>Pump inspection &amp; dismantle</t>
  </si>
  <si>
    <t>Pump end swapping</t>
  </si>
  <si>
    <t>Vaccum pump repairing, fuel line replacement, vaccum testing, cooling fan guard repairing</t>
  </si>
  <si>
    <t>BFT-322/341/345/346</t>
  </si>
  <si>
    <t>GEN150-004</t>
  </si>
  <si>
    <t>Ac alternator removing &amp; dismantling</t>
  </si>
  <si>
    <t>SPB3.7-180/181</t>
  </si>
  <si>
    <t>Test &amp; PDI</t>
  </si>
  <si>
    <t>SPB3.7-188/189</t>
  </si>
  <si>
    <t>Alarm system &amp; lock holder fixing</t>
  </si>
  <si>
    <t>SPBX4</t>
  </si>
  <si>
    <t>CP150-022/923/001</t>
  </si>
  <si>
    <t xml:space="preserve">vaccum pump repair </t>
  </si>
  <si>
    <t xml:space="preserve">Engine assembling </t>
  </si>
  <si>
    <t>Pump &amp; engine repair, test failed, pump dismantling</t>
  </si>
  <si>
    <t>CP150-844</t>
  </si>
  <si>
    <t>Cylinder head dismantling</t>
  </si>
  <si>
    <t>SLB/125-03</t>
  </si>
  <si>
    <t>37kw old B:H pump 5nos inspection &amp; water testing</t>
  </si>
  <si>
    <t>Hanifa</t>
  </si>
  <si>
    <t>General repair</t>
  </si>
  <si>
    <t>SER team</t>
  </si>
  <si>
    <t>CD300M015</t>
  </si>
  <si>
    <t>wet testing</t>
  </si>
  <si>
    <t>Pump inspection, repairing &amp; assemble</t>
  </si>
  <si>
    <t>23=4/12/2025</t>
  </si>
  <si>
    <t>CPB</t>
  </si>
  <si>
    <t>5nos old CPB panels disposal</t>
  </si>
  <si>
    <t>SPB3.7-052</t>
  </si>
  <si>
    <t>Assemble after paint, test &amp; PDI</t>
  </si>
  <si>
    <t>BFT-320/324/329/340</t>
  </si>
  <si>
    <t>Main cover removed, returned pipeline &amp; hose fitting</t>
  </si>
  <si>
    <t>Ac alternator fixing, valave &amp; fuel tank cleaning.</t>
  </si>
  <si>
    <t>CD300M-14</t>
  </si>
  <si>
    <t>Radiator intercooler dismantling, pump end removing for coupling replacement</t>
  </si>
  <si>
    <t>CP150-374</t>
  </si>
  <si>
    <t>Float Reapir &amp; vaccum pump change.</t>
  </si>
  <si>
    <t>Pump minor repair &amp; water test</t>
  </si>
  <si>
    <t>Engine dismantle &amp; prepare for assemble</t>
  </si>
  <si>
    <t>PT175-522/521/554</t>
  </si>
  <si>
    <t>Fuel tank connections fixing, PDI &amp; flowfinity</t>
  </si>
  <si>
    <t>DR-20</t>
  </si>
  <si>
    <t>16nos B:H pumps inspection &amp; fleet number tagging socket32a.</t>
  </si>
  <si>
    <t>CP150-633</t>
  </si>
  <si>
    <t>Parts cleaning, service &amp; pump assembling</t>
  </si>
  <si>
    <t>Ac alternator re- winding &amp; coils</t>
  </si>
  <si>
    <t>10nos B:H pumps inspection &amp; fleet number tagging socket32a.</t>
  </si>
  <si>
    <t>Ac alternator winding, stator washing &amp; service</t>
  </si>
  <si>
    <t>Final fitting, head test, coolant filling</t>
  </si>
  <si>
    <t>GEN250-038</t>
  </si>
  <si>
    <t>General repair, heaed test</t>
  </si>
  <si>
    <t>SCT500-35</t>
  </si>
  <si>
    <t>Modification as per site</t>
  </si>
  <si>
    <t>Pump installation, Coupling replacement</t>
  </si>
  <si>
    <t>CPX3</t>
  </si>
  <si>
    <t>Sensors wiring, site task</t>
  </si>
  <si>
    <t>BFT3-319/331/336/342</t>
  </si>
  <si>
    <t>Main &amp; return fuel line fixing</t>
  </si>
  <si>
    <t>JP-223</t>
  </si>
  <si>
    <t xml:space="preserve">Pump water test failed, &amp; dismantling </t>
  </si>
  <si>
    <t>Hose connections &amp; load test</t>
  </si>
  <si>
    <t>TRAC-001</t>
  </si>
  <si>
    <t>General repair, PDI, jack repair</t>
  </si>
  <si>
    <t>SCT500-022-023</t>
  </si>
  <si>
    <t>Final fitting, battery fixing, PDI &amp; flowfinity</t>
  </si>
  <si>
    <t>CD500M-008</t>
  </si>
  <si>
    <t>Impeller &amp; wear plate replacement.</t>
  </si>
  <si>
    <t>Radiator fan drive installation, pump end installing,</t>
  </si>
  <si>
    <t>CPX2/CP001</t>
  </si>
  <si>
    <t>vaccum pump repair &amp; final fitting</t>
  </si>
  <si>
    <t>Float Reapir &amp; vaccum pump change. Water test</t>
  </si>
  <si>
    <t>Pump final fitting, PDI &amp; flowfinity</t>
  </si>
  <si>
    <t>SPB3.7X8</t>
  </si>
  <si>
    <t>Cable gland &amp; sensor cable cutting</t>
  </si>
  <si>
    <t>GEN200-007/009/GEN250-044/012/GEN135-002/250-48/GEN250-54</t>
  </si>
  <si>
    <t>BFT3-320/329/324/340</t>
  </si>
  <si>
    <t>Hose fitting fix</t>
  </si>
  <si>
    <t>Pump repair, final fitting, Pdi &amp; flowfinity</t>
  </si>
  <si>
    <t>CP150-684</t>
  </si>
  <si>
    <t>CP150-845</t>
  </si>
  <si>
    <t>Priming tank pressure test</t>
  </si>
  <si>
    <t>ATS125-008</t>
  </si>
  <si>
    <t>Test repair &amp; PDI</t>
  </si>
  <si>
    <t>SCP226</t>
  </si>
  <si>
    <t>Solar &amp; frame fixing</t>
  </si>
  <si>
    <t>Old 2.2kw pump</t>
  </si>
  <si>
    <t>Inspection&amp; repair</t>
  </si>
  <si>
    <t>SM530-611</t>
  </si>
  <si>
    <t>Inspection &amp; assembling</t>
  </si>
  <si>
    <t>Starting problem, repair &amp; load test</t>
  </si>
  <si>
    <t>Final fitting &amp; load testing</t>
  </si>
  <si>
    <t>Hose fixing</t>
  </si>
  <si>
    <t>SM1002/60-276/140</t>
  </si>
  <si>
    <t>SM1002/60-152</t>
  </si>
  <si>
    <t>SM1002/60-195/032</t>
  </si>
  <si>
    <t>SM1002/60-191/220</t>
  </si>
  <si>
    <t>SM1002/60-196/119</t>
  </si>
  <si>
    <t>30meter cable &amp; joint with socket(125A) &amp; with fitting fixed</t>
  </si>
  <si>
    <t>SM1002/60-126</t>
  </si>
  <si>
    <t>SMSP3-021/SGN005/SF2250-005/SF300-002/SF300-001</t>
  </si>
  <si>
    <t>Pump inspection, checked ok, sent to site</t>
  </si>
  <si>
    <t>HPP140-002</t>
  </si>
  <si>
    <t>General repair, washing &amp; testing</t>
  </si>
  <si>
    <t>3nos CP pumps vaccum repair</t>
  </si>
  <si>
    <t>Pump repair &amp; final fitting</t>
  </si>
  <si>
    <t>CP150-749</t>
  </si>
  <si>
    <t>CP150-573</t>
  </si>
  <si>
    <t>pump repair</t>
  </si>
  <si>
    <t>TRAC-003</t>
  </si>
  <si>
    <t>6XSM1002</t>
  </si>
  <si>
    <t>Pump flange &amp; socket fixing</t>
  </si>
  <si>
    <t>SLT-027/17/30</t>
  </si>
  <si>
    <t>Inspection &amp; PDI</t>
  </si>
  <si>
    <t>75kw pump assembling</t>
  </si>
  <si>
    <t>SLT-021/24/18/29</t>
  </si>
  <si>
    <t>SM530-624</t>
  </si>
  <si>
    <t>Inspection &amp; dismantle</t>
  </si>
  <si>
    <t>SM530-388</t>
  </si>
  <si>
    <t>Canopy &amp; side doors fitting</t>
  </si>
  <si>
    <t>BFT3-337/333/332/328</t>
  </si>
  <si>
    <t>Hose &amp; fittings fixing.</t>
  </si>
  <si>
    <t>Hydraulic oil changing</t>
  </si>
  <si>
    <t>Installation on test bay.</t>
  </si>
  <si>
    <t>SM530-552/330-379</t>
  </si>
  <si>
    <t xml:space="preserve">Rotor repair </t>
  </si>
  <si>
    <t>SWD60AH-002</t>
  </si>
  <si>
    <t>SWD60AH-001</t>
  </si>
  <si>
    <t>Old CPB</t>
  </si>
  <si>
    <t>6X old cpb dismantling</t>
  </si>
  <si>
    <t>CD150M-002</t>
  </si>
  <si>
    <t>Pump end dismantling</t>
  </si>
  <si>
    <t>Final fitting airline replacement</t>
  </si>
  <si>
    <t>Pump repair ongoing</t>
  </si>
  <si>
    <t>Pump vaccum repair</t>
  </si>
  <si>
    <t>PT175-109</t>
  </si>
  <si>
    <t>Engine prepare for assembling</t>
  </si>
  <si>
    <t>CP150-414</t>
  </si>
  <si>
    <t>pump dismantling</t>
  </si>
  <si>
    <t>CP150-775</t>
  </si>
  <si>
    <t>BFT3-337/333/332/328/324/320/340/329</t>
  </si>
  <si>
    <t>10nos Inspection &amp; repair</t>
  </si>
  <si>
    <t>SWD60N-002</t>
  </si>
  <si>
    <t>Cable stand making &amp; water testing.</t>
  </si>
  <si>
    <t>SM530</t>
  </si>
  <si>
    <t>SWD60N-004</t>
  </si>
  <si>
    <t>Silencer pipe modification, bellows changing &amp; load test.</t>
  </si>
  <si>
    <t>GEN100-044</t>
  </si>
  <si>
    <t>General inspection &amp; repair, fuel tank cleaning &amp; load test.</t>
  </si>
  <si>
    <t>flowmeter</t>
  </si>
  <si>
    <t>10X flowmeter fleeting &amp; cabeling.</t>
  </si>
  <si>
    <t>DB-041</t>
  </si>
  <si>
    <t>Service &amp; repair</t>
  </si>
  <si>
    <t>SPB2.2-057</t>
  </si>
  <si>
    <t>Inspection, repair &amp; test</t>
  </si>
  <si>
    <t>General repair, tank cleaning, vaccum testing.</t>
  </si>
  <si>
    <t>Cp1818-20</t>
  </si>
  <si>
    <t>Mid island site</t>
  </si>
  <si>
    <t>CP150-844/CP150X3</t>
  </si>
  <si>
    <t>ACT-166</t>
  </si>
  <si>
    <t>Outrigger dismantle &amp; hose repair</t>
  </si>
  <si>
    <t>Service &amp; assemble</t>
  </si>
  <si>
    <t>SWD60H-002</t>
  </si>
  <si>
    <t>pump parts cleaning</t>
  </si>
  <si>
    <t>SWD60H-004</t>
  </si>
  <si>
    <t>Stator rewinding &amp; copper removing</t>
  </si>
  <si>
    <t>Engine oil service, Engine mounting change</t>
  </si>
  <si>
    <t>GENG100-009</t>
  </si>
  <si>
    <t>Clearance adjustment</t>
  </si>
  <si>
    <t>CP150-297/660/865</t>
  </si>
  <si>
    <t>Pump vaccum repair for AUH</t>
  </si>
  <si>
    <t>ACT-109</t>
  </si>
  <si>
    <t>Engine prepapre for assembling</t>
  </si>
  <si>
    <t>Pump repair, water test &amp; timing setting</t>
  </si>
  <si>
    <t>pump assembling &amp; water test</t>
  </si>
  <si>
    <t>Outrigger assemble &amp; hose fitting</t>
  </si>
  <si>
    <t>pump assembling.</t>
  </si>
  <si>
    <t>SPB3.7-057</t>
  </si>
  <si>
    <t>FMX3</t>
  </si>
  <si>
    <t>6X150 new flowmeter, cable &amp; socket fixing.</t>
  </si>
  <si>
    <t>Engine  dismantling.</t>
  </si>
  <si>
    <t>General inspection &amp; repair,  load test failed</t>
  </si>
  <si>
    <t>BFT-015</t>
  </si>
  <si>
    <t>CP150-175</t>
  </si>
  <si>
    <t>SCT500-32</t>
  </si>
  <si>
    <t>Pump end swapping with new bareshaft</t>
  </si>
  <si>
    <t>SWD-60N</t>
  </si>
  <si>
    <t>pump rotor repiar</t>
  </si>
  <si>
    <t>Ac alternator assembling</t>
  </si>
  <si>
    <t>5nos water testing</t>
  </si>
  <si>
    <t>KT22-48/23/026</t>
  </si>
  <si>
    <t xml:space="preserve">General inspection &amp; water testing </t>
  </si>
  <si>
    <t>Radiator fitting,feul tank cleaning, general repair &amp; load test</t>
  </si>
  <si>
    <t>Fuel pump &amp; injector removing</t>
  </si>
  <si>
    <t>CP150-419</t>
  </si>
  <si>
    <t>pump assembling ongoing</t>
  </si>
  <si>
    <t>Engine top overhaul</t>
  </si>
  <si>
    <t>Pump &amp; engine repair ongoing</t>
  </si>
  <si>
    <t>SPB3.7-057/DB041</t>
  </si>
  <si>
    <t>Inspection repair &amp; PDI/Repai test &amp; PDI</t>
  </si>
  <si>
    <t>Modification, adding canopy &amp; safety glass</t>
  </si>
  <si>
    <t>SPB7.5-025</t>
  </si>
  <si>
    <t>SPB7.5-077</t>
  </si>
  <si>
    <t>SWD-60-002</t>
  </si>
  <si>
    <t>assembling</t>
  </si>
  <si>
    <t>CP150-541</t>
  </si>
  <si>
    <t>GEN250-047</t>
  </si>
  <si>
    <t>Engine parts cleaning</t>
  </si>
  <si>
    <t>Load testing &amp; general checkup, cable connection.</t>
  </si>
  <si>
    <t>BFM400-002</t>
  </si>
  <si>
    <t>SMSP3</t>
  </si>
  <si>
    <t>75kw pump rewinding</t>
  </si>
  <si>
    <t>Old B:H pump</t>
  </si>
  <si>
    <t>pump cable joint water testing</t>
  </si>
  <si>
    <t>Doland</t>
  </si>
  <si>
    <t>115kw pump dismantling</t>
  </si>
  <si>
    <t>BFM500-001</t>
  </si>
  <si>
    <t>Power DB rewiring</t>
  </si>
  <si>
    <t>CP150-844/414573</t>
  </si>
  <si>
    <t>Final fitting, PDI &amp; flowfinity</t>
  </si>
  <si>
    <t>Generator shifting &amp; setting</t>
  </si>
  <si>
    <t>jagdev</t>
  </si>
  <si>
    <t>BA700-001</t>
  </si>
  <si>
    <t>Engine repair on site midisland</t>
  </si>
  <si>
    <t>Pump overhaul</t>
  </si>
  <si>
    <t>Pump firtting</t>
  </si>
  <si>
    <t>Ac laternator service ongoing</t>
  </si>
  <si>
    <t>Alternator dismantled</t>
  </si>
  <si>
    <t>Assembling</t>
  </si>
  <si>
    <t>20nos pumps inspection &amp; repair</t>
  </si>
  <si>
    <t>SPB2.2-061</t>
  </si>
  <si>
    <t>Dismantling &amp; replacing the damaged stand canopy</t>
  </si>
  <si>
    <t>Sayid</t>
  </si>
  <si>
    <t>GENJ250-051</t>
  </si>
  <si>
    <t>Main alternator fixing &amp; general repair</t>
  </si>
  <si>
    <t>Engine oil service,water washing &amp; general repair</t>
  </si>
  <si>
    <t>CP150-175/CP150X2</t>
  </si>
  <si>
    <t>Final fitting, PDI &amp; flowfinity/Vaccum repair</t>
  </si>
  <si>
    <t>FM600-002/004</t>
  </si>
  <si>
    <t>SM530-489</t>
  </si>
  <si>
    <t>Dismantle pump</t>
  </si>
  <si>
    <t>Pump prepare for water testing, load test failed.</t>
  </si>
  <si>
    <t>Engine &amp; pump repair ongoing, load test failed.</t>
  </si>
  <si>
    <t>CD300M-008</t>
  </si>
  <si>
    <t>Radiator installation &amp; testing</t>
  </si>
  <si>
    <t>Damaged canopy &amp; stand Replaced, repair test &amp; PDI</t>
  </si>
  <si>
    <t>SWD60H</t>
  </si>
  <si>
    <t>PT175-515/CP150V074</t>
  </si>
  <si>
    <t>Final assembling PDI, flowfinity/Vaccum repair</t>
  </si>
  <si>
    <t>Pump prepare for water testing,</t>
  </si>
  <si>
    <t>Installation test bay, wet testing</t>
  </si>
  <si>
    <t>Drydock</t>
  </si>
  <si>
    <t>Site work</t>
  </si>
  <si>
    <t>DR-020</t>
  </si>
  <si>
    <t>Repair on site, Drive track repair</t>
  </si>
  <si>
    <t>BFT3-329/324/326/342</t>
  </si>
  <si>
    <t>GENJ250-047</t>
  </si>
  <si>
    <t>Ac alternator motor removing</t>
  </si>
  <si>
    <t>BFT3-331/319/345</t>
  </si>
  <si>
    <t>BFT3-341/336/322</t>
  </si>
  <si>
    <t>CD150</t>
  </si>
  <si>
    <t>Spare engine, general repair</t>
  </si>
  <si>
    <t>GEN45-003</t>
  </si>
  <si>
    <t>SCT600-01</t>
  </si>
  <si>
    <t>Gearbox removing</t>
  </si>
  <si>
    <t>Pump dismantled, prepare for assemble</t>
  </si>
  <si>
    <t>CP150-259</t>
  </si>
  <si>
    <t>DB-184</t>
  </si>
  <si>
    <t>SPB2.2-034</t>
  </si>
  <si>
    <t>Modification &amp; adding ELECB &amp; safety glass</t>
  </si>
  <si>
    <t>SM530-552</t>
  </si>
  <si>
    <t>Repair pump</t>
  </si>
  <si>
    <t>SM530-379</t>
  </si>
  <si>
    <t>Spare engine starting &amp; general repair</t>
  </si>
  <si>
    <t>BFT3-338/323/336</t>
  </si>
  <si>
    <t>Main Cover removing, suction pipe tighten, hose &amp; fittings fixing.</t>
  </si>
  <si>
    <t>Canopy fitting, Load test &amp; final fitting</t>
  </si>
  <si>
    <t>PT175-541</t>
  </si>
  <si>
    <t>Engine dismantling ongoing</t>
  </si>
  <si>
    <t>pump assembling &amp;water test</t>
  </si>
  <si>
    <t>pump minor repair</t>
  </si>
  <si>
    <t>Coolant leakage repairing, PDI</t>
  </si>
  <si>
    <t>SCT600-02</t>
  </si>
  <si>
    <t>Discharge manifold &amp; fuel connection installation.</t>
  </si>
  <si>
    <t>Parts cleaning, washing &amp; General work</t>
  </si>
  <si>
    <t>DR-20/CP150-190/v022/V006</t>
  </si>
  <si>
    <t>Engine parts cleaning.</t>
  </si>
  <si>
    <t>SSD22-022</t>
  </si>
  <si>
    <t>inspection &amp; dismantling</t>
  </si>
  <si>
    <t>FM150-064/024/050</t>
  </si>
  <si>
    <t>JP232</t>
  </si>
  <si>
    <t>KV550</t>
  </si>
  <si>
    <t>Impeller removing</t>
  </si>
  <si>
    <t>SM530-334</t>
  </si>
  <si>
    <t>Re-Winding</t>
  </si>
  <si>
    <t>Donald</t>
  </si>
  <si>
    <t>SM530-286</t>
  </si>
  <si>
    <t>Repairing &amp; assemble</t>
  </si>
  <si>
    <t>Repair &amp; assembling</t>
  </si>
  <si>
    <t>ATS400-021</t>
  </si>
  <si>
    <t>Inspection &amp; filter replacement</t>
  </si>
  <si>
    <t>Vaccum pump</t>
  </si>
  <si>
    <t>Vaccum pump repairing</t>
  </si>
  <si>
    <t>CP108-04</t>
  </si>
  <si>
    <t>Washing &amp; oil sump removing</t>
  </si>
  <si>
    <t>general work</t>
  </si>
  <si>
    <t>GENS100-066</t>
  </si>
  <si>
    <t>Genera repair, fuel tank cleaning, cable connection &amp; water test</t>
  </si>
  <si>
    <t>CP150-184</t>
  </si>
  <si>
    <t>CP150-614</t>
  </si>
  <si>
    <t>Engine cylinder head removing &amp; dismantling</t>
  </si>
  <si>
    <t>CP150X4</t>
  </si>
  <si>
    <t>Engine assemblingg ongoing</t>
  </si>
  <si>
    <t>pump repair &amp;water test</t>
  </si>
  <si>
    <t>Pump repair &amp; engine testing</t>
  </si>
  <si>
    <t>CP150-856</t>
  </si>
  <si>
    <t>pump prepare for assembling</t>
  </si>
  <si>
    <t>SPB-022</t>
  </si>
  <si>
    <t>GEN150-013</t>
  </si>
  <si>
    <t>inspection &amp; assemble</t>
  </si>
  <si>
    <t>SM1002-146</t>
  </si>
  <si>
    <t>8nos B:H pumps water testing</t>
  </si>
  <si>
    <t>Repair &amp; assemble</t>
  </si>
  <si>
    <t>Engine assembling, cylinder head &amp; block cleaning</t>
  </si>
  <si>
    <t>BFT3-332</t>
  </si>
  <si>
    <t>Flowfintity</t>
  </si>
  <si>
    <t>0il seperator/01/02/03</t>
  </si>
  <si>
    <t>Impeller removing, defuser installation.</t>
  </si>
  <si>
    <t>CD225M-03</t>
  </si>
  <si>
    <t>Pump end overhauling</t>
  </si>
  <si>
    <t>PT175/CP150X2</t>
  </si>
  <si>
    <t>Final fitting &amp; PDI/Vaccum pump repair for MAF</t>
  </si>
  <si>
    <t>Engine prepare for top overhaul</t>
  </si>
  <si>
    <t>Engine fitting &amp; water test</t>
  </si>
  <si>
    <t>KTZ2-62-74</t>
  </si>
  <si>
    <t>13nos new pumps inspection &amp; 16amp socket fixing</t>
  </si>
  <si>
    <t>GEN100-066</t>
  </si>
  <si>
    <t>Water pump &amp; belt fixed, load test failed.</t>
  </si>
  <si>
    <t>SM530-429</t>
  </si>
  <si>
    <t>75kw pump rewinding &amp; connection</t>
  </si>
  <si>
    <t>15nos B:H pumps inspection &amp; repair</t>
  </si>
  <si>
    <t>GEN100-13</t>
  </si>
  <si>
    <t>Engine assembling onging</t>
  </si>
  <si>
    <t>Ac alternator fixing</t>
  </si>
  <si>
    <t>Modification &amp; adding ELECB &amp; safety glass fixing</t>
  </si>
  <si>
    <t>CD300M-029</t>
  </si>
  <si>
    <t>Coupling fixing, vaccum testing</t>
  </si>
  <si>
    <t>CP108-001</t>
  </si>
  <si>
    <t>Coupling fan replacement, vaccum testing</t>
  </si>
  <si>
    <t>Ac alternator final fitting.</t>
  </si>
  <si>
    <t>Ac alternator fix, fuel tank cleaning.</t>
  </si>
  <si>
    <t>SPB7.5-003</t>
  </si>
  <si>
    <t>Modification, rewinding,adding ELC &amp; safety glasses.</t>
  </si>
  <si>
    <t>SPB7.5-023</t>
  </si>
  <si>
    <t>Sulaiman</t>
  </si>
  <si>
    <t xml:space="preserve">Making lock, holders, fleet tagginf &amp; stickers </t>
  </si>
  <si>
    <t>inspection &amp; dismantle</t>
  </si>
  <si>
    <t>Rewinding &amp; connection</t>
  </si>
  <si>
    <t>SMSP-3</t>
  </si>
  <si>
    <t>Cable gland &amp; water testing</t>
  </si>
  <si>
    <t>SM530-344</t>
  </si>
  <si>
    <t>Ac alternator fix</t>
  </si>
  <si>
    <t>Pump end assembling</t>
  </si>
  <si>
    <t>Installation on test bay, water &amp; vaccum testing</t>
  </si>
  <si>
    <t>JP223/CP150X2</t>
  </si>
  <si>
    <t>Final fitting /Vaccum pump repair for MAF</t>
  </si>
  <si>
    <t>PT175X11</t>
  </si>
  <si>
    <t>Musambic pump hose repair &amp; final checkup</t>
  </si>
  <si>
    <t>CP250</t>
  </si>
  <si>
    <t>Pump repair, water test</t>
  </si>
  <si>
    <t>Electrical work &amp; load test</t>
  </si>
  <si>
    <t>SM530-480</t>
  </si>
  <si>
    <t>Re-winding</t>
  </si>
  <si>
    <t>PT175-541/CP150856</t>
  </si>
  <si>
    <t xml:space="preserve">Final fitting </t>
  </si>
  <si>
    <t>4Xclutch assembly</t>
  </si>
  <si>
    <t>CP250-001/007</t>
  </si>
  <si>
    <t>pump repair &amp; water test/ pump repair</t>
  </si>
  <si>
    <t>CP150-265</t>
  </si>
  <si>
    <t xml:space="preserve">General work, Making lock, holders, fleet tagginf &amp; stickers </t>
  </si>
  <si>
    <t>Ac alternator all winding, washing, cleaning, overheating.</t>
  </si>
  <si>
    <t>Rewinding &amp; lead connection, overheating, vernishing</t>
  </si>
  <si>
    <t>SMSP3-018</t>
  </si>
  <si>
    <t>10nos 2.2/3.7/4kw B:H pumps inspection &amp; repair, water test.</t>
  </si>
  <si>
    <t>Installation on test bay, water &amp; vaccum testing.</t>
  </si>
  <si>
    <t>CP108-004</t>
  </si>
  <si>
    <t>Engine top end dismantling</t>
  </si>
  <si>
    <t>GEN150-058</t>
  </si>
  <si>
    <t>Power cable &amp; breaker cleaning &amp; service.</t>
  </si>
  <si>
    <t>SM702-021</t>
  </si>
  <si>
    <t>Inspection &amp; dismantle repair.</t>
  </si>
  <si>
    <t>Fuel pump &amp; injector fitting/ waiting for timing cover gasket</t>
  </si>
  <si>
    <t>SCP226/238</t>
  </si>
  <si>
    <t>SM1002-060/275</t>
  </si>
  <si>
    <t>SM1002-060/22</t>
  </si>
  <si>
    <t>75kw pump rewinding and connection</t>
  </si>
  <si>
    <t>10nos B:H pumps inspection &amp; repair, water test.</t>
  </si>
  <si>
    <t>SM530-426</t>
  </si>
  <si>
    <t>Copper winding removing.</t>
  </si>
  <si>
    <t>CP250-001</t>
  </si>
  <si>
    <t>GEN150-037</t>
  </si>
  <si>
    <t>CP150-297/PT175X11</t>
  </si>
  <si>
    <t>All oil draining/ Vaccum pump repair.</t>
  </si>
  <si>
    <t>pump end dismantling.</t>
  </si>
  <si>
    <t>CD5E-002/001</t>
  </si>
  <si>
    <t>Inspection,service &amp; repair</t>
  </si>
  <si>
    <t>New B:H pump</t>
  </si>
  <si>
    <t>15nos 2.2kw pumps inspection &amp; repair, water test.</t>
  </si>
  <si>
    <t>Rewinding</t>
  </si>
  <si>
    <t>Water p[ump fixing, fuel tank cleaning, load test.</t>
  </si>
  <si>
    <t>Engine parts cleaning, washing</t>
  </si>
  <si>
    <t>SCT600-002</t>
  </si>
  <si>
    <t>SCT600-001</t>
  </si>
  <si>
    <t>Engine removing from frame.</t>
  </si>
  <si>
    <t>ZD900-032E</t>
  </si>
  <si>
    <t>Pump repair &amp; water test.</t>
  </si>
  <si>
    <t>Engine assembling.</t>
  </si>
  <si>
    <t>Pump dismantling.</t>
  </si>
  <si>
    <t>Pump dismantling ongoing.</t>
  </si>
  <si>
    <t>Spare engine for mozambic</t>
  </si>
  <si>
    <t>SM1002-142</t>
  </si>
  <si>
    <t>SM1002 275/022</t>
  </si>
  <si>
    <t>Pump water testing</t>
  </si>
  <si>
    <t>14nos 2.2kw pumps inspection &amp; fleet number tagging</t>
  </si>
  <si>
    <t>CD150 spare engine</t>
  </si>
  <si>
    <t>canopy &amp; radiator removing</t>
  </si>
  <si>
    <t>Load testing, fuel tank cleaning, final fitting</t>
  </si>
  <si>
    <t>15;30</t>
  </si>
  <si>
    <t>JAGDEV</t>
  </si>
  <si>
    <t>Engine top end repairing</t>
  </si>
  <si>
    <t>CD50E-002</t>
  </si>
  <si>
    <t>Sulemam</t>
  </si>
  <si>
    <t>GENJ60-003</t>
  </si>
  <si>
    <t>Safety glass, canopy fixing, test &amp; PDI</t>
  </si>
  <si>
    <t>Inspection &amp; servicing</t>
  </si>
  <si>
    <t>SM1002 60/142</t>
  </si>
  <si>
    <t>Inspection &amp; reapair</t>
  </si>
  <si>
    <t>Excide rotor rewinding</t>
  </si>
  <si>
    <t>7nos BH pumps water testing</t>
  </si>
  <si>
    <t>Motor repair</t>
  </si>
  <si>
    <t>CPBX3</t>
  </si>
  <si>
    <t>repair test &amp; PDI</t>
  </si>
  <si>
    <t>Pump dismantle &amp; welding</t>
  </si>
  <si>
    <t>Pressure washer</t>
  </si>
  <si>
    <t>Engine repair for site maintenance</t>
  </si>
  <si>
    <t>DR-025</t>
  </si>
  <si>
    <t>Spider light</t>
  </si>
  <si>
    <t>SLT018/21/30/32/027/017 6nos tower light for each 30meter cable &amp; 6nos male socket</t>
  </si>
  <si>
    <t>CD50E-001/004</t>
  </si>
  <si>
    <t>Parts cleaning, cramic coating</t>
  </si>
  <si>
    <t>15nos BH pumps inspection &amp; repair</t>
  </si>
  <si>
    <t>SSD22-002</t>
  </si>
  <si>
    <t>Copper cable  removing &amp; rewinding</t>
  </si>
  <si>
    <t>Dispatching panels</t>
  </si>
  <si>
    <t>Vaccum pump &amp; fleet number repairing</t>
  </si>
  <si>
    <t>KV500-24</t>
  </si>
  <si>
    <t>Washing pump end flashing, cpoupling inspection &amp; valve repairing</t>
  </si>
  <si>
    <t>Pump dismantle &amp; welding, coating</t>
  </si>
  <si>
    <t xml:space="preserve">Pump assembling </t>
  </si>
  <si>
    <t>Pump water test &amp; engine repair.</t>
  </si>
  <si>
    <t>CP150-250</t>
  </si>
  <si>
    <t>Engine cylinder head repair</t>
  </si>
  <si>
    <t>Pressure washer Engine repair for site maintenance</t>
  </si>
  <si>
    <t>PT175-550</t>
  </si>
  <si>
    <t>Pump dismantle for SWI</t>
  </si>
  <si>
    <t>General repair, load test</t>
  </si>
  <si>
    <t>Hjagdev</t>
  </si>
  <si>
    <t>ABI-14/17-001</t>
  </si>
  <si>
    <t>Gearbox repaired onsite.</t>
  </si>
  <si>
    <t>SPB7.5-109</t>
  </si>
  <si>
    <t>Modification, adding ELCB &amp; safety glass</t>
  </si>
  <si>
    <t>Repair, test &amp; PDI</t>
  </si>
  <si>
    <t>SPB7.5-085</t>
  </si>
  <si>
    <t>SM1002-101</t>
  </si>
  <si>
    <t>SM530-551</t>
  </si>
  <si>
    <t>SM530-430</t>
  </si>
  <si>
    <t>5nos pump water testing</t>
  </si>
  <si>
    <t>SM530-299</t>
  </si>
  <si>
    <t>Final fitting &amp; vaccum testing</t>
  </si>
  <si>
    <t>CD50E-001</t>
  </si>
  <si>
    <t>Repairing &amp; water testing</t>
  </si>
  <si>
    <t>Engine &amp; ac alternator motor fix, radiator fix.</t>
  </si>
  <si>
    <t>GEN80-014</t>
  </si>
  <si>
    <t>GEN60-027</t>
  </si>
  <si>
    <t>General repair, load test, water test</t>
  </si>
  <si>
    <t>GEN45-010</t>
  </si>
  <si>
    <t>GEN60-027/028</t>
  </si>
  <si>
    <t>General repair, load test, water testing</t>
  </si>
  <si>
    <t>SPB7.5-163</t>
  </si>
  <si>
    <t>DB-197</t>
  </si>
  <si>
    <t>GENJ250-040</t>
  </si>
  <si>
    <t>copper cable removing for rewinding</t>
  </si>
  <si>
    <t>SM1002-186</t>
  </si>
  <si>
    <t>14nos 3.7kw pumps inspection &amp; fleet number tagging</t>
  </si>
  <si>
    <t>AD1500-004</t>
  </si>
  <si>
    <t>Dsiccant changing.</t>
  </si>
  <si>
    <t>CP1818-013</t>
  </si>
  <si>
    <t>Activation carbon change.</t>
  </si>
  <si>
    <t>BL150-066</t>
  </si>
  <si>
    <t>Frame &amp; panel board removing.</t>
  </si>
  <si>
    <t>Engine &amp; pump assembling ongoing</t>
  </si>
  <si>
    <t>Pump end coating &amp; assembling</t>
  </si>
  <si>
    <t xml:space="preserve">General repair, load test, </t>
  </si>
  <si>
    <t>CP150-692</t>
  </si>
  <si>
    <t>GEN100-040</t>
  </si>
  <si>
    <t xml:space="preserve">Controol wiring </t>
  </si>
  <si>
    <t>15nos pumps inspection &amp; repairing</t>
  </si>
  <si>
    <t>Activated value, element filter change.</t>
  </si>
  <si>
    <t>Desiccant change</t>
  </si>
  <si>
    <t>pump assembling</t>
  </si>
  <si>
    <t>Frame removing &amp; fitting.</t>
  </si>
  <si>
    <t>Engine prepare for assembling ongoing</t>
  </si>
  <si>
    <t>CP150-539</t>
  </si>
  <si>
    <t>Pump end preparing and assembling</t>
  </si>
  <si>
    <t>AGT-001/002</t>
  </si>
  <si>
    <t>Inspection &amp; testing</t>
  </si>
  <si>
    <t>SM1002-086</t>
  </si>
  <si>
    <t>SM530-411/291</t>
  </si>
  <si>
    <t>Cable gland/pump dismantling</t>
  </si>
  <si>
    <t>FM200-125</t>
  </si>
  <si>
    <t>SM1002-101/186/086SM530-430/411/291
SM1002-101/186/086</t>
  </si>
  <si>
    <t>water testing</t>
  </si>
  <si>
    <t>15nos pumps inspection &amp; repairing, cable joint pump</t>
  </si>
  <si>
    <t>Pump dismantle &amp; repair</t>
  </si>
  <si>
    <t>GENP100-127</t>
  </si>
  <si>
    <t>GENP100-124</t>
  </si>
  <si>
    <t>Actuator pipe connecting &amp; intercooler fixing</t>
  </si>
  <si>
    <t>Zaheer</t>
  </si>
  <si>
    <t>Air motor repair</t>
  </si>
  <si>
    <t>Frame &amp; panel board removing &amp; refitting</t>
  </si>
  <si>
    <t>Inlet manifold &amp; door fixing</t>
  </si>
  <si>
    <t>Fuel line repair, load test</t>
  </si>
  <si>
    <t>GENJ100-008</t>
  </si>
  <si>
    <t>General repair, starting problem, load test</t>
  </si>
  <si>
    <t>SM530-358</t>
  </si>
  <si>
    <t xml:space="preserve">Pump dismantle </t>
  </si>
  <si>
    <t>CPB1.1-002</t>
  </si>
  <si>
    <t>Wiring power &amp; control</t>
  </si>
  <si>
    <t xml:space="preserve">Control wiring </t>
  </si>
  <si>
    <t>Sensors wiring &amp; canopy fixing</t>
  </si>
  <si>
    <t>SM1002-273</t>
  </si>
  <si>
    <t>SM530-380</t>
  </si>
  <si>
    <t>Pump assemble</t>
  </si>
  <si>
    <t>25nos pumps inspection &amp; repairing, scrap</t>
  </si>
  <si>
    <t>Actuator pipe connecting &amp; water separator connecting</t>
  </si>
  <si>
    <t>KV550-01</t>
  </si>
  <si>
    <t>Insppection, washing, repair</t>
  </si>
  <si>
    <t>Suresh</t>
  </si>
  <si>
    <t>Manifold &amp; safety guard fixing</t>
  </si>
  <si>
    <t>SDW40N-1005/004</t>
  </si>
  <si>
    <t>winding cutting &amp; copper cable removing</t>
  </si>
  <si>
    <t xml:space="preserve">15nos pumps inspection &amp; repairing, </t>
  </si>
  <si>
    <t>SM530-238</t>
  </si>
  <si>
    <t>SM250-047</t>
  </si>
  <si>
    <t>HCCB fixing, power cable connection.</t>
  </si>
  <si>
    <t>SWD60H-003</t>
  </si>
  <si>
    <t>Vaccum Pump repair</t>
  </si>
  <si>
    <t>Cylinder head repair</t>
  </si>
  <si>
    <t>Minor repair &amp; water test</t>
  </si>
  <si>
    <t>CP150-882</t>
  </si>
  <si>
    <t>Pump &amp; engine repair</t>
  </si>
  <si>
    <t>PT175-552</t>
  </si>
  <si>
    <t>Pump remove &amp; SWI making</t>
  </si>
  <si>
    <t>Gate Valve</t>
  </si>
  <si>
    <t>DR-17</t>
  </si>
  <si>
    <t>Hydraulic hose tightened, bonnet jack changing.</t>
  </si>
  <si>
    <t>Final fitting, fuel water seperator changing,</t>
  </si>
  <si>
    <t>VHH4</t>
  </si>
  <si>
    <t>General repair onsite.</t>
  </si>
  <si>
    <t>SHD50-004</t>
  </si>
  <si>
    <t xml:space="preserve">20nos pumps inspection, dismantle &amp; scrap </t>
  </si>
  <si>
    <t>SWD40N-003</t>
  </si>
  <si>
    <t>Pump assembling waiting for parts</t>
  </si>
  <si>
    <t>Pump end repair</t>
  </si>
  <si>
    <t>Fan hub bearing changing, fan fix, load test.</t>
  </si>
  <si>
    <t>Ac alternator &amp; fuel pump fix.</t>
  </si>
  <si>
    <t>CP150V-002</t>
  </si>
  <si>
    <t>CP150-882/860/v002</t>
  </si>
  <si>
    <t>LB-004</t>
  </si>
  <si>
    <t>Load bank repairing &amp; cover removing</t>
  </si>
  <si>
    <t>SM530-380/238</t>
  </si>
  <si>
    <t>Water testing, rotor repair &amp; assemble</t>
  </si>
  <si>
    <t>Modification, adding, ELCB safety glass &amp; rewiring.</t>
  </si>
  <si>
    <t>Rotor repairing &amp; assemble</t>
  </si>
  <si>
    <t>Actuator pipe connecting &amp;load test</t>
  </si>
  <si>
    <t>CD50-004</t>
  </si>
  <si>
    <t>3XVaccum Pump repair, completely rusty</t>
  </si>
  <si>
    <t>pump assemble</t>
  </si>
  <si>
    <t>GEN60-003</t>
  </si>
  <si>
    <t>Inspection &amp; power cable connection.</t>
  </si>
  <si>
    <t>SWD40H-003</t>
  </si>
  <si>
    <t>BL150-88</t>
  </si>
  <si>
    <t>Engine repairing ongoing</t>
  </si>
  <si>
    <t>PT175XMozambique</t>
  </si>
  <si>
    <t>Pump assembling, connecting rod.</t>
  </si>
  <si>
    <t>SCRLF19-001</t>
  </si>
  <si>
    <t>steering hydraulic cylinder seal changing</t>
  </si>
  <si>
    <t>95kw pump fixing</t>
  </si>
  <si>
    <t>CP1818-020</t>
  </si>
  <si>
    <t>Radiator change</t>
  </si>
  <si>
    <t>1XVaccum Pump repair.</t>
  </si>
  <si>
    <t>Frame &amp; panel board removing &amp; refitting ongoing</t>
  </si>
  <si>
    <t>Pump prepare for assembling &amp; gearbox assembling</t>
  </si>
  <si>
    <t>GENJ100-009</t>
  </si>
  <si>
    <t>Canopy&amp; radiator removing</t>
  </si>
  <si>
    <t>Copper cable removing.</t>
  </si>
  <si>
    <t>SWD40N-004</t>
  </si>
  <si>
    <t>15nos pumps inspection &amp; repair, 4nos pump water testing, 4nos pump cable joint</t>
  </si>
  <si>
    <t>FFD Dismantling for Testing</t>
  </si>
  <si>
    <t>SPB95-002</t>
  </si>
  <si>
    <t>Giyan</t>
  </si>
  <si>
    <t>SM530-134</t>
  </si>
  <si>
    <t>Re Winding</t>
  </si>
  <si>
    <t>BL150-088</t>
  </si>
  <si>
    <t>PT-552</t>
  </si>
  <si>
    <t>Mozambique pump</t>
  </si>
  <si>
    <t>Frame &amp; panel board removing fabrication work &amp; refitting</t>
  </si>
  <si>
    <t>ISmail</t>
  </si>
  <si>
    <t>Valve casing cleaning &amp; fiber coating</t>
  </si>
  <si>
    <t>Engine oil service, general repair, radiator washing,</t>
  </si>
  <si>
    <t>BFT3-323/336</t>
  </si>
  <si>
    <t>Return adaptor fitting, final fitting</t>
  </si>
  <si>
    <t>GEN100-40</t>
  </si>
  <si>
    <t>Final fitting, breaker cover fitting</t>
  </si>
  <si>
    <t>15nos scrap pump Inspection &amp; repairing</t>
  </si>
  <si>
    <t>5XSCP</t>
  </si>
  <si>
    <t>CPB13.8/175</t>
  </si>
  <si>
    <t>Repair &amp; solar fixing</t>
  </si>
  <si>
    <t>15nos scrap pump Inspection &amp; repairing, 4nos cable joints.</t>
  </si>
  <si>
    <t xml:space="preserve">Vaccum test, final fitting &amp; PDI </t>
  </si>
  <si>
    <t>CP1212-026</t>
  </si>
  <si>
    <t>Pump  overhauling</t>
  </si>
  <si>
    <t>CP150-507</t>
  </si>
  <si>
    <t>Engine dismantling.</t>
  </si>
  <si>
    <t>ZD900-033</t>
  </si>
  <si>
    <t>Mamun</t>
  </si>
  <si>
    <t>GEN200-004</t>
  </si>
  <si>
    <t>Foam sheet fixing</t>
  </si>
  <si>
    <t>SPB3.7-169</t>
  </si>
  <si>
    <t>CPB3.7-171</t>
  </si>
  <si>
    <t>FM200X4/300X4</t>
  </si>
  <si>
    <t>Inspection, power &amp; PDI</t>
  </si>
  <si>
    <t>FM150X4/300X4</t>
  </si>
  <si>
    <t>SM1002-273/SSD22-002</t>
  </si>
  <si>
    <t>9nos pump Inspection &amp; water tesring</t>
  </si>
  <si>
    <t>CD180M-22</t>
  </si>
  <si>
    <t>Inspection &amp; general repair</t>
  </si>
  <si>
    <t>AC375-012</t>
  </si>
  <si>
    <t>Oil Service, general checkup</t>
  </si>
  <si>
    <t>CP1212S17-001</t>
  </si>
  <si>
    <t>Engine repair ongoing</t>
  </si>
  <si>
    <t>Final fitting &amp; minor repair</t>
  </si>
  <si>
    <t>Engine &amp; ac alternator fixing.</t>
  </si>
  <si>
    <t>ZD900-065</t>
  </si>
  <si>
    <t>SPB3.7-021</t>
  </si>
  <si>
    <t>SPB3.7-054</t>
  </si>
  <si>
    <t>DB299/059</t>
  </si>
  <si>
    <t>Muffler change &amp; general repair work.</t>
  </si>
  <si>
    <t>Pump  assembling</t>
  </si>
  <si>
    <t>CD300M-015</t>
  </si>
  <si>
    <t>Inspection &amp; overhauling</t>
  </si>
  <si>
    <t>Pump assembling, water testing &amp; engine repair</t>
  </si>
  <si>
    <t>SCRLFT19-001</t>
  </si>
  <si>
    <t>hydraulic hose repair</t>
  </si>
  <si>
    <t>FM-150/200/300</t>
  </si>
  <si>
    <t>8nos flowmeter inspection &amp; PDI</t>
  </si>
  <si>
    <t>SSD18-002</t>
  </si>
  <si>
    <t>Pump aassembling</t>
  </si>
  <si>
    <t>15nos pump Inspection &amp; scrap/ 4nos pump cable joint</t>
  </si>
  <si>
    <t>Engine &amp; ac alternator fixing, canopy fixing</t>
  </si>
  <si>
    <t>GEN60-80/63/077/065</t>
  </si>
  <si>
    <t>Water washing, general repair &amp; load test</t>
  </si>
  <si>
    <t>CP150V-062</t>
  </si>
  <si>
    <t>Engine &amp; pump repair ongoing</t>
  </si>
  <si>
    <t>CP150-054</t>
  </si>
  <si>
    <t>Pump repair &amp; water test</t>
  </si>
  <si>
    <t>CP150V-015</t>
  </si>
  <si>
    <t>SPB2.2-020</t>
  </si>
  <si>
    <t>SPB7.5-025/003</t>
  </si>
  <si>
    <t>Cleaning &amp; paper instenciling</t>
  </si>
  <si>
    <t>Pwer cable connection.</t>
  </si>
  <si>
    <t>SM1002-019</t>
  </si>
  <si>
    <t>15nos pump inspection &amp; prepare for scrap.</t>
  </si>
  <si>
    <t>SWD60N-003</t>
  </si>
  <si>
    <t>GEN60-41</t>
  </si>
  <si>
    <t>Coolant connection, pipe fitting, starting &amp; voltage setting, load test</t>
  </si>
  <si>
    <t>Installation on test bay for water test.</t>
  </si>
  <si>
    <t>CP1212S17-026</t>
  </si>
  <si>
    <t>Seramle coating</t>
  </si>
  <si>
    <t>Mechanical seal change</t>
  </si>
  <si>
    <t>CP150-309</t>
  </si>
  <si>
    <t>final fitting</t>
  </si>
  <si>
    <t>CP150V-073</t>
  </si>
  <si>
    <t>GEN60-013/003</t>
  </si>
  <si>
    <t>SM530/419</t>
  </si>
  <si>
    <t>radiator fixed</t>
  </si>
  <si>
    <t>GEN60-27</t>
  </si>
  <si>
    <t>SPB3.7-109</t>
  </si>
  <si>
    <t>SPB7.5-194</t>
  </si>
  <si>
    <t>Rewinding &amp; connection.</t>
  </si>
  <si>
    <t>Servicing &amp; pump assemble</t>
  </si>
  <si>
    <t>15nos pump inspection &amp; repair.</t>
  </si>
  <si>
    <t>Fuel tank clean &amp; vaccum test</t>
  </si>
  <si>
    <t>water test</t>
  </si>
  <si>
    <t>SCT700-01</t>
  </si>
  <si>
    <t>Engine removing</t>
  </si>
  <si>
    <t>Installation, water &amp; vaccum test</t>
  </si>
  <si>
    <t>General repair, gasket setting</t>
  </si>
  <si>
    <t>GENS100-067</t>
  </si>
  <si>
    <t>General repair, fuel tank cleaning,load test</t>
  </si>
  <si>
    <t>Silencer bellow changing, load test</t>
  </si>
  <si>
    <t>Engine fixing on pump with all connections.</t>
  </si>
  <si>
    <t>CP150V-040</t>
  </si>
  <si>
    <t>CP150V-004</t>
  </si>
  <si>
    <t>Raduiator Fixing, Fuel Tank Cleaning &amp; Valve Clearance</t>
  </si>
  <si>
    <t>Radiator Cleaning</t>
  </si>
  <si>
    <t>GENG80-005</t>
  </si>
  <si>
    <t>Genearal Repair</t>
  </si>
  <si>
    <t>Water Test</t>
  </si>
  <si>
    <t>SPB3.7-097</t>
  </si>
  <si>
    <t>3XSPB Panel</t>
  </si>
  <si>
    <t>PDI &amp; Dispatching</t>
  </si>
  <si>
    <t>Final Fitting PDI &amp; Flow testing</t>
  </si>
  <si>
    <t>Pump Repair</t>
  </si>
  <si>
    <t>Total Hours</t>
  </si>
  <si>
    <t>Grand Total</t>
  </si>
  <si>
    <t>Years (Date)</t>
  </si>
  <si>
    <t>Months (Date)</t>
  </si>
  <si>
    <t>2026</t>
  </si>
  <si>
    <t>Days (Date)</t>
  </si>
  <si>
    <t>02-Feb</t>
  </si>
  <si>
    <t>03-Feb</t>
  </si>
  <si>
    <t>04-Feb</t>
  </si>
  <si>
    <t>05-Feb</t>
  </si>
  <si>
    <t>06-Feb</t>
  </si>
  <si>
    <t>07-Feb</t>
  </si>
  <si>
    <t>Feb</t>
  </si>
  <si>
    <t>(All)</t>
  </si>
  <si>
    <t>Count of Current Status</t>
  </si>
  <si>
    <t>Total</t>
  </si>
  <si>
    <t>Sum of Total Hours</t>
  </si>
  <si>
    <t>Repair Status</t>
  </si>
  <si>
    <t>SPB3.7-058</t>
  </si>
  <si>
    <t>DB-091</t>
  </si>
  <si>
    <t>3XSPB PDI &amp; dispatching</t>
  </si>
  <si>
    <t>SPB3.7-094</t>
  </si>
  <si>
    <t>Slot paper &amp; coil making</t>
  </si>
  <si>
    <t>SM530-355</t>
  </si>
  <si>
    <t>Winding cutting &amp; cleaning.</t>
  </si>
  <si>
    <t>Inspection &amp; pump parts cleaning.</t>
  </si>
  <si>
    <t>SM530-546</t>
  </si>
  <si>
    <t>SM1002-200</t>
  </si>
  <si>
    <t>Radiator fixing &amp; fuel tank cleaning.</t>
  </si>
  <si>
    <t>Panel board &amp; air filter modification.</t>
  </si>
  <si>
    <t>GEN240-010/015</t>
  </si>
  <si>
    <t>PDI &amp; flowfinity/ bracket cover bolt welding.</t>
  </si>
  <si>
    <t>General work &amp; system work.</t>
  </si>
  <si>
    <t>HL260M-004</t>
  </si>
  <si>
    <t>Inspection &amp; fuel tank cleaning.</t>
  </si>
  <si>
    <t>Making a new SKD PUMP</t>
  </si>
  <si>
    <t>Cylinder head assembling</t>
  </si>
  <si>
    <t>CP150x2</t>
  </si>
  <si>
    <t>CP150-704</t>
  </si>
  <si>
    <t>CP150-661</t>
  </si>
  <si>
    <t>Floaded engine dismantling.</t>
  </si>
  <si>
    <t>09-Feb</t>
  </si>
  <si>
    <t>Emp Name</t>
  </si>
  <si>
    <t>Asif Mehmood</t>
  </si>
  <si>
    <t>Jahir Nurul Islam</t>
  </si>
  <si>
    <t>Muhammad Billal</t>
  </si>
  <si>
    <t>Ismail Mostofa</t>
  </si>
  <si>
    <t>Bharathesha Shubhakara Jain</t>
  </si>
  <si>
    <t>Mintu Kumar</t>
  </si>
  <si>
    <t>Haras Hussaon</t>
  </si>
  <si>
    <t>Shaj Muthiraparamibil Balan</t>
  </si>
  <si>
    <t>James Adukutwah</t>
  </si>
  <si>
    <t>Suresh Kumar Sudhakaran</t>
  </si>
  <si>
    <t>Jagdev Singh</t>
  </si>
  <si>
    <t>Saeed Anwar</t>
  </si>
  <si>
    <t>Haneefa Kalathingal</t>
  </si>
  <si>
    <t>Mohammad Shahanwaz</t>
  </si>
  <si>
    <t>Shah Fahad Khan</t>
  </si>
  <si>
    <t>Gihan Rasanka Fernando</t>
  </si>
  <si>
    <t>Saqib Khan</t>
  </si>
  <si>
    <t>Faisal Hussain</t>
  </si>
  <si>
    <t>Charith Madusanka</t>
  </si>
  <si>
    <t>Venu Maranattu</t>
  </si>
  <si>
    <t>Nesdonal Aghedse Chimontoh</t>
  </si>
  <si>
    <t>Abdul Mannan Akmot Ali</t>
  </si>
  <si>
    <t>Mohammed Abu Taher Late Abu Bakkar</t>
  </si>
  <si>
    <t>Mohammed Abdul Hoque</t>
  </si>
  <si>
    <t>Tariq Mehmood</t>
  </si>
  <si>
    <t>Dinesh Pookat Jayan</t>
  </si>
  <si>
    <t>Mohammed Kamrul Hasan</t>
  </si>
  <si>
    <t>Azharuddin Ansari</t>
  </si>
  <si>
    <t>Suresh Kumar Kalaikattu</t>
  </si>
  <si>
    <t>Imran Hussain</t>
  </si>
  <si>
    <t>Gurlal Singh</t>
  </si>
  <si>
    <t>Abdullah Al Kafi Zisan</t>
  </si>
  <si>
    <t>Muhammad Fayam</t>
  </si>
  <si>
    <t>Arshad Bhati</t>
  </si>
  <si>
    <t>Sushanth Kallipal</t>
  </si>
  <si>
    <t>Martino Archin Buabin</t>
  </si>
  <si>
    <t>Vinod Vijayan</t>
  </si>
  <si>
    <t>Suraj Sunil</t>
  </si>
  <si>
    <t>Muhammad Imran</t>
  </si>
  <si>
    <t>Amanur Rub Farooqui</t>
  </si>
  <si>
    <t>Gulam Murtaza</t>
  </si>
  <si>
    <t>Vergelin Lijo</t>
  </si>
  <si>
    <t>Suhaib Puthan Peedikakkal</t>
  </si>
  <si>
    <t>Mohammad Sajjad</t>
  </si>
  <si>
    <t>Shahanavaj Ahmad</t>
  </si>
  <si>
    <t>Sonu Gupta</t>
  </si>
  <si>
    <t>Paritosh Basu</t>
  </si>
  <si>
    <t>Muhammad Shadeed Khan</t>
  </si>
  <si>
    <t>Prince Prakash</t>
  </si>
  <si>
    <t>Vakkachan</t>
  </si>
  <si>
    <t xml:space="preserve">Gireesh Kumar </t>
  </si>
  <si>
    <t>Santhosh Kumar Rajan</t>
  </si>
  <si>
    <t>Fletcher Simson</t>
  </si>
  <si>
    <t>Suleman Jehan Zeb</t>
  </si>
  <si>
    <t>Afsar Khan Zar Ali Khan</t>
  </si>
  <si>
    <t>Suresh Vishwakarma</t>
  </si>
  <si>
    <t>Mohammad Moniruzzaman</t>
  </si>
  <si>
    <t>Repair &amp; test</t>
  </si>
  <si>
    <t>SCP141-228</t>
  </si>
  <si>
    <t>"</t>
  </si>
  <si>
    <t>SM530-353</t>
  </si>
  <si>
    <t>Winding stator cleaning &amp; slot paper making</t>
  </si>
  <si>
    <t>20nos pump inspection &amp; repair scrap.</t>
  </si>
  <si>
    <t>Pump assemble &amp; water testing.</t>
  </si>
  <si>
    <t>Safety Guard removing, radiator washing.</t>
  </si>
  <si>
    <t>Load test, coolant change.</t>
  </si>
  <si>
    <t>Oil Cooler &amp; silencer fitting, load test</t>
  </si>
  <si>
    <t>GENJ100-017</t>
  </si>
  <si>
    <t>Genera repair, fuel tank &amp; radiator cleaning, Load test</t>
  </si>
  <si>
    <t>GENG100-024</t>
  </si>
  <si>
    <t>Engine top over hauling ongoing</t>
  </si>
  <si>
    <t>Engine dismantling &amp; pump repair</t>
  </si>
  <si>
    <t>Pump overhauling</t>
  </si>
  <si>
    <t>General/System work</t>
  </si>
  <si>
    <t>MCS work order</t>
  </si>
  <si>
    <t>Inspection &amp; fuel tank cleaning &amp; vaccum test</t>
  </si>
  <si>
    <t>SKD250</t>
  </si>
  <si>
    <t>10-Feb</t>
  </si>
  <si>
    <t>CP150-707</t>
  </si>
  <si>
    <t>Engine &amp; pump minor repair</t>
  </si>
  <si>
    <t>CP150-783</t>
  </si>
  <si>
    <t>11-Feb</t>
  </si>
  <si>
    <t>SPB3.7-134</t>
  </si>
  <si>
    <t>Coil making for rewinding</t>
  </si>
  <si>
    <t>15nos pump inspection &amp; repair scrap.</t>
  </si>
  <si>
    <t>Water &amp; vaccum test.</t>
  </si>
  <si>
    <t>Pump alignment</t>
  </si>
  <si>
    <t>Ready water picks</t>
  </si>
  <si>
    <t>Ac alternator cleaning &amp; service, general repair</t>
  </si>
  <si>
    <t>Engine oil service, radiator cleaning &amp; washing.</t>
  </si>
  <si>
    <t>Emp No</t>
  </si>
  <si>
    <t>DB-166</t>
  </si>
  <si>
    <t>CP150V-073/015/054</t>
  </si>
  <si>
    <t>Engine &amp; pump prepare for assembling.</t>
  </si>
  <si>
    <t>Pump prepare for assembling.</t>
  </si>
  <si>
    <t>CP150V-004/062</t>
  </si>
  <si>
    <t>Fuel tank cleaning, final fitting.</t>
  </si>
  <si>
    <t>Pump assembling.</t>
  </si>
  <si>
    <t>Rotor repairing &amp; pump assemble</t>
  </si>
  <si>
    <t>Inspection&amp; pump repair</t>
  </si>
  <si>
    <t>FM200/300/700</t>
  </si>
  <si>
    <t>SLP138/175</t>
  </si>
  <si>
    <t>Engine block cleaning, load test</t>
  </si>
  <si>
    <t>Safety guard fixing &amp; final fitting.</t>
  </si>
  <si>
    <t>SCP-138</t>
  </si>
  <si>
    <t>SCP-175</t>
  </si>
  <si>
    <t>FM300/700</t>
  </si>
  <si>
    <t>Inspection &amp; pump repair</t>
  </si>
  <si>
    <t>CP150-706/845</t>
  </si>
  <si>
    <t>CP150V-309</t>
  </si>
  <si>
    <t>Fuel tank cleaning &amp; repair final fitting.</t>
  </si>
  <si>
    <t>CP150-879</t>
  </si>
  <si>
    <t>pump dismantling.</t>
  </si>
  <si>
    <t>Final fitting &amp; PDI</t>
  </si>
  <si>
    <t>12-Feb</t>
  </si>
  <si>
    <t>Fuel tank cleaning &amp; washing.</t>
  </si>
  <si>
    <t>SF300-001</t>
  </si>
  <si>
    <t>GENJ60-065</t>
  </si>
  <si>
    <t>General repair &amp; Load test</t>
  </si>
  <si>
    <t>GEN80-016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</si>
</sst>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h:mm:ss&quot; &quot;AM/P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4659260841701"/>
      <name val="Cambria"/>
      <family val="2"/>
      <scheme val="major"/>
    </font>
    <font>
      <sz val="14"/>
      <color theme="1" tint="0.2499465926084170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</font>
    <font>
      <sz val="22"/>
      <color theme="1"/>
      <name val="Calibri"/>
      <family val="2"/>
      <scheme val="minor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2" borderId="2" applyNumberFormat="0" applyFont="0" applyAlignment="0">
      <alignment horizontal="center"/>
    </xf>
    <xf numFmtId="0" fontId="3" fillId="0" borderId="0" applyNumberFormat="0" applyFill="0" applyBorder="0" applyProtection="0">
      <alignment horizontal="left" vertical="center"/>
    </xf>
    <xf numFmtId="0" fontId="2" fillId="3" borderId="3" applyNumberFormat="0" applyFont="0" applyAlignment="0">
      <alignment horizontal="center"/>
    </xf>
    <xf numFmtId="0" fontId="2" fillId="6" borderId="3" applyNumberFormat="0" applyFont="0" applyAlignment="0">
      <alignment horizontal="center"/>
    </xf>
    <xf numFmtId="0" fontId="2" fillId="4" borderId="3" applyNumberFormat="0" applyFont="0" applyAlignment="0">
      <alignment horizontal="center"/>
    </xf>
    <xf numFmtId="0" fontId="2" fillId="5" borderId="3" applyNumberFormat="0" applyFont="0" applyAlignment="0">
      <alignment horizontal="center"/>
    </xf>
  </cellStyleXfs>
  <cellXfs count="3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6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4" fontId="5" fillId="0" borderId="10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14" fontId="0" fillId="10" borderId="10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14" fontId="0" fillId="10" borderId="9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8" borderId="9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14" fontId="0" fillId="10" borderId="7" xfId="0" applyNumberFormat="1" applyFill="1" applyBorder="1" applyAlignment="1">
      <alignment horizontal="center" vertical="center"/>
    </xf>
    <xf numFmtId="14" fontId="0" fillId="10" borderId="13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5" fillId="8" borderId="9" xfId="0" applyFont="1" applyFill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10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8" borderId="10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9" xfId="0" applyBorder="1"/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8" borderId="9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8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wrapText="1"/>
    </xf>
    <xf numFmtId="14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8" borderId="9" xfId="0" applyFill="1" applyBorder="1"/>
    <xf numFmtId="0" fontId="5" fillId="10" borderId="1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vertical="center"/>
    </xf>
    <xf numFmtId="0" fontId="5" fillId="10" borderId="10" xfId="0" applyFont="1" applyFill="1" applyBorder="1" applyAlignment="1">
      <alignment vertical="center"/>
    </xf>
    <xf numFmtId="0" fontId="5" fillId="10" borderId="6" xfId="0" applyFont="1" applyFill="1" applyBorder="1" applyAlignment="1">
      <alignment horizontal="left" vertical="center"/>
    </xf>
    <xf numFmtId="0" fontId="0" fillId="10" borderId="6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0" fontId="0" fillId="10" borderId="9" xfId="0" applyFill="1" applyBorder="1"/>
    <xf numFmtId="0" fontId="0" fillId="10" borderId="6" xfId="0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20" fontId="5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9" xfId="0" applyFill="1" applyBorder="1" applyAlignment="1">
      <alignment horizontal="left" vertical="center"/>
    </xf>
    <xf numFmtId="14" fontId="5" fillId="0" borderId="10" xfId="0" applyNumberFormat="1" applyFont="1" applyBorder="1" applyAlignment="1">
      <alignment vertical="center"/>
    </xf>
    <xf numFmtId="20" fontId="5" fillId="0" borderId="9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vertical="center"/>
    </xf>
    <xf numFmtId="20" fontId="5" fillId="0" borderId="6" xfId="0" applyNumberFormat="1" applyFont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14" fontId="5" fillId="0" borderId="9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vertical="center"/>
    </xf>
    <xf numFmtId="14" fontId="5" fillId="0" borderId="6" xfId="0" applyNumberFormat="1" applyFont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20" fontId="0" fillId="0" borderId="1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0" fontId="0" fillId="6" borderId="9" xfId="0" applyFill="1" applyBorder="1" applyAlignment="1">
      <alignment vertical="center"/>
    </xf>
    <xf numFmtId="20" fontId="0" fillId="0" borderId="9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/>
    </xf>
    <xf numFmtId="0" fontId="0" fillId="9" borderId="1" xfId="0" applyFill="1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20" fontId="0" fillId="0" borderId="6" xfId="0" applyNumberFormat="1" applyBorder="1" applyAlignment="1">
      <alignment horizont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6" borderId="9" xfId="0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10" xfId="0" applyNumberFormat="1" applyBorder="1" applyAlignment="1">
      <alignment horizontal="center"/>
    </xf>
    <xf numFmtId="20" fontId="0" fillId="0" borderId="9" xfId="0" applyNumberFormat="1" applyBorder="1" applyAlignment="1">
      <alignment horizontal="center"/>
    </xf>
    <xf numFmtId="14" fontId="5" fillId="9" borderId="9" xfId="0" applyNumberFormat="1" applyFont="1" applyFill="1" applyBorder="1" applyAlignment="1">
      <alignment horizontal="left" vertical="center"/>
    </xf>
    <xf numFmtId="14" fontId="5" fillId="9" borderId="10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0" fillId="10" borderId="9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8" borderId="0" xfId="0" applyFill="1" applyAlignment="1">
      <alignment horizontal="center"/>
    </xf>
    <xf numFmtId="0" fontId="7" fillId="0" borderId="10" xfId="0" applyFont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horizontal="right" vertical="center" wrapText="1"/>
    </xf>
    <xf numFmtId="0" fontId="7" fillId="0" borderId="1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10" borderId="9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8" borderId="9" xfId="0" applyNumberFormat="1" applyFill="1" applyBorder="1" applyAlignment="1">
      <alignment horizontal="center" vertical="center"/>
    </xf>
    <xf numFmtId="14" fontId="0" fillId="8" borderId="6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10" borderId="10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11" borderId="9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11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14" fontId="0" fillId="6" borderId="9" xfId="0" applyNumberForma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6" borderId="9" xfId="0" applyNumberFormat="1" applyFont="1" applyFill="1" applyBorder="1" applyAlignment="1">
      <alignment horizontal="center" vertical="center"/>
    </xf>
    <xf numFmtId="14" fontId="5" fillId="6" borderId="10" xfId="0" applyNumberFormat="1" applyFont="1" applyFill="1" applyBorder="1" applyAlignment="1">
      <alignment horizontal="center" vertical="center"/>
    </xf>
    <xf numFmtId="14" fontId="5" fillId="6" borderId="6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14" fontId="5" fillId="9" borderId="9" xfId="0" applyNumberFormat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14" fontId="5" fillId="9" borderId="10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8" borderId="9" xfId="0" applyFont="1" applyFill="1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14" fontId="5" fillId="0" borderId="10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0" fontId="0" fillId="10" borderId="9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</cellXfs>
  <cellStyles count="7">
    <cellStyle name="% complete" xfId="4" xr:uid="{00000000-0005-0000-0000-000000000000}"/>
    <cellStyle name="% complete (beyond plan) legend" xfId="6" xr:uid="{00000000-0005-0000-0000-000001000000}"/>
    <cellStyle name="Actual (beyond plan) legend" xfId="5" xr:uid="{00000000-0005-0000-0000-000002000000}"/>
    <cellStyle name="Actual legend" xfId="3" xr:uid="{00000000-0005-0000-0000-000003000000}"/>
    <cellStyle name="Label" xfId="2" xr:uid="{00000000-0005-0000-0000-000004000000}"/>
    <cellStyle name="Normal" xfId="0" builtinId="0" customBuiltin="1"/>
    <cellStyle name="Plan legend" xfId="1" xr:uid="{00000000-0005-0000-0000-000006000000}"/>
  </cellStyles>
  <dxfs count="755"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C66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CC6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6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CC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[Workshop-Daily Activity Tracker FEB 2026.xlsx]Sheet2!PivotTable2</c:name>
    <c:fmtId val="5"/>
  </c:pivotSource>
  <c:chart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Sheet2!$C$5:$C$6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Sheet2!$C$7:$C$17</c:f>
              <c:numCache>
                <c:formatCode>General</c:formatCode>
                <c:ptCount val="10"/>
                <c:pt idx="0">
                  <c:v>14</c:v>
                </c:pt>
                <c:pt idx="1">
                  <c:v>21</c:v>
                </c:pt>
                <c:pt idx="2">
                  <c:v>21</c:v>
                </c:pt>
                <c:pt idx="3">
                  <c:v>24</c:v>
                </c:pt>
                <c:pt idx="4">
                  <c:v>13</c:v>
                </c:pt>
                <c:pt idx="5">
                  <c:v>22</c:v>
                </c:pt>
                <c:pt idx="6">
                  <c:v>14</c:v>
                </c:pt>
                <c:pt idx="7">
                  <c:v>18</c:v>
                </c:pt>
                <c:pt idx="8">
                  <c:v>19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8-42A1-8A07-7159DF79980E}"/>
            </c:ext>
          </c:extLst>
        </c:ser>
        <c:ser>
          <c:idx val="1"/>
          <c:order val="1"/>
          <c:tx>
            <c:strRef>
              <c:f>Sheet2!$D$5:$D$6</c:f>
              <c:strCache>
                <c:ptCount val="1"/>
                <c:pt idx="0">
                  <c:v>Ongoing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Sheet2!$D$7:$D$17</c:f>
              <c:numCache>
                <c:formatCode>General</c:formatCode>
                <c:ptCount val="10"/>
                <c:pt idx="0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15</c:v>
                </c:pt>
                <c:pt idx="5">
                  <c:v>9</c:v>
                </c:pt>
                <c:pt idx="6">
                  <c:v>14</c:v>
                </c:pt>
                <c:pt idx="7">
                  <c:v>7</c:v>
                </c:pt>
                <c:pt idx="8">
                  <c:v>7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8-42A1-8A07-7159DF79980E}"/>
            </c:ext>
          </c:extLst>
        </c:ser>
        <c:ser>
          <c:idx val="2"/>
          <c:order val="2"/>
          <c:tx>
            <c:strRef>
              <c:f>Sheet2!$E$5:$E$6</c:f>
              <c:strCache>
                <c:ptCount val="1"/>
                <c:pt idx="0">
                  <c:v>Hold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Sheet2!$A$7:$B$17</c:f>
              <c:multiLvlStrCache>
                <c:ptCount val="10"/>
                <c:lvl>
                  <c:pt idx="0">
                    <c:v>02-Feb</c:v>
                  </c:pt>
                  <c:pt idx="1">
                    <c:v>03-Feb</c:v>
                  </c:pt>
                  <c:pt idx="2">
                    <c:v>04-Feb</c:v>
                  </c:pt>
                  <c:pt idx="3">
                    <c:v>05-Feb</c:v>
                  </c:pt>
                  <c:pt idx="4">
                    <c:v>06-Feb</c:v>
                  </c:pt>
                  <c:pt idx="5">
                    <c:v>07-Feb</c:v>
                  </c:pt>
                  <c:pt idx="6">
                    <c:v>09-Feb</c:v>
                  </c:pt>
                  <c:pt idx="7">
                    <c:v>10-Feb</c:v>
                  </c:pt>
                  <c:pt idx="8">
                    <c:v>11-Feb</c:v>
                  </c:pt>
                  <c:pt idx="9">
                    <c:v>12-Feb</c:v>
                  </c:pt>
                </c:lvl>
                <c:lvl>
                  <c:pt idx="0">
                    <c:v>Feb</c:v>
                  </c:pt>
                </c:lvl>
              </c:multiLvlStrCache>
            </c:multiLvlStrRef>
          </c:cat>
          <c:val>
            <c:numRef>
              <c:f>Sheet2!$E$7:$E$17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4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8-42A1-8A07-7159DF79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849648"/>
        <c:axId val="57850128"/>
      </c:barChart>
      <c:catAx>
        <c:axId val="578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0128"/>
        <c:crosses val="autoZero"/>
        <c:auto val="1"/>
        <c:lblAlgn val="ctr"/>
        <c:lblOffset val="100"/>
        <c:noMultiLvlLbl val="0"/>
      </c:catAx>
      <c:valAx>
        <c:axId val="57850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8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[Workshop-Daily Activity Tracker FEB 2026.xlsx]Sheet2!PivotTable3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FEB 2026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Sheet2!$H$5:$H$6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Sheet2!$G$7:$G$15</c:f>
              <c:strCache>
                <c:ptCount val="8"/>
                <c:pt idx="0">
                  <c:v>Contractor dewatering Pump</c:v>
                </c:pt>
                <c:pt idx="1">
                  <c:v>Diesel Driven CP Pump</c:v>
                </c:pt>
                <c:pt idx="2">
                  <c:v>Generator</c:v>
                </c:pt>
                <c:pt idx="3">
                  <c:v>Panel</c:v>
                </c:pt>
                <c:pt idx="4">
                  <c:v>Submersible pump</c:v>
                </c:pt>
                <c:pt idx="5">
                  <c:v>Borehole pump</c:v>
                </c:pt>
                <c:pt idx="6">
                  <c:v>Submersible pumps</c:v>
                </c:pt>
                <c:pt idx="7">
                  <c:v>Other</c:v>
                </c:pt>
              </c:strCache>
            </c:strRef>
          </c:cat>
          <c:val>
            <c:numRef>
              <c:f>Sheet2!$H$7:$H$15</c:f>
              <c:numCache>
                <c:formatCode>General</c:formatCode>
                <c:ptCount val="8"/>
                <c:pt idx="0">
                  <c:v>59</c:v>
                </c:pt>
                <c:pt idx="1">
                  <c:v>32</c:v>
                </c:pt>
                <c:pt idx="2">
                  <c:v>31</c:v>
                </c:pt>
                <c:pt idx="3">
                  <c:v>20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4-475B-8F66-D1F91048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391344"/>
        <c:axId val="57393744"/>
      </c:barChart>
      <c:catAx>
        <c:axId val="573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93744"/>
        <c:crosses val="autoZero"/>
        <c:auto val="1"/>
        <c:lblAlgn val="ctr"/>
        <c:lblOffset val="100"/>
        <c:noMultiLvlLbl val="0"/>
      </c:catAx>
      <c:valAx>
        <c:axId val="57393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3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[Workshop-Daily Activity Tracker FEB 2026.xlsx]Sheet2!PivotTable5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Today Task</a:t>
            </a:r>
            <a:r>
              <a:rPr lang="en-US" baseline="0"/>
              <a:t> Planned For Asset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Sheet2!$O$5:$O$6</c:f>
              <c:strCache>
                <c:ptCount val="1"/>
                <c:pt idx="0">
                  <c:v>Ongoing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Sheet2!$N$7:$N$14</c:f>
              <c:strCache>
                <c:ptCount val="7"/>
                <c:pt idx="0">
                  <c:v>Borehole pump</c:v>
                </c:pt>
                <c:pt idx="1">
                  <c:v>Generator</c:v>
                </c:pt>
                <c:pt idx="2">
                  <c:v>Other</c:v>
                </c:pt>
                <c:pt idx="3">
                  <c:v>Panel</c:v>
                </c:pt>
                <c:pt idx="4">
                  <c:v>Contractor dewatering Pump</c:v>
                </c:pt>
                <c:pt idx="5">
                  <c:v>Submersible pump</c:v>
                </c:pt>
                <c:pt idx="6">
                  <c:v>Diesel Driven CP Pump</c:v>
                </c:pt>
              </c:strCache>
            </c:strRef>
          </c:cat>
          <c:val>
            <c:numRef>
              <c:f>Sheet2!$O$7:$O$14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0-4ECE-916D-41AF97969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20988544"/>
        <c:axId val="2020988064"/>
      </c:barChart>
      <c:catAx>
        <c:axId val="202098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88064"/>
        <c:crosses val="autoZero"/>
        <c:auto val="1"/>
        <c:lblAlgn val="ctr"/>
        <c:lblOffset val="100"/>
        <c:noMultiLvlLbl val="0"/>
      </c:catAx>
      <c:valAx>
        <c:axId val="20209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98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[Workshop-Daily Activity Tracker FEB 2026.xlsx]Sheet2!PivotTable6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Current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Sheet2!$R$5:$R$6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70E-4641-9CFA-9E1648319101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70E-4641-9CFA-9E16483191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Sheet2!$Q$7:$Q$9</c:f>
              <c:strCache>
                <c:ptCount val="2"/>
                <c:pt idx="0">
                  <c:v>Ongoing</c:v>
                </c:pt>
                <c:pt idx="1">
                  <c:v>Completed</c:v>
                </c:pt>
              </c:strCache>
            </c:strRef>
          </c:cat>
          <c:val>
            <c:numRef>
              <c:f>Sheet2!$R$7:$R$9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0E-4641-9CFA-9E1648319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74706</xdr:rowOff>
    </xdr:from>
    <xdr:to>
      <xdr:col>22</xdr:col>
      <xdr:colOff>177426</xdr:colOff>
      <xdr:row>45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A0AC8-BC28-4E15-B44E-7E4070BCF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</xdr:row>
      <xdr:rowOff>102720</xdr:rowOff>
    </xdr:from>
    <xdr:to>
      <xdr:col>7</xdr:col>
      <xdr:colOff>326838</xdr:colOff>
      <xdr:row>24</xdr:row>
      <xdr:rowOff>81055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9CE54-3FF1-46BF-9E19-2BCE6E2C2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308162</xdr:colOff>
      <xdr:row>9</xdr:row>
      <xdr:rowOff>102720</xdr:rowOff>
    </xdr:from>
    <xdr:to>
      <xdr:col>15</xdr:col>
      <xdr:colOff>37354</xdr:colOff>
      <xdr:row>24</xdr:row>
      <xdr:rowOff>102721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DFE030-ACBD-4D13-B164-2458DC336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28016</xdr:colOff>
      <xdr:row>7</xdr:row>
      <xdr:rowOff>0</xdr:rowOff>
    </xdr:from>
    <xdr:to>
      <xdr:col>22</xdr:col>
      <xdr:colOff>177426</xdr:colOff>
      <xdr:row>24</xdr:row>
      <xdr:rowOff>109817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533B75-D066-4414-B515-0BA36078F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</xdr:row>
      <xdr:rowOff>168087</xdr:rowOff>
    </xdr:from>
    <xdr:to>
      <xdr:col>5</xdr:col>
      <xdr:colOff>382871</xdr:colOff>
      <xdr:row>6</xdr:row>
      <xdr:rowOff>158749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8CE6AF8-9DFC-CDAC-2F1B-83204ADF7632}"/>
            </a:ext>
          </a:extLst>
        </xdr:cNvPr>
        <xdr:cNvSpPr/>
      </xdr:nvSpPr>
      <xdr:spPr>
        <a:xfrm>
          <a:off x="606985" y="728381"/>
          <a:ext cx="2810812" cy="72838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466912</xdr:colOff>
      <xdr:row>3</xdr:row>
      <xdr:rowOff>177426</xdr:rowOff>
    </xdr:from>
    <xdr:to>
      <xdr:col>13</xdr:col>
      <xdr:colOff>577647</xdr:colOff>
      <xdr:row>6</xdr:row>
      <xdr:rowOff>159705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F7F57CD-1BA9-4407-BDB3-E7B7ACED16DA}"/>
            </a:ext>
          </a:extLst>
        </xdr:cNvPr>
        <xdr:cNvSpPr/>
      </xdr:nvSpPr>
      <xdr:spPr>
        <a:xfrm>
          <a:off x="5939118" y="737720"/>
          <a:ext cx="2538676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591296</xdr:colOff>
      <xdr:row>3</xdr:row>
      <xdr:rowOff>171075</xdr:rowOff>
    </xdr:from>
    <xdr:to>
      <xdr:col>18</xdr:col>
      <xdr:colOff>76370</xdr:colOff>
      <xdr:row>6</xdr:row>
      <xdr:rowOff>153354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F826AEE-C16D-46CF-AE90-C9CB8EC41099}"/>
            </a:ext>
          </a:extLst>
        </xdr:cNvPr>
        <xdr:cNvSpPr/>
      </xdr:nvSpPr>
      <xdr:spPr>
        <a:xfrm>
          <a:off x="8491443" y="731369"/>
          <a:ext cx="2520001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224116</xdr:colOff>
      <xdr:row>4</xdr:row>
      <xdr:rowOff>130736</xdr:rowOff>
    </xdr:from>
    <xdr:to>
      <xdr:col>4</xdr:col>
      <xdr:colOff>289484</xdr:colOff>
      <xdr:row>6</xdr:row>
      <xdr:rowOff>56030</xdr:rowOff>
    </xdr:to>
    <xdr:sp macro="" textlink="Sheet2!$U10">
      <xdr:nvSpPr>
        <xdr:cNvPr id="11" name="TextBox 10">
          <a:extLst>
            <a:ext uri="{FF2B5EF4-FFF2-40B4-BE49-F238E27FC236}">
              <a16:creationId xmlns:a16="http://schemas.microsoft.com/office/drawing/2014/main" id="{527B2851-8603-6796-E877-CB4C50FACAF0}"/>
            </a:ext>
          </a:extLst>
        </xdr:cNvPr>
        <xdr:cNvSpPr txBox="1"/>
      </xdr:nvSpPr>
      <xdr:spPr>
        <a:xfrm>
          <a:off x="2045072" y="317501"/>
          <a:ext cx="672353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EB55226-C5C2-47C3-913C-F0BB37F86504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260</a:t>
          </a:fld>
          <a:endParaRPr lang="en-US" sz="11500" b="1"/>
        </a:p>
      </xdr:txBody>
    </xdr:sp>
    <xdr:clientData/>
  </xdr:twoCellAnchor>
  <xdr:oneCellAnchor>
    <xdr:from>
      <xdr:col>1</xdr:col>
      <xdr:colOff>0</xdr:colOff>
      <xdr:row>5</xdr:row>
      <xdr:rowOff>46691</xdr:rowOff>
    </xdr:from>
    <xdr:ext cx="1466104" cy="27080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CFA6550-C22C-D431-97A5-AC6CF7D59C9D}"/>
            </a:ext>
          </a:extLst>
        </xdr:cNvPr>
        <xdr:cNvSpPr txBox="1"/>
      </xdr:nvSpPr>
      <xdr:spPr>
        <a:xfrm>
          <a:off x="401543" y="420220"/>
          <a:ext cx="1466104" cy="270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Total</a:t>
          </a:r>
          <a:r>
            <a:rPr lang="en-GB" sz="1200" b="1" baseline="0"/>
            <a:t> Task FEB</a:t>
          </a:r>
          <a:endParaRPr lang="en-GB" sz="1200" b="1"/>
        </a:p>
      </xdr:txBody>
    </xdr:sp>
    <xdr:clientData/>
  </xdr:oneCellAnchor>
  <xdr:twoCellAnchor>
    <xdr:from>
      <xdr:col>5</xdr:col>
      <xdr:colOff>382867</xdr:colOff>
      <xdr:row>3</xdr:row>
      <xdr:rowOff>177426</xdr:rowOff>
    </xdr:from>
    <xdr:to>
      <xdr:col>9</xdr:col>
      <xdr:colOff>465587</xdr:colOff>
      <xdr:row>6</xdr:row>
      <xdr:rowOff>159705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8648368-D19C-4026-B767-6895902AEB90}"/>
            </a:ext>
          </a:extLst>
        </xdr:cNvPr>
        <xdr:cNvSpPr/>
      </xdr:nvSpPr>
      <xdr:spPr>
        <a:xfrm>
          <a:off x="3417793" y="737720"/>
          <a:ext cx="2520000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373530</xdr:colOff>
      <xdr:row>4</xdr:row>
      <xdr:rowOff>112058</xdr:rowOff>
    </xdr:from>
    <xdr:to>
      <xdr:col>8</xdr:col>
      <xdr:colOff>438898</xdr:colOff>
      <xdr:row>6</xdr:row>
      <xdr:rowOff>37352</xdr:rowOff>
    </xdr:to>
    <xdr:sp macro="" textlink="Sheet2!$U9">
      <xdr:nvSpPr>
        <xdr:cNvPr id="16" name="TextBox 15">
          <a:extLst>
            <a:ext uri="{FF2B5EF4-FFF2-40B4-BE49-F238E27FC236}">
              <a16:creationId xmlns:a16="http://schemas.microsoft.com/office/drawing/2014/main" id="{5E6C24FC-EF54-4FDB-9862-055C39D3D654}"/>
            </a:ext>
          </a:extLst>
        </xdr:cNvPr>
        <xdr:cNvSpPr txBox="1"/>
      </xdr:nvSpPr>
      <xdr:spPr>
        <a:xfrm>
          <a:off x="4622427" y="298823"/>
          <a:ext cx="672353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98202C-C64E-4357-ABC1-DE733D68D2C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173</a:t>
          </a:fld>
          <a:endParaRPr lang="en-US" sz="2400" b="1"/>
        </a:p>
      </xdr:txBody>
    </xdr:sp>
    <xdr:clientData/>
  </xdr:twoCellAnchor>
  <xdr:oneCellAnchor>
    <xdr:from>
      <xdr:col>5</xdr:col>
      <xdr:colOff>149413</xdr:colOff>
      <xdr:row>4</xdr:row>
      <xdr:rowOff>112058</xdr:rowOff>
    </xdr:from>
    <xdr:ext cx="1466104" cy="56029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189EBE1-38DB-49C9-AE99-C5548ADE2090}"/>
            </a:ext>
          </a:extLst>
        </xdr:cNvPr>
        <xdr:cNvSpPr txBox="1"/>
      </xdr:nvSpPr>
      <xdr:spPr>
        <a:xfrm>
          <a:off x="2577354" y="859117"/>
          <a:ext cx="1466104" cy="560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Total</a:t>
          </a:r>
          <a:r>
            <a:rPr lang="en-GB" sz="1200" b="1" baseline="0"/>
            <a:t> Task Completed</a:t>
          </a:r>
          <a:endParaRPr lang="en-GB" sz="1200" b="1"/>
        </a:p>
      </xdr:txBody>
    </xdr:sp>
    <xdr:clientData/>
  </xdr:oneCellAnchor>
  <xdr:oneCellAnchor>
    <xdr:from>
      <xdr:col>9</xdr:col>
      <xdr:colOff>569633</xdr:colOff>
      <xdr:row>4</xdr:row>
      <xdr:rowOff>93382</xdr:rowOff>
    </xdr:from>
    <xdr:ext cx="989854" cy="50426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934BF2-8BE6-441D-BDB4-616AB5D82627}"/>
            </a:ext>
          </a:extLst>
        </xdr:cNvPr>
        <xdr:cNvSpPr txBox="1"/>
      </xdr:nvSpPr>
      <xdr:spPr>
        <a:xfrm>
          <a:off x="5434854" y="840441"/>
          <a:ext cx="989854" cy="5042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/>
            <a:t>Delay</a:t>
          </a:r>
          <a:r>
            <a:rPr lang="en-GB" sz="1200" b="1" baseline="0"/>
            <a:t> Completion</a:t>
          </a:r>
          <a:endParaRPr lang="en-GB" sz="1200" b="1"/>
        </a:p>
      </xdr:txBody>
    </xdr:sp>
    <xdr:clientData/>
  </xdr:oneCellAnchor>
  <xdr:oneCellAnchor>
    <xdr:from>
      <xdr:col>14</xdr:col>
      <xdr:colOff>31002</xdr:colOff>
      <xdr:row>4</xdr:row>
      <xdr:rowOff>102719</xdr:rowOff>
    </xdr:from>
    <xdr:ext cx="865468" cy="5229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92A3B1-BCE3-49F8-9303-7846460E78D8}"/>
            </a:ext>
          </a:extLst>
        </xdr:cNvPr>
        <xdr:cNvSpPr txBox="1"/>
      </xdr:nvSpPr>
      <xdr:spPr>
        <a:xfrm>
          <a:off x="7931149" y="849778"/>
          <a:ext cx="865468" cy="522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 baseline="0"/>
            <a:t>Task Today</a:t>
          </a:r>
          <a:endParaRPr lang="en-GB" sz="1200" b="1"/>
        </a:p>
      </xdr:txBody>
    </xdr:sp>
    <xdr:clientData/>
  </xdr:oneCellAnchor>
  <xdr:twoCellAnchor>
    <xdr:from>
      <xdr:col>18</xdr:col>
      <xdr:colOff>84045</xdr:colOff>
      <xdr:row>3</xdr:row>
      <xdr:rowOff>168088</xdr:rowOff>
    </xdr:from>
    <xdr:to>
      <xdr:col>22</xdr:col>
      <xdr:colOff>176104</xdr:colOff>
      <xdr:row>6</xdr:row>
      <xdr:rowOff>150367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EE8C3B71-19CA-4C4E-9EA1-CD112140B78A}"/>
            </a:ext>
          </a:extLst>
        </xdr:cNvPr>
        <xdr:cNvSpPr/>
      </xdr:nvSpPr>
      <xdr:spPr>
        <a:xfrm>
          <a:off x="11019119" y="728382"/>
          <a:ext cx="2520000" cy="720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18</xdr:col>
      <xdr:colOff>37353</xdr:colOff>
      <xdr:row>4</xdr:row>
      <xdr:rowOff>9337</xdr:rowOff>
    </xdr:from>
    <xdr:ext cx="989853" cy="70970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482D812-6ACD-47B1-A5C1-EE4E3E804233}"/>
            </a:ext>
          </a:extLst>
        </xdr:cNvPr>
        <xdr:cNvSpPr txBox="1"/>
      </xdr:nvSpPr>
      <xdr:spPr>
        <a:xfrm>
          <a:off x="10365441" y="756396"/>
          <a:ext cx="989853" cy="7097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GB" sz="1200" b="1" baseline="0"/>
            <a:t>Task Completed Today</a:t>
          </a:r>
          <a:endParaRPr lang="en-GB" sz="1200" b="1"/>
        </a:p>
      </xdr:txBody>
    </xdr:sp>
    <xdr:clientData/>
  </xdr:oneCellAnchor>
  <xdr:twoCellAnchor>
    <xdr:from>
      <xdr:col>16</xdr:col>
      <xdr:colOff>395194</xdr:colOff>
      <xdr:row>4</xdr:row>
      <xdr:rowOff>77693</xdr:rowOff>
    </xdr:from>
    <xdr:to>
      <xdr:col>17</xdr:col>
      <xdr:colOff>469900</xdr:colOff>
      <xdr:row>6</xdr:row>
      <xdr:rowOff>2987</xdr:rowOff>
    </xdr:to>
    <xdr:sp macro="" textlink="Sheet2!$R8">
      <xdr:nvSpPr>
        <xdr:cNvPr id="18" name="TextBox 17">
          <a:extLst>
            <a:ext uri="{FF2B5EF4-FFF2-40B4-BE49-F238E27FC236}">
              <a16:creationId xmlns:a16="http://schemas.microsoft.com/office/drawing/2014/main" id="{835D5F97-D54D-440C-A067-25D85097C88C}"/>
            </a:ext>
          </a:extLst>
        </xdr:cNvPr>
        <xdr:cNvSpPr txBox="1"/>
      </xdr:nvSpPr>
      <xdr:spPr>
        <a:xfrm>
          <a:off x="9509312" y="824752"/>
          <a:ext cx="681691" cy="476250"/>
        </a:xfrm>
        <a:prstGeom prst="rect">
          <a:avLst/>
        </a:prstGeom>
        <a:solidFill>
          <a:schemeClr val="accent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4869168-A3FB-4200-BEC9-0F0B660E4D80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7</a:t>
          </a:fld>
          <a:endParaRPr lang="en-US" sz="2400" b="1"/>
        </a:p>
      </xdr:txBody>
    </xdr:sp>
    <xdr:clientData/>
  </xdr:twoCellAnchor>
  <xdr:twoCellAnchor>
    <xdr:from>
      <xdr:col>1</xdr:col>
      <xdr:colOff>9340</xdr:colOff>
      <xdr:row>0</xdr:row>
      <xdr:rowOff>140074</xdr:rowOff>
    </xdr:from>
    <xdr:to>
      <xdr:col>22</xdr:col>
      <xdr:colOff>149412</xdr:colOff>
      <xdr:row>3</xdr:row>
      <xdr:rowOff>149412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B643F4E-BE6A-4BD2-94F4-D217082161F2}"/>
            </a:ext>
          </a:extLst>
        </xdr:cNvPr>
        <xdr:cNvSpPr/>
      </xdr:nvSpPr>
      <xdr:spPr>
        <a:xfrm>
          <a:off x="616325" y="140074"/>
          <a:ext cx="12896102" cy="56963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400" b="1">
              <a:solidFill>
                <a:sysClr val="windowText" lastClr="000000"/>
              </a:solidFill>
            </a:rPr>
            <a:t>Work Shop Daily Activity FEB 2026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Tabish" refreshedDate="46065.680381828701" createdVersion="8" refreshedVersion="8" minRefreshableVersion="3" recordCount="2074" xr:uid="{ED804E84-4267-40BA-A241-3CBC5BB6A818}">
  <cacheSource type="worksheet">
    <worksheetSource ref="A1:O1048576" sheet="Daily_Activity_Tracker"/>
  </cacheSource>
  <cacheFields count="18">
    <cacheField name="Area" numFmtId="0">
      <sharedItems containsBlank="1"/>
    </cacheField>
    <cacheField name="Date" numFmtId="0">
      <sharedItems containsNonDate="0" containsDate="1" containsString="0" containsBlank="1" minDate="2025-12-03T00:00:00" maxDate="2026-02-13T00:00:00" count="62">
        <d v="2025-12-03T00:00:00"/>
        <d v="2025-12-04T00:00:00"/>
        <m/>
        <d v="2025-12-05T00:00:00"/>
        <d v="2025-12-08T00:00:00"/>
        <d v="2025-12-06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</sharedItems>
      <fieldGroup par="17"/>
    </cacheField>
    <cacheField name="Employee Name" numFmtId="0">
      <sharedItems containsBlank="1" containsMixedTypes="1" containsNumber="1" containsInteger="1" minValue="142744" maxValue="143344"/>
    </cacheField>
    <cacheField name="Panel" numFmtId="0">
      <sharedItems containsBlank="1" count="13">
        <s v="Contractor dewatering Pump"/>
        <m/>
        <s v="Generator"/>
        <s v="Panel"/>
        <s v="Submersible pump"/>
        <s v="Borehole pump"/>
        <s v="Diesel Driven CP Pump"/>
        <s v="General work"/>
        <s v="Other"/>
        <s v="Drill rig"/>
        <s v="Tank"/>
        <s v="Submersible pumps"/>
        <s v="&quot;"/>
      </sharedItems>
    </cacheField>
    <cacheField name="Fleet Number" numFmtId="0">
      <sharedItems containsBlank="1"/>
    </cacheField>
    <cacheField name="Task Description" numFmtId="0">
      <sharedItems containsBlank="1"/>
    </cacheField>
    <cacheField name="Task Start Date" numFmtId="0">
      <sharedItems containsDate="1" containsBlank="1" containsMixedTypes="1" minDate="1899-12-30T06:30:00" maxDate="2026-02-11T00:00:00"/>
    </cacheField>
    <cacheField name="Planned Completion Date" numFmtId="0">
      <sharedItems containsDate="1" containsBlank="1" containsMixedTypes="1" minDate="1899-12-30T08:30:00" maxDate="2026-02-16T00:00:00"/>
    </cacheField>
    <cacheField name="Actual Completion Date" numFmtId="0">
      <sharedItems containsDate="1" containsString="0" containsBlank="1" containsMixedTypes="1" minDate="1899-12-31T00:00:00" maxDate="1899-12-31T00:39:04"/>
    </cacheField>
    <cacheField name="Repair Status" numFmtId="0">
      <sharedItems containsBlank="1"/>
    </cacheField>
    <cacheField name="Task Start Time(Today)" numFmtId="0">
      <sharedItems containsNonDate="0" containsDate="1" containsString="0" containsBlank="1" minDate="1899-12-30T01:30:00" maxDate="1899-12-30T16:30:00"/>
    </cacheField>
    <cacheField name="Task End Time(Today)" numFmtId="0">
      <sharedItems containsDate="1" containsBlank="1" containsMixedTypes="1" minDate="1899-12-30T01:00:00" maxDate="1899-12-30T19:30:00"/>
    </cacheField>
    <cacheField name="Total Hours" numFmtId="0">
      <sharedItems containsBlank="1" containsMixedTypes="1" containsNumber="1" minValue="0" maxValue="22.5"/>
    </cacheField>
    <cacheField name="Current Status" numFmtId="0">
      <sharedItems containsBlank="1" count="5">
        <s v="Completed"/>
        <m/>
        <s v="Ongoing"/>
        <s v="Hold"/>
        <s v="&quot;"/>
      </sharedItems>
    </cacheField>
    <cacheField name="Remarks" numFmtId="0">
      <sharedItems containsNonDate="0" containsString="0" containsBlank="1"/>
    </cacheField>
    <cacheField name="Days (Date)" numFmtId="0" databaseField="0">
      <fieldGroup base="1">
        <rangePr groupBy="days" startDate="2025-12-03T00:00:00" endDate="2026-02-13T00:00:00"/>
        <groupItems count="368">
          <s v="&lt;03/12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02/2026"/>
        </groupItems>
      </fieldGroup>
    </cacheField>
    <cacheField name="Months (Date)" numFmtId="0" databaseField="0">
      <fieldGroup base="1">
        <rangePr groupBy="months" startDate="2025-12-03T00:00:00" endDate="2026-02-13T00:00:00"/>
        <groupItems count="14">
          <s v="&lt;03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2/2026"/>
        </groupItems>
      </fieldGroup>
    </cacheField>
    <cacheField name="Years (Date)" numFmtId="0" databaseField="0">
      <fieldGroup base="1">
        <rangePr groupBy="years" startDate="2025-12-03T00:00:00" endDate="2026-02-13T00:00:00"/>
        <groupItems count="4">
          <s v="&lt;03/12/2025"/>
          <s v="2025"/>
          <s v="2026"/>
          <s v="&gt;13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Tabish" refreshedDate="46065.680382175924" createdVersion="8" refreshedVersion="8" minRefreshableVersion="3" recordCount="1852" xr:uid="{46F3D1CD-A89B-4C07-B2CB-45B07B705727}">
  <cacheSource type="worksheet">
    <worksheetSource ref="A1:O1853" sheet="Daily_Activity_Tracker"/>
  </cacheSource>
  <cacheFields count="18">
    <cacheField name="Area" numFmtId="0">
      <sharedItems/>
    </cacheField>
    <cacheField name="Date" numFmtId="14">
      <sharedItems containsNonDate="0" containsDate="1" containsString="0" containsBlank="1" minDate="2025-12-03T00:00:00" maxDate="2026-02-08T00:00:00" count="58">
        <d v="2025-12-03T00:00:00"/>
        <d v="2025-12-04T00:00:00"/>
        <m/>
        <d v="2025-12-05T00:00:00"/>
        <d v="2025-12-08T00:00:00"/>
        <d v="2025-12-06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 u="1"/>
        <d v="2026-02-07T00:00:00" u="1"/>
      </sharedItems>
      <fieldGroup par="17"/>
    </cacheField>
    <cacheField name="Employee Name" numFmtId="0">
      <sharedItems containsBlank="1" containsMixedTypes="1" containsNumber="1" containsInteger="1" minValue="142744" maxValue="143344" count="52">
        <s v="Suresh S"/>
        <s v="Ismail"/>
        <s v="Shaji"/>
        <s v="Bharathesha"/>
        <s v="Mintu"/>
        <s v="James"/>
        <s v="Shakeel"/>
        <s v="Jagdev"/>
        <s v="Fahad"/>
        <s v="Lijo"/>
        <s v="Shahanawaz"/>
        <s v="Charith"/>
        <s v="Aman"/>
        <s v="Ghiyan"/>
        <s v="Venu"/>
        <s v="Afsar"/>
        <s v="Donal"/>
        <s v="Saqib"/>
        <s v="Asif"/>
        <s v="Martino"/>
        <s v="Vinod"/>
        <s v="Jahir"/>
        <s v="Saqib khan"/>
        <s v="Suraj"/>
        <s v="Suhaib"/>
        <s v="Allah Ditta"/>
        <m/>
        <s v="Imran"/>
        <s v="Harish"/>
        <n v="142744"/>
        <n v="143344"/>
        <n v="142862"/>
        <s v="Anwar"/>
        <s v="Cherith"/>
        <s v="Faisal"/>
        <s v="Gulam"/>
        <s v="Gihan"/>
        <s v="Bilal"/>
        <s v="Jaheer"/>
        <s v="Hanifa"/>
        <s v="SER team"/>
        <s v="Doland"/>
        <s v="Sayid"/>
        <s v="Donald"/>
        <s v="Sulaiman"/>
        <s v="Sulemam"/>
        <s v="Hjagdev"/>
        <s v="Zaheer"/>
        <s v="Suresh"/>
        <s v="Suleman"/>
        <s v="Giyan"/>
        <s v="Mamun"/>
      </sharedItems>
    </cacheField>
    <cacheField name="Panel" numFmtId="0">
      <sharedItems containsBlank="1"/>
    </cacheField>
    <cacheField name="Fleet Number" numFmtId="0">
      <sharedItems containsBlank="1"/>
    </cacheField>
    <cacheField name="Task Description" numFmtId="0">
      <sharedItems containsBlank="1"/>
    </cacheField>
    <cacheField name="Task Start Date" numFmtId="0">
      <sharedItems containsDate="1" containsBlank="1" containsMixedTypes="1" minDate="2025-11-08T00:00:00" maxDate="2026-02-06T00:00:00"/>
    </cacheField>
    <cacheField name="Planned Completion Date" numFmtId="0">
      <sharedItems containsNonDate="0" containsDate="1" containsString="0" containsBlank="1" minDate="2025-12-01T00:00:00" maxDate="2026-02-09T00:00:00"/>
    </cacheField>
    <cacheField name="Actual Completion Date" numFmtId="0">
      <sharedItems containsDate="1" containsString="0" containsBlank="1" containsMixedTypes="1" minDate="1899-12-31T00:00:00" maxDate="2026-02-09T00:00:00"/>
    </cacheField>
    <cacheField name="Repair Status" numFmtId="0">
      <sharedItems containsNonDate="0" containsString="0" containsBlank="1"/>
    </cacheField>
    <cacheField name="Task Start Time(Today)" numFmtId="164">
      <sharedItems containsNonDate="0" containsDate="1" containsString="0" containsBlank="1" minDate="1899-12-30T01:30:00" maxDate="1899-12-30T16:30:00"/>
    </cacheField>
    <cacheField name="Task End Time(Today)" numFmtId="164">
      <sharedItems containsDate="1" containsBlank="1" containsMixedTypes="1" minDate="1899-12-30T01:00:00" maxDate="1899-12-30T19:30:00"/>
    </cacheField>
    <cacheField name="Total Hours" numFmtId="0">
      <sharedItems containsMixedTypes="1" containsNumber="1" minValue="0" maxValue="22.5"/>
    </cacheField>
    <cacheField name="Current Status" numFmtId="0">
      <sharedItems containsBlank="1"/>
    </cacheField>
    <cacheField name="Remarks" numFmtId="0">
      <sharedItems containsNonDate="0" containsString="0" containsBlank="1"/>
    </cacheField>
    <cacheField name="Days (Date)" numFmtId="0" databaseField="0">
      <fieldGroup base="1">
        <rangePr groupBy="days" startDate="2025-12-03T00:00:00" endDate="2026-02-06T00:00:00"/>
        <groupItems count="368">
          <s v="&lt;03/12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02/2026"/>
        </groupItems>
      </fieldGroup>
    </cacheField>
    <cacheField name="Months (Date)" numFmtId="0" databaseField="0">
      <fieldGroup base="1">
        <rangePr groupBy="months" startDate="2025-12-03T00:00:00" endDate="2026-02-06T00:00:00"/>
        <groupItems count="14">
          <s v="&lt;03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2/2026"/>
        </groupItems>
      </fieldGroup>
    </cacheField>
    <cacheField name="Years (Date)" numFmtId="0" databaseField="0">
      <fieldGroup base="1">
        <rangePr groupBy="years" startDate="2025-12-03T00:00:00" endDate="2026-02-06T00:00:00"/>
        <groupItems count="4">
          <s v="&lt;03/12/2025"/>
          <s v="2025"/>
          <s v="2026"/>
          <s v="&gt;06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4">
  <r>
    <s v="Bay 4&amp;5 - _x000a_Pumps"/>
    <x v="0"/>
    <s v="Suresh S"/>
    <x v="0"/>
    <s v="2X CP150"/>
    <s v="vaccum Pump repair "/>
    <d v="2025-12-03T00:00:00"/>
    <d v="2025-12-03T00:00:00"/>
    <n v="0"/>
    <m/>
    <d v="1899-12-30T08:00:00"/>
    <d v="1899-12-30T15:30:00"/>
    <n v="7.5000000000000018"/>
    <x v="0"/>
    <m/>
  </r>
  <r>
    <s v="Bay 4&amp;5 - _x000a_Pumps"/>
    <x v="0"/>
    <s v="Ismail"/>
    <x v="0"/>
    <s v="PT175-522"/>
    <s v="Pump assembling"/>
    <d v="2025-11-28T00:00:00"/>
    <d v="2025-12-02T00:00:00"/>
    <n v="4"/>
    <m/>
    <d v="1899-12-30T07:30:00"/>
    <d v="1899-12-30T16:30:00"/>
    <n v="9"/>
    <x v="0"/>
    <m/>
  </r>
  <r>
    <s v="Bay 4&amp;5 - _x000a_Pumps"/>
    <x v="0"/>
    <s v="Shaji"/>
    <x v="1"/>
    <m/>
    <m/>
    <m/>
    <m/>
    <m/>
    <m/>
    <d v="1899-12-30T07:30:00"/>
    <d v="1899-12-30T09:30:00"/>
    <n v="1.9999999999999996"/>
    <x v="1"/>
    <m/>
  </r>
  <r>
    <s v="Bay 4&amp;5 - _x000a_Pumps"/>
    <x v="0"/>
    <s v="Bharathesha"/>
    <x v="0"/>
    <s v="CP150-218"/>
    <s v="Pump repair &amp; water test "/>
    <d v="2025-11-27T00:00:00"/>
    <d v="2025-12-01T00:00:00"/>
    <d v="2025-12-03T00:00:00"/>
    <m/>
    <d v="1899-12-30T07:30:00"/>
    <d v="1899-12-30T12:30:00"/>
    <n v="5.0000000000000009"/>
    <x v="0"/>
    <m/>
  </r>
  <r>
    <s v="Bay 4&amp;5 - _x000a_Pumps"/>
    <x v="0"/>
    <s v="Shaji"/>
    <x v="1"/>
    <m/>
    <m/>
    <m/>
    <m/>
    <m/>
    <m/>
    <d v="1899-12-30T09:30:00"/>
    <d v="1899-12-30T11:30:00"/>
    <n v="2.0000000000000009"/>
    <x v="1"/>
    <m/>
  </r>
  <r>
    <s v="Bay 4&amp;5 - _x000a_Pumps"/>
    <x v="0"/>
    <s v="Bharathesha"/>
    <x v="0"/>
    <s v="CP150-676"/>
    <s v="Contractor dewatering Pump"/>
    <d v="2025-12-03T00:00:00"/>
    <d v="2025-12-03T00:00:00"/>
    <d v="2025-12-04T00:00:00"/>
    <m/>
    <d v="1899-12-30T12:30:00"/>
    <d v="1899-12-30T16:30:00"/>
    <n v="3.9999999999999991"/>
    <x v="0"/>
    <m/>
  </r>
  <r>
    <s v="Bay 4&amp;5 - _x000a_Pumps"/>
    <x v="0"/>
    <s v="Mintu"/>
    <x v="0"/>
    <s v="PT175-515"/>
    <s v="Engine prepapre for assembling, gear dismantled &amp; repairing."/>
    <d v="2025-11-28T00:00:00"/>
    <d v="2025-12-01T00:00:00"/>
    <d v="2025-12-03T00:00:00"/>
    <m/>
    <d v="1899-12-30T08:00:00"/>
    <d v="1899-12-30T17:00:00"/>
    <n v="9.0000000000000018"/>
    <x v="0"/>
    <m/>
  </r>
  <r>
    <s v="Bay 4&amp;5 - _x000a_Pumps"/>
    <x v="0"/>
    <s v="Shaji"/>
    <x v="1"/>
    <m/>
    <m/>
    <m/>
    <m/>
    <m/>
    <m/>
    <d v="1899-12-30T15:00:00"/>
    <d v="1899-12-30T17:00:00"/>
    <n v="2.0000000000000009"/>
    <x v="1"/>
    <m/>
  </r>
  <r>
    <s v="Bay 4&amp;5 - _x000a_Pumps"/>
    <x v="0"/>
    <s v="James"/>
    <x v="0"/>
    <s v="CP150-002"/>
    <s v="Engine repair &amp; water testing"/>
    <d v="2025-11-28T00:00:00"/>
    <d v="2025-12-03T00:00:00"/>
    <d v="2025-12-02T00:00:00"/>
    <m/>
    <d v="1899-12-30T08:00:00"/>
    <d v="1899-12-30T11:00:00"/>
    <n v="3"/>
    <x v="0"/>
    <m/>
  </r>
  <r>
    <s v="Bay 4&amp;5 - _x000a_Pumps"/>
    <x v="0"/>
    <s v="Shaji"/>
    <x v="1"/>
    <m/>
    <m/>
    <m/>
    <m/>
    <m/>
    <m/>
    <d v="1899-12-30T11:30:00"/>
    <d v="1899-12-30T15:00:00"/>
    <n v="3.4999999999999996"/>
    <x v="1"/>
    <m/>
  </r>
  <r>
    <s v="Bay 4&amp;5 - _x000a_Pumps"/>
    <x v="0"/>
    <s v="James"/>
    <x v="0"/>
    <s v="CP150V-001"/>
    <s v="Pump dismantle"/>
    <d v="2025-12-03T00:00:00"/>
    <d v="2025-12-03T00:00:00"/>
    <d v="2025-12-03T00:00:00"/>
    <m/>
    <d v="1899-12-30T15:00:00"/>
    <d v="1899-12-30T17:00:00"/>
    <n v="2.0000000000000009"/>
    <x v="2"/>
    <m/>
  </r>
  <r>
    <s v="Bay 6 -_x000a_Generator"/>
    <x v="0"/>
    <s v="Shakeel"/>
    <x v="2"/>
    <s v="GEN200-014"/>
    <s v="Oil service"/>
    <d v="2025-11-28T00:00:00"/>
    <d v="2025-12-03T00:00:00"/>
    <d v="2025-12-03T00:00:00"/>
    <m/>
    <d v="1899-12-30T07:30:00"/>
    <d v="1899-12-30T10:30:00"/>
    <n v="3"/>
    <x v="0"/>
    <m/>
  </r>
  <r>
    <s v="Bay 6 -_x000a_Generator"/>
    <x v="0"/>
    <s v="Shakeel"/>
    <x v="2"/>
    <s v="GEN250-051"/>
    <s v="Oil service, Silencer fabrication work."/>
    <d v="2025-12-03T00:00:00"/>
    <d v="2025-12-03T00:00:00"/>
    <d v="2025-12-03T00:00:00"/>
    <m/>
    <d v="1899-12-30T10:30:00"/>
    <d v="1899-12-30T15:30:00"/>
    <n v="5.0000000000000009"/>
    <x v="0"/>
    <m/>
  </r>
  <r>
    <s v="Bay 6 -_x000a_Generator"/>
    <x v="0"/>
    <s v="Jagdev"/>
    <x v="2"/>
    <s v="GEN20-002"/>
    <s v="FIP &amp; injector filing, fuel tank cleaning, valave guard &amp; gegenral repair"/>
    <d v="2025-12-03T00:00:00"/>
    <d v="2025-12-03T00:00:00"/>
    <d v="2025-12-03T00:00:00"/>
    <m/>
    <d v="1899-12-30T07:30:00"/>
    <d v="1899-12-30T12:30:00"/>
    <n v="5.0000000000000009"/>
    <x v="0"/>
    <m/>
  </r>
  <r>
    <s v="Bay 6 -_x000a_Generator"/>
    <x v="0"/>
    <s v="Jagdev"/>
    <x v="2"/>
    <s v="GENJ80-027"/>
    <s v=" fuel tank cleaning, valave guaging &amp; genenral repair"/>
    <d v="2025-12-03T00:00:00"/>
    <d v="2025-12-03T00:00:00"/>
    <d v="2025-12-03T00:00:00"/>
    <m/>
    <d v="1899-12-30T07:30:00"/>
    <d v="1899-12-30T09:30:00"/>
    <n v="1.9999999999999996"/>
    <x v="0"/>
    <m/>
  </r>
  <r>
    <s v="Bay 6 -_x000a_Generator"/>
    <x v="0"/>
    <s v="Jagdev"/>
    <x v="2"/>
    <s v="GEN7-008"/>
    <s v="General repair, ac alternator service, dc charging,  oil service"/>
    <d v="2025-11-28T00:00:00"/>
    <d v="2025-12-03T00:00:00"/>
    <d v="2025-12-03T00:00:00"/>
    <m/>
    <d v="1899-12-30T13:00:00"/>
    <d v="1899-12-30T16:30:00"/>
    <n v="3.5000000000000009"/>
    <x v="0"/>
    <m/>
  </r>
  <r>
    <s v="Electrical"/>
    <x v="0"/>
    <s v="Fahad"/>
    <x v="3"/>
    <s v="SPB95-001"/>
    <s v="Power &amp; control wiring"/>
    <d v="2025-11-28T00:00:00"/>
    <d v="2025-12-03T00:00:00"/>
    <d v="2025-12-03T00:00:00"/>
    <m/>
    <d v="1899-12-30T08:00:00"/>
    <d v="1899-12-30T17:00:00"/>
    <n v="9.0000000000000018"/>
    <x v="0"/>
    <m/>
  </r>
  <r>
    <s v="Electrical"/>
    <x v="0"/>
    <s v="Lijo"/>
    <x v="3"/>
    <s v="SPB22.037"/>
    <s v="Repairing &amp; testing"/>
    <d v="2025-11-28T00:00:00"/>
    <d v="2025-12-03T00:00:00"/>
    <d v="2025-12-03T00:00:00"/>
    <m/>
    <d v="1899-12-30T08:00:00"/>
    <d v="1899-12-30T17:00:00"/>
    <n v="9.0000000000000018"/>
    <x v="0"/>
    <m/>
  </r>
  <r>
    <s v="Electrical"/>
    <x v="0"/>
    <s v="Shahanawaz"/>
    <x v="3"/>
    <s v="General work"/>
    <s v="Lock holder &amp; alarm system, cutting &amp; drilling"/>
    <d v="2025-12-03T00:00:00"/>
    <d v="2025-12-03T00:00:00"/>
    <d v="2025-12-03T00:00:00"/>
    <m/>
    <d v="1899-12-30T07:30:00"/>
    <d v="1899-12-30T16:30:00"/>
    <n v="9"/>
    <x v="0"/>
    <m/>
  </r>
  <r>
    <s v="Electrical"/>
    <x v="0"/>
    <s v="Charith"/>
    <x v="2"/>
    <s v="GEN250-043"/>
    <s v="Ac alternator inspection &amp; servicing assembling"/>
    <d v="2025-12-03T00:00:00"/>
    <m/>
    <d v="2025-12-04T00:00:00"/>
    <m/>
    <d v="1899-12-30T07:30:00"/>
    <d v="1899-12-30T17:00:00"/>
    <n v="9.5"/>
    <x v="2"/>
    <m/>
  </r>
  <r>
    <s v="Electrical"/>
    <x v="0"/>
    <s v="Aman"/>
    <x v="1"/>
    <m/>
    <m/>
    <d v="2025-12-03T00:00:00"/>
    <m/>
    <m/>
    <m/>
    <d v="1899-12-30T07:30:00"/>
    <d v="1899-12-30T17:00:00"/>
    <n v="9.5"/>
    <x v="1"/>
    <m/>
  </r>
  <r>
    <s v="Electrical"/>
    <x v="0"/>
    <s v="Ghiyan"/>
    <x v="4"/>
    <s v="SM1002-140"/>
    <s v="Stator rewinding"/>
    <d v="2025-11-29T00:00:00"/>
    <d v="2025-12-03T00:00:00"/>
    <m/>
    <m/>
    <d v="1899-12-30T07:30:00"/>
    <d v="1899-12-30T16:30:00"/>
    <n v="9"/>
    <x v="3"/>
    <m/>
  </r>
  <r>
    <s v="Electrical"/>
    <x v="0"/>
    <s v="Venu"/>
    <x v="5"/>
    <s v="2.2kw"/>
    <s v="25nos pump inspection checking &amp; socket fixing &amp; number tagging"/>
    <d v="2025-12-03T00:00:00"/>
    <d v="2025-12-03T00:00:00"/>
    <d v="2025-12-04T00:00:00"/>
    <m/>
    <d v="1899-12-30T07:30:00"/>
    <d v="1899-12-30T16:30:00"/>
    <n v="9"/>
    <x v="0"/>
    <m/>
  </r>
  <r>
    <s v="Electrical"/>
    <x v="0"/>
    <s v="Afsar"/>
    <x v="1"/>
    <m/>
    <m/>
    <m/>
    <m/>
    <m/>
    <m/>
    <d v="1899-12-30T07:30:00"/>
    <d v="1899-12-30T16:30:00"/>
    <n v="9"/>
    <x v="1"/>
    <m/>
  </r>
  <r>
    <s v="Electrical"/>
    <x v="0"/>
    <s v="Donal"/>
    <x v="4"/>
    <s v="SM1002/SM530"/>
    <s v="3nos pumps water test"/>
    <d v="2025-12-03T00:00:00"/>
    <d v="2025-12-03T00:00:00"/>
    <d v="2025-12-03T00:00:00"/>
    <m/>
    <d v="1899-12-30T07:30:00"/>
    <d v="1899-12-30T17:00:00"/>
    <n v="9.5"/>
    <x v="0"/>
    <m/>
  </r>
  <r>
    <s v="Electrical"/>
    <x v="0"/>
    <s v="Saqib"/>
    <x v="1"/>
    <m/>
    <m/>
    <m/>
    <m/>
    <m/>
    <m/>
    <d v="1899-12-30T07:30:00"/>
    <d v="1899-12-30T17:00:00"/>
    <n v="9.5"/>
    <x v="1"/>
    <m/>
  </r>
  <r>
    <s v="Bay 4&amp;5 - _x000a_Pumps"/>
    <x v="0"/>
    <s v="Asif"/>
    <x v="6"/>
    <s v="CP1212S15-015"/>
    <s v="Float &amp; vaccum pump repairing, vaccum testing, NRV repairing"/>
    <d v="2025-12-03T00:00:00"/>
    <d v="2025-12-06T00:00:00"/>
    <d v="2025-12-06T00:00:00"/>
    <m/>
    <d v="1899-12-30T07:30:00"/>
    <d v="1899-12-30T13:00:00"/>
    <n v="5.4999999999999991"/>
    <x v="0"/>
    <m/>
  </r>
  <r>
    <s v="Bay 4&amp;5 - _x000a_Pumps"/>
    <x v="0"/>
    <s v="Martino"/>
    <x v="1"/>
    <m/>
    <m/>
    <m/>
    <m/>
    <m/>
    <m/>
    <d v="1899-12-30T07:30:00"/>
    <d v="1899-12-30T13:00:00"/>
    <n v="5.4999999999999991"/>
    <x v="1"/>
    <m/>
  </r>
  <r>
    <s v="Bay 4&amp;5 - _x000a_Pumps"/>
    <x v="0"/>
    <s v="Vinod"/>
    <x v="6"/>
    <s v="CD300M-03"/>
    <s v="Injector and turbo installation and top cover gasket replacement"/>
    <d v="2025-11-12T00:00:00"/>
    <d v="2025-12-09T00:00:00"/>
    <d v="2025-12-09T00:00:00"/>
    <m/>
    <d v="1899-12-30T08:00:00"/>
    <d v="1899-12-30T17:00:00"/>
    <n v="9.0000000000000018"/>
    <x v="0"/>
    <m/>
  </r>
  <r>
    <s v="Bay 4&amp;5 - _x000a_Pumps"/>
    <x v="0"/>
    <s v="Jahir"/>
    <x v="1"/>
    <m/>
    <m/>
    <m/>
    <m/>
    <m/>
    <m/>
    <d v="1899-12-30T08:00:00"/>
    <d v="1899-12-30T17:00:00"/>
    <n v="9.0000000000000018"/>
    <x v="1"/>
    <m/>
  </r>
  <r>
    <s v="Bay 4&amp;5 - _x000a_Pumps"/>
    <x v="0"/>
    <s v="Asif"/>
    <x v="7"/>
    <s v="General work"/>
    <s v="System work for work orders &amp; IDT"/>
    <d v="2025-12-03T00:00:00"/>
    <d v="2025-12-03T00:00:00"/>
    <d v="2025-12-03T00:00:00"/>
    <m/>
    <d v="1899-12-30T15:30:00"/>
    <d v="1899-12-30T16:30:00"/>
    <n v="0.99999999999999911"/>
    <x v="0"/>
    <m/>
  </r>
  <r>
    <s v="Bay 4&amp;5 - _x000a_Pumps"/>
    <x v="1"/>
    <s v="Suresh S"/>
    <x v="0"/>
    <s v="CP150-033"/>
    <s v="vaccum Pump repair &amp; test"/>
    <d v="2025-12-04T00:00:00"/>
    <d v="2025-12-04T00:00:00"/>
    <d v="2025-12-04T00:00:00"/>
    <m/>
    <d v="1899-12-30T08:00:00"/>
    <d v="1899-12-30T17:00:00"/>
    <n v="9.0000000000000018"/>
    <x v="0"/>
    <m/>
  </r>
  <r>
    <s v="Bay 4&amp;5 - _x000a_Pumps"/>
    <x v="1"/>
    <s v="Ismail"/>
    <x v="0"/>
    <s v="PT175-515"/>
    <s v="Pump assembling"/>
    <d v="2025-11-28T00:00:00"/>
    <d v="2025-12-04T00:00:00"/>
    <d v="2025-12-04T00:00:00"/>
    <m/>
    <d v="1899-12-30T07:30:00"/>
    <d v="1899-12-30T16:30:00"/>
    <n v="9"/>
    <x v="0"/>
    <m/>
  </r>
  <r>
    <s v="Bay 4&amp;5 - _x000a_Pumps"/>
    <x v="2"/>
    <s v="Shaji"/>
    <x v="1"/>
    <m/>
    <m/>
    <m/>
    <m/>
    <d v="2025-12-04T00:00:00"/>
    <m/>
    <d v="1899-12-30T07:30:00"/>
    <d v="1899-12-30T08:30:00"/>
    <n v="1.0000000000000004"/>
    <x v="1"/>
    <m/>
  </r>
  <r>
    <s v="Bay 4&amp;5 - _x000a_Pumps"/>
    <x v="1"/>
    <s v="Bharathesha"/>
    <x v="0"/>
    <s v="CP150-676"/>
    <s v="Cylinder head repairing"/>
    <d v="2025-12-03T00:00:00"/>
    <d v="2025-12-04T00:00:00"/>
    <d v="2025-12-04T00:00:00"/>
    <m/>
    <d v="1899-12-30T07:30:00"/>
    <d v="1899-12-30T16:30:00"/>
    <n v="9"/>
    <x v="0"/>
    <m/>
  </r>
  <r>
    <s v="Bay 4&amp;5 - _x000a_Pumps"/>
    <x v="1"/>
    <s v="Mintu"/>
    <x v="0"/>
    <s v="PT175-515"/>
    <s v="Engine assembling"/>
    <d v="2025-11-28T00:00:00"/>
    <d v="2025-12-04T00:00:00"/>
    <d v="2025-12-04T00:00:00"/>
    <m/>
    <d v="1899-12-30T08:00:00"/>
    <d v="1899-12-30T17:00:00"/>
    <n v="9.0000000000000018"/>
    <x v="0"/>
    <m/>
  </r>
  <r>
    <s v="Bay 4&amp;5 - _x000a_Pumps"/>
    <x v="2"/>
    <s v="Shaji"/>
    <x v="1"/>
    <m/>
    <m/>
    <m/>
    <m/>
    <d v="2025-12-04T00:00:00"/>
    <m/>
    <d v="1899-12-30T09:30:00"/>
    <d v="1899-12-30T11:30:00"/>
    <n v="2.0000000000000009"/>
    <x v="1"/>
    <m/>
  </r>
  <r>
    <s v="Bay 4&amp;5 - _x000a_Pumps"/>
    <x v="1"/>
    <s v="James"/>
    <x v="0"/>
    <s v="CP150V-001"/>
    <s v="Pump dismantling &amp; prepare for assembling"/>
    <d v="2025-12-03T00:00:00"/>
    <d v="2025-12-04T00:00:00"/>
    <d v="2025-12-04T00:00:00"/>
    <m/>
    <d v="1899-12-30T08:00:00"/>
    <d v="1899-12-30T17:00:00"/>
    <n v="9.0000000000000018"/>
    <x v="0"/>
    <m/>
  </r>
  <r>
    <s v="Bay 4&amp;5 - _x000a_Pumps"/>
    <x v="2"/>
    <s v="Shaji"/>
    <x v="1"/>
    <m/>
    <m/>
    <m/>
    <m/>
    <d v="2025-12-04T00:00:00"/>
    <m/>
    <d v="1899-12-30T11:30:00"/>
    <d v="1899-12-30T15:00:00"/>
    <n v="3.4999999999999996"/>
    <x v="1"/>
    <m/>
  </r>
  <r>
    <s v="Bay 4&amp;5 - _x000a_Pumps"/>
    <x v="1"/>
    <s v="Shaji"/>
    <x v="8"/>
    <s v="System work "/>
    <s v="System work for work orders &amp; IDT"/>
    <d v="2025-12-04T00:00:00"/>
    <d v="2025-12-04T00:00:00"/>
    <d v="2025-12-04T00:00:00"/>
    <m/>
    <d v="1899-12-30T15:00:00"/>
    <d v="1899-12-30T17:00:00"/>
    <n v="2.0000000000000009"/>
    <x v="0"/>
    <m/>
  </r>
  <r>
    <s v="Bay 6 -_x000a_Generator"/>
    <x v="1"/>
    <s v="Shakeel"/>
    <x v="2"/>
    <s v="GEN20-002"/>
    <s v="Load testing &amp; cable connection"/>
    <d v="2025-12-03T00:00:00"/>
    <d v="2025-12-04T00:00:00"/>
    <d v="2025-12-04T00:00:00"/>
    <m/>
    <d v="1899-12-30T07:30:00"/>
    <d v="1899-12-30T09:30:00"/>
    <n v="1.9999999999999996"/>
    <x v="0"/>
    <m/>
  </r>
  <r>
    <s v="Bay 6 -_x000a_Generator"/>
    <x v="2"/>
    <s v="Saqib khan"/>
    <x v="1"/>
    <m/>
    <m/>
    <m/>
    <m/>
    <d v="2025-12-04T00:00:00"/>
    <m/>
    <d v="1899-12-30T08:30:00"/>
    <d v="1899-12-30T09:30:00"/>
    <n v="0.99999999999999911"/>
    <x v="1"/>
    <m/>
  </r>
  <r>
    <s v="Bay 6 -_x000a_Generator"/>
    <x v="1"/>
    <s v="Shakeel"/>
    <x v="2"/>
    <s v="GENJ80-027"/>
    <s v="Load testing &amp; cable connection"/>
    <d v="2025-12-03T00:00:00"/>
    <d v="2025-12-04T00:00:00"/>
    <d v="2025-12-04T00:00:00"/>
    <m/>
    <d v="1899-12-30T09:30:00"/>
    <d v="1899-12-30T11:00:00"/>
    <n v="1.5"/>
    <x v="0"/>
    <m/>
  </r>
  <r>
    <s v="Bay 6 -_x000a_Generator"/>
    <x v="2"/>
    <s v="Saqib khan"/>
    <x v="1"/>
    <m/>
    <m/>
    <m/>
    <m/>
    <m/>
    <m/>
    <d v="1899-12-30T09:30:00"/>
    <d v="1899-12-30T11:00:00"/>
    <n v="1.5"/>
    <x v="1"/>
    <m/>
  </r>
  <r>
    <s v="Bay 6 -_x000a_Generator"/>
    <x v="1"/>
    <s v="Shakeel"/>
    <x v="2"/>
    <s v="GEN150-053"/>
    <s v="Load testing &amp; cable connection"/>
    <d v="2025-12-04T00:00:00"/>
    <d v="2025-12-04T00:00:00"/>
    <d v="2025-12-04T00:00:00"/>
    <m/>
    <d v="1899-12-30T14:30:00"/>
    <d v="1899-12-30T16:30:00"/>
    <n v="2.0000000000000009"/>
    <x v="0"/>
    <m/>
  </r>
  <r>
    <s v="Bay 6 -_x000a_Generator"/>
    <x v="2"/>
    <s v="Saqib khan"/>
    <x v="1"/>
    <m/>
    <m/>
    <m/>
    <m/>
    <m/>
    <m/>
    <d v="1899-12-30T15:30:00"/>
    <d v="1899-12-30T16:30:00"/>
    <n v="0.99999999999999911"/>
    <x v="1"/>
    <m/>
  </r>
  <r>
    <s v="Bay 6 -_x000a_Generator"/>
    <x v="1"/>
    <s v="Jagdev"/>
    <x v="2"/>
    <s v="GEN250-044"/>
    <s v="FIP &amp; injector filing, fuel tank cleaning, valave guard &amp; gegenral repair"/>
    <d v="2025-11-18T00:00:00"/>
    <d v="2025-12-04T00:00:00"/>
    <m/>
    <m/>
    <d v="1899-12-30T13:00:00"/>
    <d v="1899-12-30T16:30:00"/>
    <n v="3.5000000000000009"/>
    <x v="0"/>
    <m/>
  </r>
  <r>
    <s v="Bay 6 -_x000a_Generator"/>
    <x v="1"/>
    <s v="Suraj"/>
    <x v="1"/>
    <m/>
    <m/>
    <m/>
    <m/>
    <m/>
    <m/>
    <d v="1899-12-30T13:00:00"/>
    <d v="1899-12-30T16:30:00"/>
    <n v="3.5000000000000009"/>
    <x v="1"/>
    <m/>
  </r>
  <r>
    <s v="Bay 6 -_x000a_Generator"/>
    <x v="1"/>
    <s v="Jagdev"/>
    <x v="2"/>
    <s v="GEN150-053"/>
    <s v="General repair, fuel tank cleaning, coolant change, valve gauging"/>
    <d v="2025-12-04T00:00:00"/>
    <d v="2025-12-04T00:00:00"/>
    <d v="2025-12-04T00:00:00"/>
    <m/>
    <d v="1899-12-30T07:30:00"/>
    <d v="1899-12-30T12:30:00"/>
    <n v="5.0000000000000009"/>
    <x v="0"/>
    <m/>
  </r>
  <r>
    <s v="Bay 6 -_x000a_Generator"/>
    <x v="2"/>
    <s v="Suraj"/>
    <x v="1"/>
    <m/>
    <m/>
    <m/>
    <m/>
    <d v="2025-12-04T00:00:00"/>
    <m/>
    <m/>
    <m/>
    <n v="0"/>
    <x v="1"/>
    <m/>
  </r>
  <r>
    <s v="Electrical"/>
    <x v="1"/>
    <s v="Fahad"/>
    <x v="3"/>
    <s v="SPB95-001"/>
    <s v="Enclosure cutting &amp; door wiring"/>
    <d v="2025-12-04T00:00:00"/>
    <d v="2025-12-04T00:00:00"/>
    <d v="2025-12-04T00:00:00"/>
    <m/>
    <d v="1899-12-30T08:00:00"/>
    <d v="1899-12-30T17:00:00"/>
    <n v="9.0000000000000018"/>
    <x v="0"/>
    <m/>
  </r>
  <r>
    <s v="Electrical"/>
    <x v="1"/>
    <s v="Lijo"/>
    <x v="8"/>
    <s v="Electrical section"/>
    <s v="Panel section wiring &amp; light fixing."/>
    <d v="2025-12-04T00:00:00"/>
    <d v="2025-12-04T00:00:00"/>
    <d v="2025-12-04T00:00:00"/>
    <m/>
    <d v="1899-12-30T08:00:00"/>
    <d v="1899-12-30T17:00:00"/>
    <n v="9.0000000000000018"/>
    <x v="0"/>
    <m/>
  </r>
  <r>
    <s v="Electrical"/>
    <x v="1"/>
    <s v="Shahanawaz"/>
    <x v="8"/>
    <s v="Electrical section"/>
    <s v="Panel section wiring &amp; light fixing."/>
    <d v="2025-12-04T00:00:00"/>
    <d v="2025-12-04T00:00:00"/>
    <d v="2025-12-04T00:00:00"/>
    <m/>
    <d v="1899-12-30T07:30:00"/>
    <d v="1899-12-30T16:30:00"/>
    <n v="9"/>
    <x v="0"/>
    <m/>
  </r>
  <r>
    <s v="Electrical"/>
    <x v="1"/>
    <s v="Charith"/>
    <x v="2"/>
    <s v="GEN250-043"/>
    <s v="Ac alternator inspection &amp; servicing assembling"/>
    <d v="2025-12-03T00:00:00"/>
    <d v="2025-12-04T00:00:00"/>
    <d v="2025-12-04T00:00:00"/>
    <m/>
    <d v="1899-12-30T07:30:00"/>
    <d v="1899-12-30T17:00:00"/>
    <n v="9.5"/>
    <x v="0"/>
    <m/>
  </r>
  <r>
    <s v="Electrical"/>
    <x v="2"/>
    <s v="Aman"/>
    <x v="1"/>
    <m/>
    <m/>
    <m/>
    <m/>
    <m/>
    <m/>
    <d v="1899-12-30T07:30:00"/>
    <d v="1899-12-30T17:00:00"/>
    <n v="9.5"/>
    <x v="1"/>
    <m/>
  </r>
  <r>
    <s v="Electrical"/>
    <x v="1"/>
    <s v="Ghiyan"/>
    <x v="4"/>
    <s v="SM1002-140"/>
    <s v="Stator rewinding"/>
    <d v="2025-11-29T00:00:00"/>
    <d v="2025-12-04T00:00:00"/>
    <d v="2025-12-04T00:00:00"/>
    <m/>
    <d v="1899-12-30T07:30:00"/>
    <d v="1899-12-30T12:00:00"/>
    <n v="4.5"/>
    <x v="0"/>
    <m/>
  </r>
  <r>
    <s v="Electrical"/>
    <x v="1"/>
    <s v="Venu"/>
    <x v="5"/>
    <s v="2.2kw"/>
    <s v="13nos pump inspection checking &amp; socket fixing &amp; number tagging"/>
    <d v="2025-12-04T00:00:00"/>
    <d v="2025-12-04T00:00:00"/>
    <d v="2025-12-04T00:00:00"/>
    <m/>
    <d v="1899-12-30T07:30:00"/>
    <d v="1899-12-30T17:00:00"/>
    <n v="9.5"/>
    <x v="0"/>
    <m/>
  </r>
  <r>
    <s v="Electrical"/>
    <x v="2"/>
    <s v="Suhaib"/>
    <x v="1"/>
    <m/>
    <m/>
    <m/>
    <m/>
    <d v="2025-12-04T00:00:00"/>
    <m/>
    <d v="1899-12-30T07:30:00"/>
    <d v="1899-12-30T17:00:00"/>
    <n v="9.5"/>
    <x v="1"/>
    <m/>
  </r>
  <r>
    <s v="Electrical"/>
    <x v="1"/>
    <s v="Suhaib"/>
    <x v="1"/>
    <m/>
    <m/>
    <d v="2025-12-04T00:00:00"/>
    <d v="2025-12-04T00:00:00"/>
    <d v="2025-12-04T00:00:00"/>
    <m/>
    <d v="1899-12-30T12:00:00"/>
    <d v="1899-12-30T16:30:00"/>
    <n v="4.5"/>
    <x v="1"/>
    <m/>
  </r>
  <r>
    <s v="Electrical"/>
    <x v="1"/>
    <s v="Suhaib"/>
    <x v="4"/>
    <s v="SM1002-140"/>
    <s v="Water testing"/>
    <d v="2025-12-04T00:00:00"/>
    <d v="2025-12-03T00:00:00"/>
    <d v="2025-12-04T00:00:00"/>
    <m/>
    <d v="1899-12-30T12:00:00"/>
    <d v="1899-12-30T16:00:00"/>
    <n v="3.9999999999999991"/>
    <x v="0"/>
    <m/>
  </r>
  <r>
    <s v="Electrical"/>
    <x v="1"/>
    <s v="Saqib"/>
    <x v="4"/>
    <s v="SM1002"/>
    <s v=" pumps water test"/>
    <d v="2025-12-04T00:00:00"/>
    <d v="2025-12-04T00:00:00"/>
    <m/>
    <m/>
    <d v="1899-12-30T07:30:00"/>
    <d v="1899-12-30T12:00:00"/>
    <n v="4.5"/>
    <x v="2"/>
    <m/>
  </r>
  <r>
    <s v="Bay 4&amp;5 - _x000a_Pumps"/>
    <x v="1"/>
    <s v="Asif"/>
    <x v="6"/>
    <s v="ACT12-27/28"/>
    <s v="Coolant &amp; oil filling, gauges &amp; connections installation."/>
    <d v="2025-12-04T00:00:00"/>
    <d v="2025-12-08T00:00:00"/>
    <m/>
    <m/>
    <d v="1899-12-30T07:30:00"/>
    <d v="1899-12-30T13:00:00"/>
    <n v="5.4999999999999991"/>
    <x v="0"/>
    <m/>
  </r>
  <r>
    <s v="Bay 4&amp;5 - _x000a_Pumps"/>
    <x v="2"/>
    <s v="Martino"/>
    <x v="1"/>
    <m/>
    <m/>
    <m/>
    <m/>
    <m/>
    <m/>
    <d v="1899-12-30T07:30:00"/>
    <d v="1899-12-30T13:00:00"/>
    <n v="5.4999999999999991"/>
    <x v="1"/>
    <m/>
  </r>
  <r>
    <s v="Bay 4&amp;5 - _x000a_Pumps"/>
    <x v="1"/>
    <s v="Vinod"/>
    <x v="6"/>
    <s v="CD300M-033"/>
    <s v="Water testing &amp; removing from bay"/>
    <d v="2025-12-04T00:00:00"/>
    <d v="2025-12-08T00:00:00"/>
    <m/>
    <m/>
    <d v="1899-12-30T06:30:00"/>
    <d v="1899-12-30T15:30:00"/>
    <n v="9.0000000000000018"/>
    <x v="2"/>
    <m/>
  </r>
  <r>
    <s v="Bay 4&amp;5 - _x000a_Pumps"/>
    <x v="2"/>
    <s v="Jahir"/>
    <x v="1"/>
    <m/>
    <m/>
    <m/>
    <m/>
    <m/>
    <m/>
    <d v="1899-12-30T06:30:00"/>
    <d v="1899-12-30T15:30:00"/>
    <n v="9.0000000000000018"/>
    <x v="1"/>
    <m/>
  </r>
  <r>
    <s v="Bay 4&amp;5 - _x000a_Pumps"/>
    <x v="1"/>
    <s v="Jahir"/>
    <x v="1"/>
    <m/>
    <m/>
    <m/>
    <m/>
    <m/>
    <m/>
    <d v="1899-12-30T06:30:00"/>
    <d v="1899-12-30T13:00:00"/>
    <n v="6.5"/>
    <x v="1"/>
    <m/>
  </r>
  <r>
    <s v="Bay 4&amp;5 - _x000a_Pumps"/>
    <x v="1"/>
    <s v="Asif"/>
    <x v="8"/>
    <s v="General work"/>
    <s v="System work for work orders &amp; IDT"/>
    <d v="2025-12-04T00:00:00"/>
    <d v="2025-12-04T00:00:00"/>
    <d v="2025-12-04T00:00:00"/>
    <m/>
    <d v="1899-12-30T15:30:00"/>
    <d v="1899-12-30T16:30:00"/>
    <n v="0.99999999999999911"/>
    <x v="0"/>
    <m/>
  </r>
  <r>
    <s v="Bay 4&amp;5 - _x000a_Pumps"/>
    <x v="1"/>
    <s v="Asif"/>
    <x v="6"/>
    <s v="ACT12-29/30"/>
    <s v="Coolant &amp; oil filling, gauges &amp; connections installation."/>
    <d v="2025-12-04T00:00:00"/>
    <d v="2025-12-06T00:00:00"/>
    <d v="2025-12-04T00:00:00"/>
    <m/>
    <d v="1899-12-30T14:00:00"/>
    <d v="1899-12-30T15:30:00"/>
    <n v="1.5"/>
    <x v="0"/>
    <m/>
  </r>
  <r>
    <s v="Bay 4&amp;5 - _x000a_Pumps"/>
    <x v="1"/>
    <s v="Allah Ditta"/>
    <x v="6"/>
    <s v="CP220S12SP-029/031/032"/>
    <s v="Inspection, fuel filling connections, Starting PDI"/>
    <d v="2025-12-04T00:00:00"/>
    <d v="2025-12-05T00:00:00"/>
    <d v="2025-12-04T00:00:00"/>
    <m/>
    <d v="1899-12-30T07:30:00"/>
    <d v="1899-12-30T16:30:00"/>
    <n v="9"/>
    <x v="0"/>
    <m/>
  </r>
  <r>
    <s v="Bay 4&amp;5 - _x000a_Pumps"/>
    <x v="1"/>
    <s v="Vinod"/>
    <x v="6"/>
    <s v="CP1212-006"/>
    <s v="Inspection, vaccum testing"/>
    <d v="2025-12-04T00:00:00"/>
    <d v="2025-12-06T00:00:00"/>
    <m/>
    <m/>
    <d v="1899-12-30T13:00:00"/>
    <d v="1899-12-30T16:30:00"/>
    <n v="3.5000000000000009"/>
    <x v="2"/>
    <m/>
  </r>
  <r>
    <s v="Bay 4&amp;5 - _x000a_Pumps"/>
    <x v="1"/>
    <s v="Jahir"/>
    <x v="1"/>
    <m/>
    <m/>
    <m/>
    <m/>
    <m/>
    <m/>
    <d v="1899-12-30T13:00:00"/>
    <d v="1899-12-30T16:30:00"/>
    <n v="3.5000000000000009"/>
    <x v="1"/>
    <m/>
  </r>
  <r>
    <s v="Bay 4&amp;5 - _x000a_Pumps"/>
    <x v="3"/>
    <s v="Suresh S"/>
    <x v="0"/>
    <s v="CP150-033"/>
    <s v="Vaccum Pump repair &amp; test"/>
    <d v="2025-12-04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Shaji"/>
    <x v="1"/>
    <m/>
    <m/>
    <m/>
    <m/>
    <m/>
    <m/>
    <d v="1899-12-30T07:30:00"/>
    <d v="1899-12-30T08:30:00"/>
    <n v="1.0000000000000004"/>
    <x v="1"/>
    <m/>
  </r>
  <r>
    <s v="Bay 4&amp;5 - _x000a_Pumps"/>
    <x v="3"/>
    <s v="Suresh S"/>
    <x v="0"/>
    <s v="PT175-515"/>
    <s v="Engine assembling"/>
    <d v="2025-12-04T00:00:00"/>
    <d v="2025-12-05T00:00:00"/>
    <m/>
    <m/>
    <m/>
    <m/>
    <n v="0"/>
    <x v="2"/>
    <m/>
  </r>
  <r>
    <s v="Bay 4&amp;5 - _x000a_Pumps"/>
    <x v="3"/>
    <s v="Shaji"/>
    <x v="1"/>
    <m/>
    <m/>
    <m/>
    <m/>
    <m/>
    <m/>
    <m/>
    <m/>
    <n v="0"/>
    <x v="1"/>
    <m/>
  </r>
  <r>
    <s v="Bay 4&amp;5 - _x000a_Pumps"/>
    <x v="3"/>
    <s v="Ismail"/>
    <x v="0"/>
    <s v="PT175-515"/>
    <s v="Pump assembling"/>
    <d v="2025-11-28T00:00:00"/>
    <d v="2025-12-05T00:00:00"/>
    <d v="2025-12-05T00:00:00"/>
    <m/>
    <d v="1899-12-30T07:30:00"/>
    <d v="1899-12-30T16:30:00"/>
    <n v="9"/>
    <x v="0"/>
    <m/>
  </r>
  <r>
    <s v="Bay 4&amp;5 - _x000a_Pumps"/>
    <x v="3"/>
    <s v="Shaji"/>
    <x v="1"/>
    <m/>
    <m/>
    <m/>
    <m/>
    <m/>
    <m/>
    <d v="1899-12-30T08:30:00"/>
    <d v="1899-12-30T10:30:00"/>
    <n v="1.9999999999999996"/>
    <x v="1"/>
    <m/>
  </r>
  <r>
    <s v="Bay 4&amp;5 - _x000a_Pumps"/>
    <x v="3"/>
    <s v="Bharathesha"/>
    <x v="0"/>
    <s v="CP150-676"/>
    <s v="Engine repair &amp; test"/>
    <d v="2025-12-03T00:00:00"/>
    <d v="2025-12-05T00:00:00"/>
    <d v="2025-12-05T00:00:00"/>
    <m/>
    <d v="1899-12-30T07:30:00"/>
    <d v="1899-12-30T16:30:00"/>
    <n v="9"/>
    <x v="0"/>
    <m/>
  </r>
  <r>
    <s v="Bay 4&amp;5 - _x000a_Pumps"/>
    <x v="3"/>
    <s v="Mintu"/>
    <x v="0"/>
    <s v="PT175-515"/>
    <s v="Engine assembling"/>
    <d v="2025-11-28T00:00:00"/>
    <d v="2025-12-04T00:00:00"/>
    <m/>
    <m/>
    <d v="1899-12-30T08:00:00"/>
    <d v="1899-12-30T17:00:00"/>
    <n v="9.0000000000000018"/>
    <x v="2"/>
    <m/>
  </r>
  <r>
    <s v="Bay 4&amp;5 - _x000a_Pumps"/>
    <x v="3"/>
    <s v="James"/>
    <x v="0"/>
    <s v="CP150V-001"/>
    <s v="Pump assembling"/>
    <d v="2025-12-03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Shaji"/>
    <x v="1"/>
    <m/>
    <m/>
    <m/>
    <m/>
    <m/>
    <m/>
    <d v="1899-12-30T10:30:00"/>
    <d v="1899-12-30T12:00:00"/>
    <n v="1.5"/>
    <x v="1"/>
    <m/>
  </r>
  <r>
    <s v="Bay 4&amp;5 - _x000a_Pumps"/>
    <x v="3"/>
    <s v="Shaji"/>
    <x v="8"/>
    <s v="System work "/>
    <s v="System work for work orders &amp; IDT"/>
    <d v="2025-12-05T00:00:00"/>
    <d v="2025-12-05T00:00:00"/>
    <d v="2025-12-05T00:00:00"/>
    <m/>
    <d v="1899-12-30T15:00:00"/>
    <d v="1899-12-30T17:00:00"/>
    <n v="2.0000000000000009"/>
    <x v="0"/>
    <m/>
  </r>
  <r>
    <s v="Bay 6 -_x000a_Generator"/>
    <x v="3"/>
    <s v="Shakeel"/>
    <x v="2"/>
    <s v="GEN250-012"/>
    <s v="DSE configuration &amp; load test"/>
    <d v="2025-12-05T00:00:00"/>
    <d v="2025-12-05T00:00:00"/>
    <m/>
    <m/>
    <d v="1899-12-30T07:30:00"/>
    <d v="1899-12-30T10:30:00"/>
    <n v="3"/>
    <x v="2"/>
    <m/>
  </r>
  <r>
    <s v="Bay 6 -_x000a_Generator"/>
    <x v="3"/>
    <s v="Shakeel"/>
    <x v="2"/>
    <s v="GEN250-044"/>
    <s v="Load testing &amp; cable connection"/>
    <d v="2025-12-05T00:00:00"/>
    <d v="2025-12-05T00:00:00"/>
    <d v="2025-12-05T00:00:00"/>
    <m/>
    <d v="1899-12-30T10:30:00"/>
    <d v="1899-12-30T03:30:00"/>
    <n v="17"/>
    <x v="0"/>
    <m/>
  </r>
  <r>
    <s v="Bay 6 -_x000a_Generator"/>
    <x v="3"/>
    <s v="Shakeel"/>
    <x v="2"/>
    <s v="GEN150-053"/>
    <s v="Load testing &amp; cable connection"/>
    <d v="2025-12-05T00:00:00"/>
    <d v="2025-12-05T00:00:00"/>
    <d v="2025-12-05T00:00:00"/>
    <m/>
    <d v="1899-12-30T14:30:00"/>
    <d v="1899-12-30T16:30:00"/>
    <n v="2.0000000000000009"/>
    <x v="0"/>
    <m/>
  </r>
  <r>
    <s v="Bay 6 -_x000a_Generator"/>
    <x v="3"/>
    <s v="Jagdev"/>
    <x v="2"/>
    <s v="GEN150-053"/>
    <s v="FIP, injector &amp; radiator remove"/>
    <d v="2025-12-05T00:00:00"/>
    <d v="2025-12-05T00:00:00"/>
    <d v="2025-12-05T00:00:00"/>
    <m/>
    <d v="1899-12-30T07:30:00"/>
    <d v="1899-12-30T13:00:00"/>
    <n v="5.4999999999999991"/>
    <x v="0"/>
    <m/>
  </r>
  <r>
    <s v="Bay 6 -_x000a_Generator"/>
    <x v="3"/>
    <s v="Suraj"/>
    <x v="1"/>
    <m/>
    <m/>
    <m/>
    <m/>
    <m/>
    <m/>
    <d v="1899-12-30T07:30:00"/>
    <d v="1899-12-30T13:00:00"/>
    <n v="5.4999999999999991"/>
    <x v="1"/>
    <m/>
  </r>
  <r>
    <s v="Bay 6 -_x000a_Generator"/>
    <x v="3"/>
    <s v="Jagdev"/>
    <x v="2"/>
    <s v="GENJ135-002"/>
    <s v="Ac alternator remove &amp; service"/>
    <d v="2025-12-05T00:00:00"/>
    <d v="2025-12-05T00:00:00"/>
    <d v="2025-12-05T00:00:00"/>
    <m/>
    <d v="1899-12-30T14:00:00"/>
    <d v="1899-12-30T16:30:00"/>
    <n v="2.4999999999999991"/>
    <x v="0"/>
    <m/>
  </r>
  <r>
    <s v="Bay 6 -_x000a_Generator"/>
    <x v="3"/>
    <s v="Suraj"/>
    <x v="1"/>
    <m/>
    <m/>
    <m/>
    <m/>
    <m/>
    <m/>
    <d v="1899-12-30T14:00:00"/>
    <d v="1899-12-30T16:30:00"/>
    <n v="2.4999999999999991"/>
    <x v="1"/>
    <m/>
  </r>
  <r>
    <s v="Electrical"/>
    <x v="3"/>
    <s v="Fahad"/>
    <x v="3"/>
    <s v="SPB95-001"/>
    <s v="Ventilation fan fixing"/>
    <d v="2025-12-05T00:00:00"/>
    <d v="2025-12-05T00:00:00"/>
    <d v="2025-12-05T00:00:00"/>
    <m/>
    <d v="1899-12-30T08:00:00"/>
    <d v="1899-12-30T12:00:00"/>
    <n v="4"/>
    <x v="0"/>
    <m/>
  </r>
  <r>
    <s v="Electrical"/>
    <x v="3"/>
    <s v="Fahad"/>
    <x v="3"/>
    <s v="DB-289"/>
    <s v="Reparing &amp; safety cover making"/>
    <d v="2025-12-05T00:00:00"/>
    <d v="2025-12-05T00:00:00"/>
    <m/>
    <m/>
    <d v="1899-12-30T12:00:00"/>
    <d v="1899-12-30T18:00:00"/>
    <n v="6"/>
    <x v="2"/>
    <m/>
  </r>
  <r>
    <s v="Electrical"/>
    <x v="3"/>
    <s v="Lijo"/>
    <x v="8"/>
    <s v="Electrical section"/>
    <s v="Panel section wiring &amp; light fixing."/>
    <d v="2025-12-05T00:00:00"/>
    <d v="2025-12-05T00:00:00"/>
    <d v="2025-12-05T00:00:00"/>
    <m/>
    <d v="1899-12-30T08:00:00"/>
    <d v="1899-12-30T17:00:00"/>
    <n v="9.0000000000000018"/>
    <x v="0"/>
    <m/>
  </r>
  <r>
    <s v="Electrical"/>
    <x v="3"/>
    <s v="Shahanawaz"/>
    <x v="8"/>
    <s v="Electrical section"/>
    <s v="Panel section wiring &amp; light fixing."/>
    <d v="2025-12-05T00:00:00"/>
    <d v="2025-12-05T00:00:00"/>
    <d v="2025-12-05T00:00:00"/>
    <m/>
    <d v="1899-12-30T07:30:00"/>
    <d v="1899-12-30T16:30:00"/>
    <n v="9"/>
    <x v="0"/>
    <m/>
  </r>
  <r>
    <s v="Electrical"/>
    <x v="3"/>
    <s v="Aman"/>
    <x v="2"/>
    <s v="GEN40-003"/>
    <s v="Ac alternator inspection &amp; servicing assembling"/>
    <d v="2025-12-04T00:00:00"/>
    <d v="2025-12-05T00:00:00"/>
    <m/>
    <m/>
    <d v="1899-12-30T07:30:00"/>
    <d v="1899-12-30T12:00:00"/>
    <n v="4.5"/>
    <x v="2"/>
    <m/>
  </r>
  <r>
    <s v="Electrical"/>
    <x v="3"/>
    <s v="Charith"/>
    <x v="1"/>
    <m/>
    <m/>
    <m/>
    <m/>
    <m/>
    <m/>
    <d v="1899-12-30T07:30:00"/>
    <d v="1899-12-30T12:00:00"/>
    <n v="4.5"/>
    <x v="1"/>
    <m/>
  </r>
  <r>
    <s v="Electrical"/>
    <x v="3"/>
    <s v="Ghiyan"/>
    <x v="4"/>
    <s v="FM150"/>
    <s v="8nos new flowmeter fixing, cable &amp; socket"/>
    <d v="2025-12-05T00:00:00"/>
    <d v="2025-12-05T00:00:00"/>
    <m/>
    <m/>
    <d v="1899-12-30T07:30:00"/>
    <d v="1899-12-30T16:00:00"/>
    <n v="8.5"/>
    <x v="0"/>
    <m/>
  </r>
  <r>
    <s v="Electrical"/>
    <x v="3"/>
    <s v="Ghiyan"/>
    <x v="2"/>
    <s v="GEN250-021"/>
    <s v="Load testing "/>
    <d v="2025-12-05T00:00:00"/>
    <d v="2025-12-05T00:00:00"/>
    <m/>
    <m/>
    <d v="1899-12-30T16:00:00"/>
    <d v="1899-12-30T17:00:00"/>
    <n v="1.0000000000000018"/>
    <x v="0"/>
    <m/>
  </r>
  <r>
    <s v="Electrical"/>
    <x v="3"/>
    <s v="Venu"/>
    <x v="5"/>
    <s v="New 2.2kw"/>
    <s v="25nos pump inspection checking &amp; socket fixing &amp; number tagging"/>
    <d v="2025-12-05T00:00:00"/>
    <d v="2025-12-05T00:00:00"/>
    <d v="2025-12-05T00:00:00"/>
    <m/>
    <d v="1899-12-30T07:30:00"/>
    <d v="1899-12-30T17:00:00"/>
    <n v="9.5"/>
    <x v="0"/>
    <m/>
  </r>
  <r>
    <s v="Electrical"/>
    <x v="3"/>
    <s v="Suhaib"/>
    <x v="1"/>
    <m/>
    <m/>
    <d v="2025-12-05T00:00:00"/>
    <d v="2025-12-05T00:00:00"/>
    <d v="2025-12-05T00:00:00"/>
    <m/>
    <d v="1899-12-30T07:30:00"/>
    <d v="1899-12-30T17:00:00"/>
    <n v="9.5"/>
    <x v="1"/>
    <m/>
  </r>
  <r>
    <s v="Electrical"/>
    <x v="3"/>
    <s v="Saqib"/>
    <x v="4"/>
    <s v="SM1002-125"/>
    <s v="Rotor repair &amp; assembling"/>
    <d v="2025-12-05T00:00:00"/>
    <d v="2025-12-06T00:00:00"/>
    <m/>
    <m/>
    <d v="1899-12-30T07:30:00"/>
    <d v="1899-12-30T17:30:00"/>
    <n v="10"/>
    <x v="2"/>
    <m/>
  </r>
  <r>
    <s v="Bay 4&amp;5 - _x000a_Pumps"/>
    <x v="3"/>
    <s v="Allah Ditta"/>
    <x v="6"/>
    <s v="CD300M-03"/>
    <s v="Installation on test bay &amp; testing"/>
    <d v="2025-12-05T00:00:00"/>
    <d v="2025-12-10T00:00:00"/>
    <d v="2025-12-05T00:00:00"/>
    <m/>
    <d v="1899-12-30T07:30:00"/>
    <d v="1899-12-30T17:30:00"/>
    <n v="10"/>
    <x v="0"/>
    <m/>
  </r>
  <r>
    <s v="Bay 4&amp;5 - _x000a_Pumps"/>
    <x v="3"/>
    <s v="Martino"/>
    <x v="1"/>
    <m/>
    <m/>
    <m/>
    <m/>
    <m/>
    <m/>
    <d v="1899-12-30T07:30:00"/>
    <d v="1899-12-30T13:00:00"/>
    <n v="5.4999999999999991"/>
    <x v="1"/>
    <m/>
  </r>
  <r>
    <s v="Bay 4&amp;5 - _x000a_Pumps"/>
    <x v="3"/>
    <s v="Allah Ditta"/>
    <x v="6"/>
    <s v="HL130M-07"/>
    <m/>
    <d v="2025-12-05T00:00:00"/>
    <d v="2025-12-05T00:00:00"/>
    <d v="2025-12-05T00:00:00"/>
    <m/>
    <d v="1899-12-30T14:00:00"/>
    <d v="1899-12-30T17:00:00"/>
    <n v="3"/>
    <x v="0"/>
    <m/>
  </r>
  <r>
    <s v="Bay 4&amp;5 - _x000a_Pumps"/>
    <x v="3"/>
    <s v="Vinod"/>
    <x v="6"/>
    <s v="CP1212-006"/>
    <s v="Vaccum testing &amp; fuel line replacement"/>
    <d v="2025-12-05T00:00:00"/>
    <d v="2025-12-05T00:00:00"/>
    <d v="2025-12-05T00:00:00"/>
    <m/>
    <d v="1899-12-30T08:00:00"/>
    <d v="1899-12-30T11:00:00"/>
    <n v="3"/>
    <x v="0"/>
    <m/>
  </r>
  <r>
    <s v="Bay 4&amp;5 - _x000a_Pumps"/>
    <x v="3"/>
    <s v="Jahir"/>
    <x v="8"/>
    <s v="BA180-002"/>
    <s v="General work with quality controller"/>
    <d v="2025-12-05T00:00:00"/>
    <d v="2025-12-05T00:00:00"/>
    <d v="2025-12-05T00:00:00"/>
    <m/>
    <d v="1899-12-30T08:00:00"/>
    <d v="1899-12-30T17:00:00"/>
    <n v="9.0000000000000018"/>
    <x v="0"/>
    <m/>
  </r>
  <r>
    <s v="Bay 4&amp;5 - _x000a_Pumps"/>
    <x v="3"/>
    <s v="Asif"/>
    <x v="6"/>
    <s v="CP220S12SP-029/031/032"/>
    <s v="General work &amp; PDI flowfinity"/>
    <d v="2025-12-05T00:00:00"/>
    <d v="2025-12-05T00:00:00"/>
    <d v="2025-12-05T00:00:00"/>
    <m/>
    <d v="1899-12-30T07:00:00"/>
    <d v="1899-12-30T12:00:00"/>
    <n v="5"/>
    <x v="0"/>
    <m/>
  </r>
  <r>
    <s v="Bay 4&amp;5 - _x000a_Pumps"/>
    <x v="3"/>
    <s v="Asif"/>
    <x v="8"/>
    <s v="System work "/>
    <s v="IDT &amp; system work"/>
    <d v="2025-12-05T00:00:00"/>
    <d v="2025-12-05T00:00:00"/>
    <d v="2025-12-05T00:00:00"/>
    <m/>
    <d v="1899-12-30T13:00:00"/>
    <d v="1899-12-30T15:30:00"/>
    <n v="2.5000000000000018"/>
    <x v="0"/>
    <m/>
  </r>
  <r>
    <s v="Bay 4&amp;5 - _x000a_Pumps"/>
    <x v="4"/>
    <s v="Suresh S"/>
    <x v="0"/>
    <s v="CP150"/>
    <s v="Vaccum Pump repair for site"/>
    <d v="2025-12-08T00:00:00"/>
    <d v="2025-12-08T00:00:00"/>
    <d v="2025-12-08T00:00:00"/>
    <m/>
    <d v="1899-12-30T08:00:00"/>
    <d v="1899-12-30T11:00:00"/>
    <n v="3"/>
    <x v="0"/>
    <m/>
  </r>
  <r>
    <s v="Bay 4&amp;5 - _x000a_Pumps"/>
    <x v="4"/>
    <s v="Shaji"/>
    <x v="1"/>
    <m/>
    <m/>
    <m/>
    <m/>
    <m/>
    <m/>
    <d v="1899-12-30T07:30:00"/>
    <d v="1899-12-30T08:30:00"/>
    <n v="1.0000000000000004"/>
    <x v="1"/>
    <m/>
  </r>
  <r>
    <s v="Bay 4&amp;5 - _x000a_Pumps"/>
    <x v="4"/>
    <s v="Suresh S"/>
    <x v="0"/>
    <s v="CP150-033"/>
    <s v="Pump dismantle &amp; prepare for assemble"/>
    <d v="2025-12-04T00:00:00"/>
    <d v="2025-12-08T00:00:00"/>
    <d v="2025-12-08T00:00:00"/>
    <m/>
    <d v="1899-12-30T11:00:00"/>
    <d v="1899-12-30T19:30:00"/>
    <n v="8.5"/>
    <x v="0"/>
    <m/>
  </r>
  <r>
    <s v="Bay 4&amp;5 - _x000a_Pumps"/>
    <x v="4"/>
    <s v="Shaji"/>
    <x v="1"/>
    <m/>
    <m/>
    <m/>
    <m/>
    <m/>
    <m/>
    <d v="1899-12-30T08:30:00"/>
    <d v="1899-12-30T10:30:00"/>
    <n v="1.9999999999999996"/>
    <x v="1"/>
    <m/>
  </r>
  <r>
    <s v="Bay 4&amp;5 - _x000a_Pumps"/>
    <x v="4"/>
    <s v="Ismail"/>
    <x v="0"/>
    <s v="PT175-554"/>
    <s v="Pump assembling ongoing"/>
    <d v="2025-12-06T00:00:00"/>
    <d v="2025-12-08T00:00:00"/>
    <d v="2025-12-08T00:00:00"/>
    <m/>
    <d v="1899-12-30T07:30:00"/>
    <d v="1899-12-30T18:30:00"/>
    <n v="11"/>
    <x v="0"/>
    <m/>
  </r>
  <r>
    <s v="Bay 4&amp;5 - _x000a_Pumps"/>
    <x v="4"/>
    <s v="Shaji"/>
    <x v="1"/>
    <m/>
    <m/>
    <m/>
    <m/>
    <m/>
    <m/>
    <d v="1899-12-30T10:30:00"/>
    <d v="1899-12-30T11:30:00"/>
    <n v="1.0000000000000004"/>
    <x v="1"/>
    <m/>
  </r>
  <r>
    <s v="Bay 4&amp;5 - _x000a_Pumps"/>
    <x v="4"/>
    <s v="Bharathesha"/>
    <x v="0"/>
    <s v="CP150V-009"/>
    <s v="Pump repair &amp; water test "/>
    <d v="2025-12-05T00:00:00"/>
    <d v="2025-12-08T00:00:00"/>
    <d v="2025-12-08T00:00:00"/>
    <m/>
    <d v="1899-12-30T07:30:00"/>
    <d v="1899-12-30T11:30:00"/>
    <n v="4"/>
    <x v="0"/>
    <m/>
  </r>
  <r>
    <s v="Bay 4&amp;5 - _x000a_Pumps"/>
    <x v="4"/>
    <m/>
    <x v="1"/>
    <m/>
    <m/>
    <d v="2025-12-05T00:00:00"/>
    <d v="2025-12-08T00:00:00"/>
    <d v="2025-12-08T00:00:00"/>
    <m/>
    <d v="1899-12-30T07:30:00"/>
    <d v="1899-12-30T11:30:00"/>
    <n v="4"/>
    <x v="1"/>
    <m/>
  </r>
  <r>
    <s v="Bay 4&amp;5 - _x000a_Pumps"/>
    <x v="4"/>
    <s v="Bharathesha"/>
    <x v="0"/>
    <s v="CP150-574"/>
    <s v="Pump &amp; engine repair, test failed, mechanical seal leakage"/>
    <d v="2025-12-08T00:00:00"/>
    <d v="2025-12-08T00:00:00"/>
    <d v="2025-12-08T00:00:00"/>
    <m/>
    <d v="1899-12-30T11:30:00"/>
    <d v="1899-12-30T18:30:00"/>
    <n v="7"/>
    <x v="0"/>
    <m/>
  </r>
  <r>
    <s v="Bay 4&amp;5 - _x000a_Pumps"/>
    <x v="4"/>
    <s v="Mintu"/>
    <x v="0"/>
    <s v="PT175-515"/>
    <s v="Engine assembling ongoing"/>
    <d v="2025-11-28T00:00:00"/>
    <d v="2025-12-08T00:00:00"/>
    <d v="2025-12-08T00:00:00"/>
    <m/>
    <d v="1899-12-30T08:00:00"/>
    <d v="1899-12-30T11:30:00"/>
    <n v="3.5000000000000009"/>
    <x v="0"/>
    <m/>
  </r>
  <r>
    <s v="Bay 4&amp;5 - _x000a_Pumps"/>
    <x v="4"/>
    <s v="James"/>
    <x v="0"/>
    <s v="CP150V-001"/>
    <s v="Pump assembling ongoing"/>
    <d v="2025-12-03T00:00:00"/>
    <d v="2025-12-08T00:00:00"/>
    <d v="2025-12-08T00:00:00"/>
    <m/>
    <d v="1899-12-30T10:00:00"/>
    <d v="1899-12-30T19:00:00"/>
    <n v="8.9999999999999982"/>
    <x v="0"/>
    <m/>
  </r>
  <r>
    <s v="Bay 4&amp;5 - _x000a_Pumps"/>
    <x v="4"/>
    <s v="Shaji"/>
    <x v="1"/>
    <m/>
    <m/>
    <m/>
    <m/>
    <m/>
    <m/>
    <d v="1899-12-30T11:30:00"/>
    <d v="1899-12-30T13:00:00"/>
    <n v="1.4999999999999987"/>
    <x v="1"/>
    <m/>
  </r>
  <r>
    <s v="Bay 4&amp;5 - _x000a_Pumps"/>
    <x v="4"/>
    <s v="James"/>
    <x v="0"/>
    <s v="CP150-694"/>
    <s v="Pump &amp; engine minor repair"/>
    <d v="2025-12-08T00:00:00"/>
    <d v="2025-12-08T00:00:00"/>
    <d v="2025-12-08T00:00:00"/>
    <m/>
    <d v="1899-12-30T08:00:00"/>
    <d v="1899-12-30T10:00:00"/>
    <n v="2.0000000000000009"/>
    <x v="0"/>
    <m/>
  </r>
  <r>
    <s v="Bay 4&amp;5 - _x000a_Pumps"/>
    <x v="4"/>
    <s v="Imran"/>
    <x v="1"/>
    <m/>
    <m/>
    <d v="2025-12-08T00:00:00"/>
    <d v="2025-12-08T00:00:00"/>
    <d v="2025-12-08T00:00:00"/>
    <m/>
    <d v="1899-12-30T08:00:00"/>
    <d v="1899-12-30T10:00:00"/>
    <n v="2.0000000000000009"/>
    <x v="1"/>
    <m/>
  </r>
  <r>
    <s v="Bay 4&amp;5 - _x000a_Pumps"/>
    <x v="4"/>
    <s v="Shaji"/>
    <x v="8"/>
    <s v="System work "/>
    <s v="System work for work orders &amp; IDT"/>
    <d v="2025-12-08T00:00:00"/>
    <d v="2025-12-08T00:00:00"/>
    <d v="2025-12-08T00:00:00"/>
    <m/>
    <d v="1899-12-30T14:00:00"/>
    <d v="1899-12-30T17:00:00"/>
    <n v="3"/>
    <x v="0"/>
    <m/>
  </r>
  <r>
    <s v="Bay 6 -_x000a_Generator"/>
    <x v="4"/>
    <s v="Jagdev"/>
    <x v="2"/>
    <s v="GEN200-009"/>
    <s v="General repair, fuel tank cleaning, Ac alternator fixing"/>
    <d v="2025-12-06T00:00:00"/>
    <d v="2025-12-08T00:00:00"/>
    <d v="2025-12-08T00:00:00"/>
    <m/>
    <d v="1899-12-30T07:30:00"/>
    <d v="1899-12-30T13:00:00"/>
    <n v="5.4999999999999991"/>
    <x v="0"/>
    <m/>
  </r>
  <r>
    <s v="Bay 6 -_x000a_Generator"/>
    <x v="4"/>
    <s v="Harish"/>
    <x v="1"/>
    <m/>
    <m/>
    <m/>
    <m/>
    <m/>
    <m/>
    <d v="1899-12-30T07:30:00"/>
    <d v="1899-12-30T13:00:00"/>
    <n v="5.4999999999999991"/>
    <x v="1"/>
    <m/>
  </r>
  <r>
    <s v="Bay 6 -_x000a_Generator"/>
    <x v="4"/>
    <n v="142744"/>
    <x v="2"/>
    <s v="GENJ150-021"/>
    <s v="General repair safety guard fixing, load test/ac alternator fail need to service"/>
    <d v="2025-12-08T00:00:00"/>
    <d v="2025-12-08T00:00:00"/>
    <m/>
    <m/>
    <d v="1899-12-30T07:30:00"/>
    <d v="1899-12-30T12:00:00"/>
    <n v="4.5"/>
    <x v="3"/>
    <m/>
  </r>
  <r>
    <s v="Bay 6 -_x000a_Generator"/>
    <x v="4"/>
    <n v="143344"/>
    <x v="1"/>
    <m/>
    <m/>
    <m/>
    <m/>
    <m/>
    <m/>
    <d v="1899-12-30T07:30:00"/>
    <d v="1899-12-30T12:00:00"/>
    <n v="4.5"/>
    <x v="1"/>
    <m/>
  </r>
  <r>
    <s v="Bay 6 -_x000a_Generator"/>
    <x v="4"/>
    <n v="142744"/>
    <x v="2"/>
    <s v="GEN20-002"/>
    <s v="Silencer cleaning &amp; fixing, load test"/>
    <d v="2025-12-05T00:00:00"/>
    <d v="2025-12-08T00:00:00"/>
    <d v="2025-12-08T00:00:00"/>
    <m/>
    <d v="1899-12-30T13:00:00"/>
    <d v="1899-12-30T16:30:00"/>
    <n v="3.5000000000000009"/>
    <x v="0"/>
    <m/>
  </r>
  <r>
    <s v="Bay 6 -_x000a_Generator"/>
    <x v="4"/>
    <s v="Jagdev"/>
    <x v="1"/>
    <m/>
    <m/>
    <d v="2025-12-05T00:00:00"/>
    <d v="2025-12-08T00:00:00"/>
    <d v="2025-12-08T00:00:00"/>
    <m/>
    <d v="1899-12-30T13:00:00"/>
    <d v="1899-12-30T16:30:00"/>
    <n v="3.5000000000000009"/>
    <x v="1"/>
    <m/>
  </r>
  <r>
    <s v="Bay 6 -_x000a_Generator"/>
    <x v="4"/>
    <s v="Ghiyan"/>
    <x v="2"/>
    <s v="GEN20-002"/>
    <s v="Cable connection &amp; load test"/>
    <d v="2025-12-05T00:00:00"/>
    <d v="2025-12-08T00:00:00"/>
    <d v="2025-12-08T00:00:00"/>
    <m/>
    <d v="1899-12-30T15:00:00"/>
    <d v="1899-12-30T15:30:00"/>
    <n v="0.50000000000000089"/>
    <x v="0"/>
    <m/>
  </r>
  <r>
    <s v="Bay 6 -_x000a_Generator"/>
    <x v="4"/>
    <s v="Ghiyan"/>
    <x v="2"/>
    <s v="GEN200-009"/>
    <s v="Cable connection"/>
    <d v="2025-12-06T00:00:00"/>
    <d v="2025-12-08T00:00:00"/>
    <d v="2025-12-08T00:00:00"/>
    <m/>
    <d v="1899-12-30T15:30:00"/>
    <d v="1899-12-30T16:30:00"/>
    <n v="0.99999999999999911"/>
    <x v="0"/>
    <m/>
  </r>
  <r>
    <s v="Electrical"/>
    <x v="4"/>
    <s v="Fahad"/>
    <x v="8"/>
    <s v="General work"/>
    <s v="New employee training &amp; general work"/>
    <d v="2025-12-08T00:00:00"/>
    <d v="2025-12-08T00:00:00"/>
    <d v="2025-12-08T00:00:00"/>
    <m/>
    <d v="1899-12-30T08:00:00"/>
    <d v="1899-12-30T17:00:00"/>
    <n v="9.0000000000000018"/>
    <x v="0"/>
    <m/>
  </r>
  <r>
    <s v="Electrical"/>
    <x v="4"/>
    <s v="Lijo"/>
    <x v="3"/>
    <s v="DB-289"/>
    <s v="Enclosure replacement repairing &amp; stand fixing"/>
    <d v="2025-12-06T00:00:00"/>
    <d v="2025-12-08T00:00:00"/>
    <d v="2025-12-08T00:00:00"/>
    <m/>
    <d v="1899-12-30T08:00:00"/>
    <d v="1899-12-30T17:00:00"/>
    <n v="9.0000000000000018"/>
    <x v="0"/>
    <m/>
  </r>
  <r>
    <s v="Electrical"/>
    <x v="4"/>
    <s v="Shahanawaz"/>
    <x v="3"/>
    <s v="SPB15-010"/>
    <s v="Testing &amp; PDI, general work in mechanical section."/>
    <d v="2025-12-08T00:00:00"/>
    <d v="2025-12-08T00:00:00"/>
    <d v="2025-12-08T00:00:00"/>
    <m/>
    <d v="1899-12-30T07:30:00"/>
    <d v="1899-12-30T11:30:00"/>
    <n v="4"/>
    <x v="0"/>
    <m/>
  </r>
  <r>
    <s v="Electrical"/>
    <x v="4"/>
    <n v="142862"/>
    <x v="1"/>
    <m/>
    <m/>
    <d v="2025-12-08T00:00:00"/>
    <d v="2025-12-08T00:00:00"/>
    <d v="2025-12-08T00:00:00"/>
    <m/>
    <d v="1899-12-30T11:00:00"/>
    <d v="1899-12-30T16:30:00"/>
    <n v="5.5"/>
    <x v="1"/>
    <m/>
  </r>
  <r>
    <s v="Electrical"/>
    <x v="4"/>
    <s v="Aman"/>
    <x v="2"/>
    <s v="GEN250-051"/>
    <s v="RC stator winding"/>
    <d v="2025-12-06T00:00:00"/>
    <d v="2025-12-11T00:00:00"/>
    <m/>
    <m/>
    <d v="1899-12-30T07:30:00"/>
    <d v="1899-12-30T17:00:00"/>
    <n v="9.5"/>
    <x v="2"/>
    <m/>
  </r>
  <r>
    <s v="Electrical"/>
    <x v="4"/>
    <s v="Charith"/>
    <x v="1"/>
    <m/>
    <m/>
    <m/>
    <m/>
    <m/>
    <m/>
    <d v="1899-12-30T07:30:00"/>
    <d v="1899-12-30T17:00:00"/>
    <n v="9.5"/>
    <x v="1"/>
    <m/>
  </r>
  <r>
    <s v="Electrical"/>
    <x v="4"/>
    <s v="Ghiyan"/>
    <x v="4"/>
    <s v="FM150"/>
    <s v="2nos new flowmeter fixing, cable &amp; socket"/>
    <d v="2025-12-08T00:00:00"/>
    <d v="2025-12-08T00:00:00"/>
    <m/>
    <m/>
    <d v="1899-12-30T07:30:00"/>
    <d v="1899-12-30T09:30:00"/>
    <n v="1.9999999999999996"/>
    <x v="2"/>
    <m/>
  </r>
  <r>
    <s v="Electrical"/>
    <x v="4"/>
    <s v="Ghiyan"/>
    <x v="2"/>
    <s v="GEN250-021"/>
    <s v="Load testing "/>
    <d v="2025-12-05T00:00:00"/>
    <d v="2025-12-05T00:00:00"/>
    <m/>
    <m/>
    <d v="1899-12-30T16:00:00"/>
    <d v="1899-12-30T17:00:00"/>
    <n v="1.0000000000000018"/>
    <x v="2"/>
    <m/>
  </r>
  <r>
    <s v="Electrical"/>
    <x v="4"/>
    <s v="Venu"/>
    <x v="5"/>
    <s v="New 3kw"/>
    <s v="25nos pump inspection checking &amp; socket fixing &amp; number tagging"/>
    <d v="2025-12-08T00:00:00"/>
    <d v="2025-12-08T00:00:00"/>
    <d v="2025-12-08T00:00:00"/>
    <m/>
    <d v="1899-12-30T07:30:00"/>
    <d v="1899-12-30T13:00:00"/>
    <n v="5.4999999999999991"/>
    <x v="0"/>
    <m/>
  </r>
  <r>
    <s v="Electrical"/>
    <x v="4"/>
    <s v="Suhaib"/>
    <x v="1"/>
    <m/>
    <m/>
    <d v="2025-12-08T00:00:00"/>
    <d v="2025-12-08T00:00:00"/>
    <d v="2025-12-08T00:00:00"/>
    <m/>
    <d v="1899-12-30T07:30:00"/>
    <d v="1899-12-30T13:00:00"/>
    <n v="5.4999999999999991"/>
    <x v="1"/>
    <m/>
  </r>
  <r>
    <s v="Electrical"/>
    <x v="4"/>
    <s v="Venu"/>
    <x v="5"/>
    <s v="New 2.2kw"/>
    <s v="10nos pump inspection checking &amp; socket fixing &amp; number tagging"/>
    <d v="2025-12-08T00:00:00"/>
    <d v="2025-12-08T00:00:00"/>
    <d v="2025-12-08T00:00:00"/>
    <m/>
    <m/>
    <m/>
    <n v="0"/>
    <x v="0"/>
    <m/>
  </r>
  <r>
    <s v="Electrical"/>
    <x v="4"/>
    <s v="Suhaib"/>
    <x v="1"/>
    <m/>
    <m/>
    <d v="2025-12-08T00:00:00"/>
    <d v="2025-12-08T00:00:00"/>
    <d v="2025-12-08T00:00:00"/>
    <m/>
    <m/>
    <m/>
    <n v="0"/>
    <x v="1"/>
    <m/>
  </r>
  <r>
    <s v="Electrical"/>
    <x v="4"/>
    <s v="Saqib"/>
    <x v="4"/>
    <s v="SM1002-126"/>
    <s v="Rotor repair &amp; assembling"/>
    <d v="2025-12-08T00:00:00"/>
    <d v="2025-12-09T00:00:00"/>
    <m/>
    <m/>
    <d v="1899-12-30T07:30:00"/>
    <d v="1899-12-30T16:30:00"/>
    <n v="9"/>
    <x v="2"/>
    <m/>
  </r>
  <r>
    <s v="Bay 4&amp;5 - _x000a_Pumps"/>
    <x v="4"/>
    <s v="Allah ditta"/>
    <x v="6"/>
    <s v="AC825-05"/>
    <s v="Radiator installation &amp; engine service"/>
    <d v="2025-12-08T00:00:00"/>
    <d v="2025-12-20T00:00:00"/>
    <d v="2025-12-08T00:00:00"/>
    <m/>
    <d v="1899-12-30T07:30:00"/>
    <d v="1899-12-30T16:30:00"/>
    <n v="9"/>
    <x v="0"/>
    <m/>
  </r>
  <r>
    <s v="Bay 4&amp;5 - _x000a_Pumps"/>
    <x v="4"/>
    <s v="Martino"/>
    <x v="1"/>
    <m/>
    <m/>
    <m/>
    <m/>
    <m/>
    <m/>
    <d v="1899-12-30T07:30:00"/>
    <d v="1899-12-30T16:30:00"/>
    <n v="9"/>
    <x v="1"/>
    <m/>
  </r>
  <r>
    <s v="Bay 4&amp;5 - _x000a_Pumps"/>
    <x v="4"/>
    <s v="Vinod"/>
    <x v="6"/>
    <s v="BA180-002"/>
    <s v="Pump assembling"/>
    <d v="2025-12-08T00:00:00"/>
    <d v="2025-12-15T00:00:00"/>
    <m/>
    <m/>
    <d v="1899-12-30T08:00:00"/>
    <d v="1899-12-30T17:00:00"/>
    <n v="9.0000000000000018"/>
    <x v="2"/>
    <m/>
  </r>
  <r>
    <s v="Bay 4&amp;5 - _x000a_Pumps"/>
    <x v="4"/>
    <s v="Jahir"/>
    <x v="1"/>
    <m/>
    <m/>
    <d v="2025-12-08T00:00:00"/>
    <d v="2025-12-15T00:00:00"/>
    <m/>
    <m/>
    <d v="1899-12-30T08:00:00"/>
    <d v="1899-12-30T17:00:00"/>
    <n v="9.0000000000000018"/>
    <x v="1"/>
    <m/>
  </r>
  <r>
    <s v="Bay 4&amp;5 - _x000a_Pumps"/>
    <x v="4"/>
    <s v="Asif"/>
    <x v="8"/>
    <s v="General work"/>
    <s v="General work &amp; system work"/>
    <d v="2025-12-08T00:00:00"/>
    <d v="2025-12-08T00:00:00"/>
    <d v="2025-12-08T00:00:00"/>
    <m/>
    <d v="1899-12-30T07:30:00"/>
    <d v="1899-12-30T16:30:00"/>
    <n v="9"/>
    <x v="0"/>
    <m/>
  </r>
  <r>
    <s v="Bay 4&amp;5 - _x000a_Pumps"/>
    <x v="5"/>
    <s v="Ismail"/>
    <x v="0"/>
    <s v="PT175-554"/>
    <s v="Pump assembling"/>
    <d v="2025-12-06T00:00:00"/>
    <d v="2025-12-06T00:00:00"/>
    <m/>
    <m/>
    <d v="1899-12-30T07:30:00"/>
    <d v="1899-12-30T16:30:00"/>
    <n v="9"/>
    <x v="0"/>
    <m/>
  </r>
  <r>
    <s v="Bay 4&amp;5 - _x000a_Pumps"/>
    <x v="5"/>
    <s v="Shaji"/>
    <x v="1"/>
    <m/>
    <m/>
    <m/>
    <m/>
    <m/>
    <m/>
    <d v="1899-12-30T07:30:00"/>
    <d v="1899-12-30T08:30:00"/>
    <n v="1.0000000000000004"/>
    <x v="1"/>
    <m/>
  </r>
  <r>
    <s v="Bay 4&amp;5 - _x000a_Pumps"/>
    <x v="5"/>
    <s v="Bharathesha"/>
    <x v="0"/>
    <s v="CP150V-009"/>
    <s v="Pump repair and water test"/>
    <d v="2025-12-05T00:00:00"/>
    <d v="2025-12-06T00:00:00"/>
    <m/>
    <m/>
    <d v="1899-12-30T07:30:00"/>
    <d v="1899-12-30T08:30:00"/>
    <n v="1.0000000000000004"/>
    <x v="0"/>
    <m/>
  </r>
  <r>
    <s v="Bay 4&amp;5 - _x000a_Pumps"/>
    <x v="5"/>
    <s v="Mintu"/>
    <x v="1"/>
    <m/>
    <m/>
    <m/>
    <m/>
    <m/>
    <m/>
    <d v="1899-12-30T07:30:00"/>
    <d v="1899-12-30T08:30:00"/>
    <n v="1.0000000000000004"/>
    <x v="1"/>
    <m/>
  </r>
  <r>
    <s v="Bay 4&amp;5 - _x000a_Pumps"/>
    <x v="5"/>
    <s v="Suresh S"/>
    <x v="0"/>
    <s v="CP150-033"/>
    <s v="Pump dismantling and prepare for assembling"/>
    <d v="2025-12-04T00:00:00"/>
    <d v="2025-12-06T00:00:00"/>
    <m/>
    <m/>
    <d v="1899-12-30T08:00:00"/>
    <d v="1899-12-30T17:00:00"/>
    <n v="9.0000000000000018"/>
    <x v="0"/>
    <m/>
  </r>
  <r>
    <s v="Bay 4&amp;5 - _x000a_Pumps"/>
    <x v="5"/>
    <s v="Shaji"/>
    <x v="1"/>
    <m/>
    <m/>
    <m/>
    <m/>
    <m/>
    <m/>
    <d v="1899-12-30T08:30:00"/>
    <d v="1899-12-30T10:30:00"/>
    <n v="1.9999999999999996"/>
    <x v="1"/>
    <m/>
  </r>
  <r>
    <s v="Bay 4&amp;5 - _x000a_Pumps"/>
    <x v="5"/>
    <s v="James"/>
    <x v="0"/>
    <s v="CP150V-001"/>
    <s v="Pump assembling"/>
    <d v="2025-12-03T00:00:00"/>
    <d v="2025-12-06T00:00:00"/>
    <m/>
    <m/>
    <d v="1899-12-30T08:00:00"/>
    <d v="1899-12-30T17:00:00"/>
    <n v="9.0000000000000018"/>
    <x v="2"/>
    <m/>
  </r>
  <r>
    <s v="Bay 4&amp;5 - _x000a_Pumps"/>
    <x v="5"/>
    <s v="Shaji"/>
    <x v="1"/>
    <m/>
    <m/>
    <m/>
    <m/>
    <m/>
    <m/>
    <d v="1899-12-30T10:30:00"/>
    <d v="1899-12-30T12:00:00"/>
    <n v="1.5"/>
    <x v="1"/>
    <m/>
  </r>
  <r>
    <s v="Bay 6 -_x000a_Generator"/>
    <x v="5"/>
    <s v="Suraj"/>
    <x v="2"/>
    <s v="GEN40-003"/>
    <s v="Alternator fixing, Fuel tank cleaning"/>
    <d v="2025-12-06T00:00:00"/>
    <d v="2025-12-06T00:00:00"/>
    <d v="2025-12-06T00:00:00"/>
    <m/>
    <d v="1899-12-30T07:30:00"/>
    <d v="1899-12-30T13:00:00"/>
    <n v="5.4999999999999991"/>
    <x v="0"/>
    <m/>
  </r>
  <r>
    <s v="Bay 6 -_x000a_Generator"/>
    <x v="5"/>
    <s v="Jagdev"/>
    <x v="2"/>
    <s v="GEN200-009"/>
    <s v="Alternator fixing, Fuel tank cleaning"/>
    <d v="2025-12-06T00:00:00"/>
    <d v="2025-12-06T00:00:00"/>
    <d v="2025-12-06T00:00:00"/>
    <m/>
    <d v="1899-12-30T14:00:00"/>
    <d v="1899-12-30T16:30:00"/>
    <n v="2.4999999999999991"/>
    <x v="0"/>
    <m/>
  </r>
  <r>
    <s v="Bay 6 -_x000a_Generator"/>
    <x v="5"/>
    <s v="Suraj"/>
    <x v="1"/>
    <m/>
    <m/>
    <m/>
    <m/>
    <m/>
    <m/>
    <d v="1899-12-30T14:00:00"/>
    <d v="1899-12-30T16:30:00"/>
    <n v="2.4999999999999991"/>
    <x v="1"/>
    <m/>
  </r>
  <r>
    <s v="Bay 6 -_x000a_Generator"/>
    <x v="5"/>
    <s v="Jagdev"/>
    <x v="9"/>
    <s v="DR-024"/>
    <s v="Repair on site"/>
    <d v="2025-12-06T00:00:00"/>
    <d v="2025-12-06T00:00:00"/>
    <d v="2025-12-06T00:00:00"/>
    <m/>
    <d v="1899-12-30T07:30:00"/>
    <d v="1899-12-30T14:00:00"/>
    <n v="6.5000000000000009"/>
    <x v="0"/>
    <m/>
  </r>
  <r>
    <s v="Electrical"/>
    <x v="5"/>
    <s v="Fahad"/>
    <x v="3"/>
    <s v="SPB3.7-029"/>
    <s v="Repair on site"/>
    <d v="2025-12-06T00:00:00"/>
    <d v="2025-12-06T00:00:00"/>
    <d v="2025-12-06T00:00:00"/>
    <m/>
    <d v="1899-12-30T08:00:00"/>
    <d v="1899-12-30T12:00:00"/>
    <n v="4"/>
    <x v="0"/>
    <m/>
  </r>
  <r>
    <s v="Electrical"/>
    <x v="5"/>
    <s v="Fahad"/>
    <x v="3"/>
    <s v="SPB3.7-100"/>
    <m/>
    <d v="2025-12-06T00:00:00"/>
    <d v="2025-12-06T00:00:00"/>
    <d v="2025-12-06T00:00:00"/>
    <m/>
    <d v="1899-12-30T13:00:00"/>
    <d v="1899-12-30T17:00:00"/>
    <n v="4.0000000000000018"/>
    <x v="0"/>
    <m/>
  </r>
  <r>
    <s v="Electrical"/>
    <x v="5"/>
    <s v="Lijo"/>
    <x v="3"/>
    <s v="DB-289"/>
    <s v="Enclosure replacement"/>
    <d v="2025-12-06T00:00:00"/>
    <d v="2025-12-08T00:00:00"/>
    <m/>
    <m/>
    <d v="1899-12-30T08:00:00"/>
    <d v="1899-12-30T17:00:00"/>
    <n v="9.0000000000000018"/>
    <x v="2"/>
    <m/>
  </r>
  <r>
    <s v="Electrical"/>
    <x v="5"/>
    <s v="Shahanawaz"/>
    <x v="3"/>
    <s v="SPB15-010"/>
    <s v="Canopy and alarm system fixing"/>
    <d v="2025-12-06T00:00:00"/>
    <d v="2025-12-06T00:00:00"/>
    <d v="2025-12-06T00:00:00"/>
    <m/>
    <d v="1899-12-30T07:30:00"/>
    <d v="1899-12-30T16:30:00"/>
    <n v="9"/>
    <x v="0"/>
    <m/>
  </r>
  <r>
    <s v="Electrical"/>
    <x v="5"/>
    <s v="Aman"/>
    <x v="2"/>
    <s v="GEN250-051"/>
    <s v="Alternator rewinding"/>
    <d v="2025-12-06T00:00:00"/>
    <d v="2025-12-11T00:00:00"/>
    <m/>
    <m/>
    <d v="1899-12-30T08:00:00"/>
    <d v="1899-12-30T17:00:00"/>
    <n v="9.0000000000000018"/>
    <x v="2"/>
    <m/>
  </r>
  <r>
    <s v="Electrical"/>
    <x v="5"/>
    <s v="Charith"/>
    <x v="1"/>
    <m/>
    <m/>
    <m/>
    <m/>
    <m/>
    <m/>
    <d v="1899-12-30T07:30:00"/>
    <d v="1899-12-30T16:30:00"/>
    <n v="9"/>
    <x v="1"/>
    <m/>
  </r>
  <r>
    <s v="Electrical"/>
    <x v="5"/>
    <s v="Ghiyan"/>
    <x v="0"/>
    <s v="FM150"/>
    <s v="8nos new flowmeter fixing, cable &amp; socket"/>
    <d v="2025-12-06T00:00:00"/>
    <d v="2025-12-06T00:00:00"/>
    <d v="2025-12-06T00:00:00"/>
    <m/>
    <d v="1899-12-30T07:30:00"/>
    <d v="1899-12-30T16:30:00"/>
    <n v="9"/>
    <x v="0"/>
    <m/>
  </r>
  <r>
    <s v="Electrical"/>
    <x v="5"/>
    <s v="Venu"/>
    <x v="5"/>
    <s v="New 2.2kw"/>
    <s v="12nos pump inspection checking &amp; socket fixing &amp; number tagging"/>
    <d v="2025-12-06T00:00:00"/>
    <d v="2025-12-06T00:00:00"/>
    <d v="2025-12-06T00:00:00"/>
    <m/>
    <d v="1899-12-30T07:30:00"/>
    <d v="1899-12-30T12:00:00"/>
    <n v="4.5"/>
    <x v="0"/>
    <m/>
  </r>
  <r>
    <s v="Electrical"/>
    <x v="5"/>
    <s v="Suhaib"/>
    <x v="1"/>
    <m/>
    <m/>
    <d v="2025-12-06T00:00:00"/>
    <d v="2025-12-06T00:00:00"/>
    <d v="2025-12-06T00:00:00"/>
    <m/>
    <d v="1899-12-30T08:00:00"/>
    <d v="1899-12-30T12:00:00"/>
    <n v="4"/>
    <x v="1"/>
    <m/>
  </r>
  <r>
    <s v="Electrical"/>
    <x v="5"/>
    <s v="Venu"/>
    <x v="5"/>
    <s v="New 3kw"/>
    <s v="10nos pump inspection checking &amp; socket fixing &amp; number tagging"/>
    <d v="2025-12-06T00:00:00"/>
    <d v="2025-12-06T00:00:00"/>
    <d v="2025-12-06T00:00:00"/>
    <m/>
    <d v="1899-12-30T13:00:00"/>
    <d v="1899-12-30T16:30:00"/>
    <n v="3.5000000000000009"/>
    <x v="0"/>
    <m/>
  </r>
  <r>
    <s v="Electrical"/>
    <x v="5"/>
    <s v="Suhaib"/>
    <x v="1"/>
    <m/>
    <m/>
    <d v="2025-12-06T00:00:00"/>
    <d v="2025-12-06T00:00:00"/>
    <d v="2025-12-06T00:00:00"/>
    <m/>
    <d v="1899-12-30T13:00:00"/>
    <d v="1899-12-30T17:00:00"/>
    <n v="4.0000000000000018"/>
    <x v="0"/>
    <m/>
  </r>
  <r>
    <s v="Electrical"/>
    <x v="5"/>
    <s v="Saqib"/>
    <x v="4"/>
    <s v="SM1002-074"/>
    <s v="Pump dismantling"/>
    <d v="2025-12-06T00:00:00"/>
    <d v="2025-12-06T00:00:00"/>
    <d v="2025-12-06T00:00:00"/>
    <m/>
    <d v="1899-12-30T07:30:00"/>
    <d v="1899-12-30T12:00:00"/>
    <n v="4.5"/>
    <x v="0"/>
    <m/>
  </r>
  <r>
    <s v="Electrical"/>
    <x v="5"/>
    <s v="Saqib"/>
    <x v="4"/>
    <s v="SM1002-074"/>
    <s v="Rotor repair &amp; assembling"/>
    <d v="2025-12-06T00:00:00"/>
    <d v="2025-12-08T00:00:00"/>
    <m/>
    <m/>
    <d v="1899-12-30T13:00:00"/>
    <d v="1899-12-30T16:30:00"/>
    <n v="3.5000000000000009"/>
    <x v="2"/>
    <m/>
  </r>
  <r>
    <s v="Bay 4&amp;5 - _x000a_Pumps"/>
    <x v="5"/>
    <s v="Allah ditta"/>
    <x v="6"/>
    <s v="CD300M-03"/>
    <s v="Air compressor and priming unit repair, Air line and fuel line replacemnet"/>
    <d v="2025-12-06T00:00:00"/>
    <d v="2025-12-10T00:00:00"/>
    <d v="2025-12-06T00:00:00"/>
    <m/>
    <d v="1899-12-30T07:30:00"/>
    <d v="1899-12-30T16:30:00"/>
    <n v="9"/>
    <x v="0"/>
    <m/>
  </r>
  <r>
    <s v="Bay 4&amp;5 - _x000a_Pumps"/>
    <x v="5"/>
    <s v="Martino"/>
    <x v="1"/>
    <m/>
    <m/>
    <d v="2025-12-06T00:00:00"/>
    <d v="2025-12-10T00:00:00"/>
    <d v="2025-12-06T00:00:00"/>
    <m/>
    <d v="1899-12-30T07:30:00"/>
    <d v="1899-12-30T16:30:00"/>
    <n v="9"/>
    <x v="0"/>
    <m/>
  </r>
  <r>
    <s v="Bay 4&amp;5 - _x000a_Pumps"/>
    <x v="5"/>
    <s v="Vinod"/>
    <x v="6"/>
    <s v="BA180-002"/>
    <s v="Parts cleaning, Shaft, bearing seal replacement"/>
    <d v="2025-12-06T00:00:00"/>
    <d v="2025-12-12T00:00:00"/>
    <d v="2025-12-06T00:00:00"/>
    <m/>
    <d v="1899-12-30T08:00:00"/>
    <d v="1899-12-30T17:00:00"/>
    <n v="9.0000000000000018"/>
    <x v="0"/>
    <m/>
  </r>
  <r>
    <s v="Bay 4&amp;5 - _x000a_Pumps"/>
    <x v="5"/>
    <s v="Jahir"/>
    <x v="1"/>
    <m/>
    <m/>
    <d v="2025-12-06T00:00:00"/>
    <d v="2025-12-12T00:00:00"/>
    <d v="2025-12-06T00:00:00"/>
    <m/>
    <d v="1899-12-30T08:00:00"/>
    <d v="1899-12-30T17:00:00"/>
    <n v="9.0000000000000018"/>
    <x v="0"/>
    <m/>
  </r>
  <r>
    <s v="Bay 4&amp;5 - _x000a_Pumps"/>
    <x v="5"/>
    <s v="Asif"/>
    <x v="8"/>
    <s v="System work "/>
    <s v="IDT &amp; system work"/>
    <d v="2025-12-06T00:00:00"/>
    <d v="2025-12-06T00:00:00"/>
    <d v="2025-12-06T00:00:00"/>
    <m/>
    <d v="1899-12-30T07:30:00"/>
    <d v="1899-12-30T16:30:00"/>
    <n v="9"/>
    <x v="0"/>
    <m/>
  </r>
  <r>
    <s v="Bay 4&amp;5 - _x000a_Pumps"/>
    <x v="6"/>
    <s v="Suresh S"/>
    <x v="0"/>
    <s v="CP150-033"/>
    <s v="Pump assembling &amp; water test"/>
    <d v="2025-12-04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07:30:00"/>
    <d v="1899-12-30T08:30:00"/>
    <n v="1.0000000000000004"/>
    <x v="1"/>
    <m/>
  </r>
  <r>
    <s v="Bay 4&amp;5 - _x000a_Pumps"/>
    <x v="6"/>
    <s v="Ismail"/>
    <x v="0"/>
    <s v="PT175-511"/>
    <s v="Pump assembling ongoing"/>
    <d v="2025-12-09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08:30:00"/>
    <d v="1899-12-30T09:30:00"/>
    <n v="0.99999999999999911"/>
    <x v="1"/>
    <m/>
  </r>
  <r>
    <s v="Bay 4&amp;5 - _x000a_Pumps"/>
    <x v="6"/>
    <s v="Bharathesha"/>
    <x v="0"/>
    <s v="CP150-574"/>
    <s v="Pump dismantling"/>
    <d v="2025-12-08T00:00:00"/>
    <d v="2025-12-09T00:00:00"/>
    <d v="2025-12-09T00:00:00"/>
    <m/>
    <d v="1899-12-30T09:30:00"/>
    <d v="1899-12-30T10:30:00"/>
    <n v="1.0000000000000004"/>
    <x v="0"/>
    <m/>
  </r>
  <r>
    <s v="Bay 4&amp;5 - _x000a_Pumps"/>
    <x v="6"/>
    <s v="Shaji"/>
    <x v="1"/>
    <m/>
    <m/>
    <m/>
    <m/>
    <m/>
    <m/>
    <d v="1899-12-30T07:30:00"/>
    <d v="1899-12-30T11:30:00"/>
    <n v="4"/>
    <x v="1"/>
    <m/>
  </r>
  <r>
    <s v="Bay 4&amp;5 - _x000a_Pumps"/>
    <x v="6"/>
    <s v="Mintu"/>
    <x v="0"/>
    <s v="PT175-522"/>
    <s v="Engine assembling ongoing"/>
    <d v="2025-12-08T00:00:00"/>
    <d v="2025-12-09T00:00:00"/>
    <d v="2025-12-09T00:00:00"/>
    <m/>
    <d v="1899-12-30T08:00:00"/>
    <d v="1899-12-30T19:00:00"/>
    <n v="11"/>
    <x v="0"/>
    <m/>
  </r>
  <r>
    <s v="Bay 4&amp;5 - _x000a_Pumps"/>
    <x v="6"/>
    <s v="Shaji"/>
    <x v="1"/>
    <m/>
    <m/>
    <m/>
    <m/>
    <m/>
    <m/>
    <d v="1899-12-30T10:30:00"/>
    <d v="1899-12-30T11:30:00"/>
    <n v="1.0000000000000004"/>
    <x v="1"/>
    <m/>
  </r>
  <r>
    <s v="Bay 4&amp;5 - _x000a_Pumps"/>
    <x v="6"/>
    <s v="James"/>
    <x v="0"/>
    <s v="CP150V-001"/>
    <s v="Pump assembling ongoing"/>
    <d v="2025-12-03T00:00:00"/>
    <d v="2025-12-09T00:00:00"/>
    <d v="2025-12-09T00:00:00"/>
    <m/>
    <d v="1899-12-30T08:00:00"/>
    <d v="1899-12-30T12:00:00"/>
    <n v="4"/>
    <x v="0"/>
    <m/>
  </r>
  <r>
    <s v="Bay 4&amp;5 - _x000a_Pumps"/>
    <x v="6"/>
    <s v="Shaji"/>
    <x v="1"/>
    <m/>
    <m/>
    <m/>
    <m/>
    <m/>
    <m/>
    <d v="1899-12-30T11:30:00"/>
    <d v="1899-12-30T13:00:00"/>
    <n v="1.4999999999999987"/>
    <x v="1"/>
    <m/>
  </r>
  <r>
    <s v="Bay 4&amp;5 - _x000a_Pumps"/>
    <x v="6"/>
    <s v="Shaji"/>
    <x v="8"/>
    <s v="System work "/>
    <s v="System work for work orders &amp; IDT"/>
    <d v="2025-12-09T00:00:00"/>
    <d v="2025-12-09T00:00:00"/>
    <m/>
    <m/>
    <d v="1899-12-30T14:00:00"/>
    <d v="1899-12-30T17:00:00"/>
    <n v="3"/>
    <x v="2"/>
    <m/>
  </r>
  <r>
    <s v="Bay 4&amp;5 - _x000a_Pumps"/>
    <x v="6"/>
    <s v="James"/>
    <x v="0"/>
    <s v="CP150-396"/>
    <s v="Engine dismantling"/>
    <d v="2025-12-09T00:00:00"/>
    <d v="2025-12-09T00:00:00"/>
    <d v="2025-12-09T00:00:00"/>
    <m/>
    <d v="1899-12-30T13:00:00"/>
    <d v="1899-12-30T19:00:00"/>
    <n v="6"/>
    <x v="0"/>
    <m/>
  </r>
  <r>
    <s v="Bay 6 -_x000a_Generator"/>
    <x v="6"/>
    <s v="Jagdev"/>
    <x v="2"/>
    <s v="GENJ250-043"/>
    <s v="Ac alternator fixing, fuel pump &amp; injector fixing, valve clearance setting"/>
    <d v="2025-12-09T00:00:00"/>
    <d v="2025-12-09T00:00:00"/>
    <d v="2025-12-09T00:00:00"/>
    <m/>
    <d v="1899-12-30T07:30:00"/>
    <d v="1899-12-30T16:30:00"/>
    <n v="9"/>
    <x v="0"/>
    <m/>
  </r>
  <r>
    <s v="Bay 6 -_x000a_Generator"/>
    <x v="6"/>
    <s v="Harish"/>
    <x v="1"/>
    <m/>
    <m/>
    <m/>
    <m/>
    <m/>
    <m/>
    <d v="1899-12-30T07:30:00"/>
    <d v="1899-12-30T16:30:00"/>
    <n v="9"/>
    <x v="1"/>
    <m/>
  </r>
  <r>
    <s v="Bay 6 -_x000a_Generator"/>
    <x v="6"/>
    <s v="Suraj"/>
    <x v="10"/>
    <s v="BFT3-121"/>
    <s v="Tank removing &amp; cleaning, new fitting fixing,"/>
    <d v="2025-12-08T00:00:00"/>
    <d v="2025-12-09T00:00:00"/>
    <d v="2025-12-09T00:00:00"/>
    <m/>
    <d v="1899-12-30T07:30:00"/>
    <d v="1899-12-30T14:30:00"/>
    <n v="6.9999999999999991"/>
    <x v="0"/>
    <m/>
  </r>
  <r>
    <s v="Bay 6 -_x000a_Generator"/>
    <x v="6"/>
    <s v="Anwar"/>
    <x v="1"/>
    <m/>
    <m/>
    <m/>
    <m/>
    <m/>
    <m/>
    <d v="1899-12-30T07:30:00"/>
    <d v="1899-12-30T14:30:00"/>
    <n v="6.9999999999999991"/>
    <x v="1"/>
    <m/>
  </r>
  <r>
    <s v="Bay 6 -_x000a_Generator"/>
    <x v="6"/>
    <s v="Suraj"/>
    <x v="2"/>
    <s v="GEN200-009"/>
    <s v="Load test, final fitting"/>
    <d v="2025-12-08T00:00:00"/>
    <d v="2025-12-09T00:00:00"/>
    <m/>
    <m/>
    <d v="1899-12-30T14:30:00"/>
    <d v="1899-12-30T14:30:00"/>
    <n v="0"/>
    <x v="3"/>
    <m/>
  </r>
  <r>
    <s v="Bay 6 -_x000a_Generator"/>
    <x v="6"/>
    <s v="Anwar"/>
    <x v="1"/>
    <m/>
    <m/>
    <d v="2025-12-08T00:00:00"/>
    <d v="2025-12-09T00:00:00"/>
    <m/>
    <m/>
    <d v="1899-12-30T14:30:00"/>
    <d v="1899-12-30T14:30:00"/>
    <n v="0"/>
    <x v="1"/>
    <m/>
  </r>
  <r>
    <s v="Electrical"/>
    <x v="6"/>
    <s v="Fahad"/>
    <x v="8"/>
    <s v="General work"/>
    <s v="Site task"/>
    <d v="2025-12-09T00:00:00"/>
    <d v="2025-12-09T00:00:00"/>
    <d v="2025-12-09T00:00:00"/>
    <m/>
    <d v="1899-12-30T08:00:00"/>
    <d v="1899-12-30T17:00:00"/>
    <n v="9.0000000000000018"/>
    <x v="0"/>
    <m/>
  </r>
  <r>
    <s v="Electrical"/>
    <x v="6"/>
    <s v="Lijo"/>
    <x v="3"/>
    <s v="DB-289"/>
    <s v="Safety Cover &amp; PDI"/>
    <d v="2025-12-09T00:00:00"/>
    <d v="2025-12-09T00:00:00"/>
    <m/>
    <m/>
    <d v="1899-12-30T08:00:00"/>
    <d v="1899-12-30T13:00:00"/>
    <n v="5"/>
    <x v="2"/>
    <m/>
  </r>
  <r>
    <s v="Electrical"/>
    <x v="6"/>
    <s v="Aman"/>
    <x v="2"/>
    <s v="GEN250-051"/>
    <s v="RC stator winding"/>
    <d v="2025-12-06T00:00:00"/>
    <d v="2025-12-11T00:00:00"/>
    <m/>
    <m/>
    <d v="1899-12-30T07:30:00"/>
    <d v="1899-12-30T17:30:00"/>
    <n v="10"/>
    <x v="2"/>
    <m/>
  </r>
  <r>
    <s v="Electrical"/>
    <x v="6"/>
    <s v="Charith"/>
    <x v="1"/>
    <m/>
    <m/>
    <m/>
    <m/>
    <m/>
    <m/>
    <d v="1899-12-30T07:30:00"/>
    <d v="1899-12-30T17:30:00"/>
    <n v="10"/>
    <x v="1"/>
    <m/>
  </r>
  <r>
    <s v="Electrical"/>
    <x v="6"/>
    <s v="Ghiyan"/>
    <x v="2"/>
    <s v="GEN200-009"/>
    <s v="Power cable connection"/>
    <d v="2025-12-09T00:00:00"/>
    <d v="2025-12-09T00:00:00"/>
    <d v="2025-12-09T00:00:00"/>
    <m/>
    <d v="1899-12-30T07:30:00"/>
    <d v="1899-12-30T12:00:00"/>
    <n v="4.5"/>
    <x v="0"/>
    <m/>
  </r>
  <r>
    <s v="Electrical"/>
    <x v="6"/>
    <s v="Ghiyan"/>
    <x v="8"/>
    <s v="BFM355-008"/>
    <s v="welding machine 3units (A,B,C) inspection repair"/>
    <d v="2025-12-09T00:00:00"/>
    <d v="2025-12-10T00:00:00"/>
    <m/>
    <m/>
    <d v="1899-12-30T13:00:00"/>
    <d v="1899-12-30T16:30:00"/>
    <n v="3.5000000000000009"/>
    <x v="2"/>
    <m/>
  </r>
  <r>
    <s v="Electrical"/>
    <x v="6"/>
    <s v="Venu"/>
    <x v="5"/>
    <s v="New 5.5kw pump"/>
    <s v="9nos pump inspection checking &amp; socket fixing &amp; number tagging"/>
    <d v="2025-12-09T00:00:00"/>
    <d v="2025-12-09T00:00:00"/>
    <d v="2025-12-09T00:00:00"/>
    <m/>
    <d v="1899-12-30T07:30:00"/>
    <d v="1899-12-30T12:00:00"/>
    <n v="4.5"/>
    <x v="0"/>
    <m/>
  </r>
  <r>
    <s v="Electrical"/>
    <x v="6"/>
    <s v="Suhaib"/>
    <x v="1"/>
    <m/>
    <m/>
    <m/>
    <m/>
    <m/>
    <m/>
    <d v="1899-12-30T07:30:00"/>
    <d v="1899-12-30T12:00:00"/>
    <n v="4.5"/>
    <x v="1"/>
    <m/>
  </r>
  <r>
    <s v="Electrical"/>
    <x v="6"/>
    <s v="Venu"/>
    <x v="5"/>
    <s v="Old BH pump 2.2kw"/>
    <s v="4nos cable joints &amp; water testing"/>
    <d v="2025-12-09T00:00:00"/>
    <d v="2025-12-10T00:00:00"/>
    <m/>
    <m/>
    <d v="1899-12-30T13:00:00"/>
    <d v="1899-12-30T16:30:00"/>
    <n v="3.5000000000000009"/>
    <x v="2"/>
    <m/>
  </r>
  <r>
    <s v="Electrical"/>
    <x v="6"/>
    <s v="Suhaib"/>
    <x v="1"/>
    <m/>
    <m/>
    <m/>
    <m/>
    <m/>
    <m/>
    <d v="1899-12-30T13:00:00"/>
    <d v="1899-12-30T16:30:00"/>
    <n v="3.5000000000000009"/>
    <x v="1"/>
    <m/>
  </r>
  <r>
    <s v="Electrical"/>
    <x v="6"/>
    <s v="Saqib"/>
    <x v="4"/>
    <s v="SM1002-126"/>
    <s v="Rotor repair &amp; assembling"/>
    <d v="2025-12-09T00:00:00"/>
    <d v="2025-12-09T00:00:00"/>
    <d v="2025-12-09T00:00:00"/>
    <m/>
    <d v="1899-12-30T07:30:00"/>
    <d v="1899-12-30T16:30:00"/>
    <n v="9"/>
    <x v="0"/>
    <m/>
  </r>
  <r>
    <s v="Bay 4&amp;5 - _x000a_Pumps"/>
    <x v="6"/>
    <s v="Asif"/>
    <x v="6"/>
    <s v="ACT900-002"/>
    <s v="Air compressor and air drier connection, pressure testing, removing"/>
    <d v="2025-12-09T00:00:00"/>
    <d v="2025-12-15T00:00:00"/>
    <d v="2025-12-09T00:00:00"/>
    <m/>
    <d v="1899-12-30T07:30:00"/>
    <d v="1899-12-30T16:30:00"/>
    <n v="9"/>
    <x v="0"/>
    <m/>
  </r>
  <r>
    <s v="Bay 4&amp;5 - _x000a_Pumps"/>
    <x v="6"/>
    <s v="Allah ditta"/>
    <x v="6"/>
    <s v="ACT900-001"/>
    <s v="Air compressor and air drier connection, pressure testing, removing"/>
    <d v="2025-12-09T00:00:00"/>
    <d v="2025-12-15T00:00:00"/>
    <d v="2025-12-09T00:00:00"/>
    <m/>
    <d v="1899-12-30T07:30:00"/>
    <d v="1899-12-30T16:30:00"/>
    <n v="9"/>
    <x v="0"/>
    <m/>
  </r>
  <r>
    <s v="Bay 4&amp;5 - _x000a_Pumps"/>
    <x v="6"/>
    <s v="Vinod"/>
    <x v="6"/>
    <s v="CD300M-033"/>
    <s v="Radiator installation &amp; testing bay"/>
    <d v="2025-12-09T00:00:00"/>
    <d v="2025-12-15T00:00:00"/>
    <d v="2025-12-09T00:00:00"/>
    <m/>
    <d v="1899-12-30T08:00:00"/>
    <d v="1899-12-30T17:00:00"/>
    <n v="9.0000000000000018"/>
    <x v="0"/>
    <m/>
  </r>
  <r>
    <s v="Bay 4&amp;5 - _x000a_Pumps"/>
    <x v="6"/>
    <s v="Jahir"/>
    <x v="1"/>
    <m/>
    <m/>
    <m/>
    <d v="2025-12-15T00:00:00"/>
    <m/>
    <m/>
    <d v="1899-12-30T08:00:00"/>
    <d v="1899-12-30T17:00:00"/>
    <n v="9.0000000000000018"/>
    <x v="1"/>
    <m/>
  </r>
  <r>
    <s v="Bay 4&amp;5 - _x000a_Pumps"/>
    <x v="6"/>
    <s v="Asif"/>
    <x v="0"/>
    <s v="ISO250E-001"/>
    <s v="pump coupling dismantling"/>
    <d v="2025-12-09T00:00:00"/>
    <d v="2025-12-30T00:00:00"/>
    <d v="2025-12-09T00:00:00"/>
    <m/>
    <d v="1899-12-30T14:00:00"/>
    <d v="1899-12-30T16:30:00"/>
    <n v="2.4999999999999991"/>
    <x v="0"/>
    <m/>
  </r>
  <r>
    <s v="Bay 4&amp;5 - _x000a_Pumps"/>
    <x v="6"/>
    <s v="Allah ditta"/>
    <x v="1"/>
    <m/>
    <m/>
    <m/>
    <m/>
    <m/>
    <m/>
    <d v="1899-12-30T14:00:00"/>
    <d v="1899-12-30T16:30:00"/>
    <n v="2.4999999999999991"/>
    <x v="1"/>
    <m/>
  </r>
  <r>
    <s v="Bay 4&amp;5 - _x000a_Pumps"/>
    <x v="6"/>
    <s v="Martino"/>
    <x v="6"/>
    <s v="AC825-05"/>
    <s v="Each muffler piping installation"/>
    <d v="2025-12-09T00:00:00"/>
    <d v="2025-12-20T00:00:00"/>
    <d v="2025-12-09T00:00:00"/>
    <m/>
    <d v="1899-12-30T07:00:00"/>
    <d v="1899-12-30T16:30:00"/>
    <n v="9.5"/>
    <x v="0"/>
    <m/>
  </r>
  <r>
    <s v="Bay 4&amp;5 - _x000a_Pumps"/>
    <x v="7"/>
    <s v="Suresh S"/>
    <x v="0"/>
    <s v="3XCP150"/>
    <s v="Vaccum pump repair"/>
    <d v="2025-12-10T00:00:00"/>
    <d v="2025-12-10T00:00:00"/>
    <d v="2025-12-10T00:00:00"/>
    <m/>
    <d v="1899-12-30T08:00:00"/>
    <d v="1899-12-30T18:00:00"/>
    <n v="10"/>
    <x v="0"/>
    <m/>
  </r>
  <r>
    <s v="Bay 4&amp;5 - _x000a_Pumps"/>
    <x v="7"/>
    <s v="Shaji"/>
    <x v="1"/>
    <m/>
    <m/>
    <m/>
    <m/>
    <m/>
    <m/>
    <d v="1899-12-30T07:30:00"/>
    <d v="1899-12-30T08:30:00"/>
    <n v="1.0000000000000004"/>
    <x v="1"/>
    <m/>
  </r>
  <r>
    <s v="Bay 4&amp;5 - _x000a_Pumps"/>
    <x v="7"/>
    <s v="James"/>
    <x v="0"/>
    <s v="CP150-396"/>
    <s v="Pump dismantle &amp; prepare for assemble"/>
    <d v="2025-12-09T00:00:00"/>
    <d v="2025-12-10T00:00:00"/>
    <d v="2025-12-10T00:00:00"/>
    <m/>
    <d v="1899-12-30T08:00:00"/>
    <d v="1899-12-30T19:00:00"/>
    <n v="11"/>
    <x v="0"/>
    <m/>
  </r>
  <r>
    <s v="Bay 4&amp;5 - _x000a_Pumps"/>
    <x v="7"/>
    <s v="Shaji"/>
    <x v="1"/>
    <m/>
    <m/>
    <m/>
    <m/>
    <m/>
    <m/>
    <d v="1899-12-30T08:30:00"/>
    <d v="1899-12-30T09:30:00"/>
    <n v="0.99999999999999911"/>
    <x v="1"/>
    <m/>
  </r>
  <r>
    <s v="Bay 4&amp;5 - _x000a_Pumps"/>
    <x v="7"/>
    <s v="Bharathesha"/>
    <x v="0"/>
    <s v="CP150-574"/>
    <s v="Pump assembling &amp; engine repair"/>
    <d v="2025-12-08T00:00:00"/>
    <d v="2025-12-09T00:00:00"/>
    <d v="2025-12-10T00:00:00"/>
    <m/>
    <d v="1899-12-30T07:30:00"/>
    <d v="1899-12-30T18:30:00"/>
    <n v="11"/>
    <x v="0"/>
    <m/>
  </r>
  <r>
    <s v="Bay 4&amp;5 - _x000a_Pumps"/>
    <x v="7"/>
    <s v="Shaji"/>
    <x v="1"/>
    <m/>
    <m/>
    <m/>
    <m/>
    <m/>
    <m/>
    <d v="1899-12-30T09:30:00"/>
    <d v="1899-12-30T11:30:00"/>
    <n v="2.0000000000000009"/>
    <x v="1"/>
    <m/>
  </r>
  <r>
    <s v="Bay 4&amp;5 - _x000a_Pumps"/>
    <x v="7"/>
    <s v="Mintu"/>
    <x v="0"/>
    <s v="PT175-522"/>
    <s v="Engine assembling ongoing"/>
    <d v="2025-12-08T00:00:00"/>
    <d v="2025-12-10T00:00:00"/>
    <d v="2025-12-10T00:00:00"/>
    <m/>
    <d v="1899-12-30T08:00:00"/>
    <d v="1899-12-30T11:00:00"/>
    <n v="3"/>
    <x v="0"/>
    <m/>
  </r>
  <r>
    <s v="Bay 4&amp;5 - _x000a_Pumps"/>
    <x v="7"/>
    <s v="Shaji"/>
    <x v="1"/>
    <m/>
    <m/>
    <m/>
    <m/>
    <m/>
    <m/>
    <d v="1899-12-30T11:30:00"/>
    <d v="1899-12-30T12:00:00"/>
    <n v="0.49999999999999956"/>
    <x v="1"/>
    <m/>
  </r>
  <r>
    <s v="Bay 4&amp;5 - _x000a_Pumps"/>
    <x v="7"/>
    <s v="Harish"/>
    <x v="0"/>
    <s v="CP150-514"/>
    <s v="Pump repair &amp; water test "/>
    <d v="2025-12-10T00:00:00"/>
    <d v="2025-12-09T00:00:00"/>
    <d v="2025-12-10T00:00:00"/>
    <m/>
    <d v="1899-12-30T07:30:00"/>
    <d v="1899-12-30T18:30:00"/>
    <n v="11"/>
    <x v="0"/>
    <m/>
  </r>
  <r>
    <s v="Bay 4&amp;5 - _x000a_Pumps"/>
    <x v="7"/>
    <s v="Shaji"/>
    <x v="1"/>
    <m/>
    <m/>
    <m/>
    <m/>
    <m/>
    <m/>
    <d v="1899-12-30T13:00:00"/>
    <d v="1899-12-30T14:00:00"/>
    <n v="1.0000000000000018"/>
    <x v="1"/>
    <m/>
  </r>
  <r>
    <s v="Bay 4&amp;5 - _x000a_Pumps"/>
    <x v="7"/>
    <s v="Ismail"/>
    <x v="0"/>
    <s v="PT175-554"/>
    <s v="Pump repair &amp; warer test"/>
    <d v="2025-11-26T00:00:00"/>
    <d v="2025-12-10T00:00:00"/>
    <d v="2025-12-10T00:00:00"/>
    <m/>
    <d v="1899-12-30T07:30:00"/>
    <d v="1899-12-30T11:30:00"/>
    <n v="4"/>
    <x v="0"/>
    <m/>
  </r>
  <r>
    <s v="Bay 4&amp;5 - _x000a_Pumps"/>
    <x v="7"/>
    <s v="Shaji"/>
    <x v="8"/>
    <s v="System work "/>
    <s v="System work for work orders &amp; IDT"/>
    <d v="2025-12-10T00:00:00"/>
    <d v="2025-12-10T00:00:00"/>
    <d v="2025-12-10T00:00:00"/>
    <m/>
    <d v="1899-12-30T14:00:00"/>
    <d v="1899-12-30T17:00:00"/>
    <n v="3"/>
    <x v="0"/>
    <m/>
  </r>
  <r>
    <s v="Bay 6 -_x000a_Generator"/>
    <x v="7"/>
    <s v="Jagdev"/>
    <x v="2"/>
    <s v="GEN150-021"/>
    <s v="Canopy &amp; alternator removing"/>
    <d v="2025-12-08T00:00:00"/>
    <d v="2025-12-10T00:00:00"/>
    <d v="2025-12-10T00:00:00"/>
    <m/>
    <d v="1899-12-30T07:30:00"/>
    <d v="1899-12-30T12:00:00"/>
    <n v="4.5"/>
    <x v="0"/>
    <m/>
  </r>
  <r>
    <s v="Bay 6 -_x000a_Generator"/>
    <x v="7"/>
    <s v="Suraj"/>
    <x v="1"/>
    <m/>
    <m/>
    <m/>
    <m/>
    <m/>
    <m/>
    <d v="1899-12-30T10:30:00"/>
    <d v="1899-12-30T12:00:00"/>
    <n v="1.5"/>
    <x v="1"/>
    <m/>
  </r>
  <r>
    <s v="Bay 6 -_x000a_Generator"/>
    <x v="7"/>
    <s v="Suraj"/>
    <x v="2"/>
    <s v="GEN150-047"/>
    <s v="PDI &amp; flowfinity"/>
    <d v="2025-12-10T00:00:00"/>
    <d v="2025-12-08T00:00:00"/>
    <d v="2025-12-10T00:00:00"/>
    <m/>
    <d v="1899-12-30T07:30:00"/>
    <d v="1899-12-30T08:30:00"/>
    <n v="1.0000000000000004"/>
    <x v="0"/>
    <m/>
  </r>
  <r>
    <s v="Bay 6 -_x000a_Generator"/>
    <x v="7"/>
    <s v="Anwar"/>
    <x v="1"/>
    <m/>
    <m/>
    <m/>
    <m/>
    <m/>
    <m/>
    <d v="1899-12-30T07:30:00"/>
    <d v="1899-12-30T08:30:00"/>
    <n v="1.0000000000000004"/>
    <x v="1"/>
    <m/>
  </r>
  <r>
    <s v="Bay 6 -_x000a_Generator"/>
    <x v="7"/>
    <s v="Suraj"/>
    <x v="2"/>
    <s v="GEN40-003"/>
    <s v="Load test"/>
    <d v="2025-12-08T00:00:00"/>
    <d v="2025-12-10T00:00:00"/>
    <d v="2025-12-10T00:00:00"/>
    <m/>
    <d v="1899-12-30T08:30:00"/>
    <d v="1899-12-30T10:30:00"/>
    <n v="1.9999999999999996"/>
    <x v="0"/>
    <m/>
  </r>
  <r>
    <s v="Bay 6 -_x000a_Generator"/>
    <x v="7"/>
    <s v="Anwar"/>
    <x v="1"/>
    <m/>
    <m/>
    <m/>
    <m/>
    <m/>
    <m/>
    <d v="1899-12-30T08:30:00"/>
    <d v="1899-12-30T10:30:00"/>
    <n v="1.9999999999999996"/>
    <x v="1"/>
    <m/>
  </r>
  <r>
    <s v="Bay 6 -_x000a_Generator"/>
    <x v="7"/>
    <s v="Suraj"/>
    <x v="2"/>
    <s v="GEN150-053"/>
    <s v="Fuel pump injector fitting, valve clearance setting"/>
    <d v="2025-12-10T00:00:00"/>
    <d v="2025-12-09T00:00:00"/>
    <d v="2025-12-10T00:00:00"/>
    <m/>
    <d v="1899-12-30T12:00:00"/>
    <d v="1899-12-30T16:30:00"/>
    <n v="4.5"/>
    <x v="0"/>
    <m/>
  </r>
  <r>
    <s v="Bay 6 -_x000a_Generator"/>
    <x v="7"/>
    <s v="Jagdev"/>
    <x v="1"/>
    <m/>
    <m/>
    <m/>
    <m/>
    <m/>
    <m/>
    <d v="1899-12-30T12:00:00"/>
    <d v="1899-12-30T16:30:00"/>
    <n v="4.5"/>
    <x v="1"/>
    <m/>
  </r>
  <r>
    <s v="Electrical"/>
    <x v="7"/>
    <s v="Fahad"/>
    <x v="8"/>
    <s v="General work"/>
    <s v="General work &amp; system work"/>
    <d v="2025-12-10T00:00:00"/>
    <d v="2025-12-10T00:00:00"/>
    <d v="2025-12-10T00:00:00"/>
    <m/>
    <d v="1899-12-30T08:00:00"/>
    <d v="1899-12-30T17:00:00"/>
    <n v="9.0000000000000018"/>
    <x v="0"/>
    <m/>
  </r>
  <r>
    <s v="Electrical"/>
    <x v="7"/>
    <s v="Lijo"/>
    <x v="3"/>
    <s v="SPB15-019"/>
    <s v="Socket fixing &amp; testing"/>
    <d v="2025-12-10T00:00:00"/>
    <d v="2025-12-10T00:00:00"/>
    <d v="2025-12-10T00:00:00"/>
    <m/>
    <d v="1899-12-30T08:00:00"/>
    <d v="1899-12-30T17:00:00"/>
    <n v="9.0000000000000018"/>
    <x v="0"/>
    <m/>
  </r>
  <r>
    <s v="Electrical"/>
    <x v="7"/>
    <s v="Aman"/>
    <x v="2"/>
    <s v="GEN250-051"/>
    <s v="RC stator winding"/>
    <d v="2025-12-06T00:00:00"/>
    <d v="2025-12-11T00:00:00"/>
    <d v="2025-12-10T00:00:00"/>
    <m/>
    <d v="1899-12-30T07:30:00"/>
    <d v="1899-12-30T17:00:00"/>
    <n v="9.5"/>
    <x v="0"/>
    <m/>
  </r>
  <r>
    <s v="Electrical"/>
    <x v="7"/>
    <s v="Charith"/>
    <x v="1"/>
    <m/>
    <m/>
    <m/>
    <m/>
    <m/>
    <m/>
    <d v="1899-12-30T07:30:00"/>
    <d v="1899-12-30T17:00:00"/>
    <n v="9.5"/>
    <x v="1"/>
    <m/>
  </r>
  <r>
    <s v="Electrical"/>
    <x v="7"/>
    <s v="Aman"/>
    <x v="2"/>
    <s v="GEN45-005"/>
    <s v="Exciter rotor &amp; field winding removing"/>
    <d v="2025-12-10T00:00:00"/>
    <d v="2025-12-10T00:00:00"/>
    <d v="2025-12-10T00:00:00"/>
    <m/>
    <d v="1899-12-30T13:00:00"/>
    <d v="1899-12-30T17:00:00"/>
    <n v="4.0000000000000018"/>
    <x v="0"/>
    <m/>
  </r>
  <r>
    <s v="Electrical"/>
    <x v="7"/>
    <s v="Charith"/>
    <x v="1"/>
    <m/>
    <m/>
    <m/>
    <m/>
    <m/>
    <m/>
    <d v="1899-12-30T13:00:00"/>
    <d v="1899-12-30T17:00:00"/>
    <n v="4.0000000000000018"/>
    <x v="1"/>
    <m/>
  </r>
  <r>
    <s v="Electrical"/>
    <x v="7"/>
    <s v="Ghiyan"/>
    <x v="8"/>
    <s v="BFM355-008"/>
    <s v="HDP welding nocting, 3units inspection &amp; repair"/>
    <d v="2025-12-09T00:00:00"/>
    <d v="2025-12-10T00:00:00"/>
    <d v="2025-12-10T00:00:00"/>
    <m/>
    <d v="1899-12-30T07:30:00"/>
    <d v="1899-12-30T16:30:00"/>
    <n v="9"/>
    <x v="0"/>
    <m/>
  </r>
  <r>
    <s v="Electrical"/>
    <x v="7"/>
    <s v="Venu"/>
    <x v="5"/>
    <s v="Old BH pump 2.2kw"/>
    <s v="4nos cable joints &amp; water testing"/>
    <d v="2025-12-09T00:00:00"/>
    <d v="2025-12-10T00:00:00"/>
    <d v="2025-12-10T00:00:00"/>
    <m/>
    <d v="1899-12-30T07:30:00"/>
    <d v="1899-12-30T12:00:00"/>
    <n v="4.5"/>
    <x v="0"/>
    <m/>
  </r>
  <r>
    <s v="Electrical"/>
    <x v="7"/>
    <s v="Suhaib"/>
    <x v="1"/>
    <m/>
    <m/>
    <m/>
    <m/>
    <m/>
    <m/>
    <d v="1899-12-30T07:30:00"/>
    <d v="1899-12-30T12:00:00"/>
    <n v="4.5"/>
    <x v="1"/>
    <m/>
  </r>
  <r>
    <s v="Electrical"/>
    <x v="7"/>
    <s v="Saqib"/>
    <x v="4"/>
    <s v="SM530-563"/>
    <s v="Rotor repair &amp; assembling"/>
    <d v="2025-12-10T00:00:00"/>
    <d v="2025-12-10T00:00:00"/>
    <d v="2025-12-10T00:00:00"/>
    <m/>
    <d v="1899-12-30T07:30:00"/>
    <d v="1899-12-30T16:30:00"/>
    <n v="9"/>
    <x v="0"/>
    <m/>
  </r>
  <r>
    <s v="Electrical"/>
    <x v="7"/>
    <s v="Saqib"/>
    <x v="4"/>
    <s v="SM530-617"/>
    <s v="Rotor repair &amp; assembling"/>
    <d v="2025-12-10T00:00:00"/>
    <d v="2025-12-11T00:00:00"/>
    <m/>
    <m/>
    <d v="1899-12-30T11:00:00"/>
    <d v="1899-12-30T16:00:00"/>
    <n v="5"/>
    <x v="2"/>
    <m/>
  </r>
  <r>
    <s v="Bay 4&amp;5 - _x000a_Pumps"/>
    <x v="7"/>
    <s v="Asif"/>
    <x v="8"/>
    <s v="General work"/>
    <s v="General work &amp; system work"/>
    <d v="2025-12-10T00:00:00"/>
    <d v="2025-12-10T00:00:00"/>
    <d v="2025-12-10T00:00:00"/>
    <m/>
    <d v="1899-12-30T07:30:00"/>
    <d v="1899-12-30T16:30:00"/>
    <n v="9"/>
    <x v="0"/>
    <m/>
  </r>
  <r>
    <s v="Bay 4&amp;5 - _x000a_Pumps"/>
    <x v="7"/>
    <s v="Vinod"/>
    <x v="6"/>
    <s v="CD300M-033"/>
    <s v="Water testing &amp; removing from bay,washing &amp; vernior control installation"/>
    <d v="2025-12-10T00:00:00"/>
    <d v="2025-12-15T00:00:00"/>
    <d v="2025-12-10T00:00:00"/>
    <m/>
    <d v="1899-12-30T08:00:00"/>
    <d v="1899-12-30T17:00:00"/>
    <n v="9.0000000000000018"/>
    <x v="0"/>
    <m/>
  </r>
  <r>
    <s v="Bay 4&amp;5 - _x000a_Pumps"/>
    <x v="7"/>
    <s v="Jahir"/>
    <x v="1"/>
    <m/>
    <m/>
    <m/>
    <m/>
    <m/>
    <m/>
    <d v="1899-12-30T08:00:00"/>
    <d v="1899-12-30T17:00:00"/>
    <n v="9.0000000000000018"/>
    <x v="1"/>
    <m/>
  </r>
  <r>
    <s v="Bay 4&amp;5 - _x000a_Pumps"/>
    <x v="7"/>
    <s v="Martino"/>
    <x v="6"/>
    <s v="AC825-05"/>
    <s v="Each muffler piping installation"/>
    <d v="2025-12-10T00:00:00"/>
    <d v="2025-12-20T00:00:00"/>
    <d v="2025-12-10T00:00:00"/>
    <m/>
    <d v="1899-12-30T07:30:00"/>
    <d v="1899-12-30T16:30:00"/>
    <n v="9"/>
    <x v="0"/>
    <m/>
  </r>
  <r>
    <s v="Bay 4&amp;5 - _x000a_Pumps"/>
    <x v="7"/>
    <s v="Allah ditta"/>
    <x v="1"/>
    <m/>
    <m/>
    <m/>
    <m/>
    <m/>
    <m/>
    <d v="1899-12-30T07:30:00"/>
    <d v="1899-12-30T14:00:00"/>
    <n v="6.5000000000000009"/>
    <x v="1"/>
    <m/>
  </r>
  <r>
    <s v="Bay 4&amp;5 - _x000a_Pumps"/>
    <x v="7"/>
    <s v="Allah ditta"/>
    <x v="6"/>
    <s v="CD300M-03"/>
    <s v="Final fitting"/>
    <d v="2025-12-10T00:00:00"/>
    <d v="2025-12-10T00:00:00"/>
    <d v="2025-12-10T00:00:00"/>
    <m/>
    <d v="1899-12-30T14:00:00"/>
    <d v="1899-12-30T16:30:00"/>
    <n v="2.4999999999999991"/>
    <x v="0"/>
    <m/>
  </r>
  <r>
    <s v="Bay 4&amp;5 - _x000a_Pumps"/>
    <x v="8"/>
    <s v="Suresh S"/>
    <x v="0"/>
    <s v="CP150-569/814/783"/>
    <s v="Vaccum pump repair"/>
    <d v="2025-12-10T00:00:00"/>
    <d v="2025-12-11T00:00:00"/>
    <d v="2025-12-11T00:00:00"/>
    <m/>
    <d v="1899-12-30T08:00:00"/>
    <d v="1899-12-30T18:00:00"/>
    <n v="10"/>
    <x v="0"/>
    <m/>
  </r>
  <r>
    <s v="Bay 4&amp;5 - _x000a_Pumps"/>
    <x v="8"/>
    <s v="Shaji"/>
    <x v="1"/>
    <m/>
    <m/>
    <m/>
    <m/>
    <m/>
    <m/>
    <d v="1899-12-30T07:30:00"/>
    <d v="1899-12-30T08:30:00"/>
    <n v="1.0000000000000004"/>
    <x v="1"/>
    <m/>
  </r>
  <r>
    <s v="Bay 4&amp;5 - _x000a_Pumps"/>
    <x v="8"/>
    <s v="James"/>
    <x v="0"/>
    <s v="CP150-396"/>
    <s v="New engine fitting on pump alignment, external parts fittings."/>
    <d v="2025-12-09T00:00:00"/>
    <d v="2025-12-11T00:00:00"/>
    <d v="2025-12-11T00:00:00"/>
    <m/>
    <d v="1899-12-30T08:00:00"/>
    <d v="1899-12-30T19:00:00"/>
    <n v="11"/>
    <x v="0"/>
    <m/>
  </r>
  <r>
    <s v="Bay 4&amp;5 - _x000a_Pumps"/>
    <x v="8"/>
    <s v="Shaji"/>
    <x v="1"/>
    <m/>
    <m/>
    <m/>
    <m/>
    <m/>
    <m/>
    <d v="1899-12-30T08:30:00"/>
    <d v="1899-12-30T09:30:00"/>
    <n v="0.99999999999999911"/>
    <x v="1"/>
    <m/>
  </r>
  <r>
    <s v="Bay 4&amp;5 - _x000a_Pumps"/>
    <x v="8"/>
    <s v="Bharathesha"/>
    <x v="0"/>
    <s v="CP150-574"/>
    <s v="Engine reapir &amp; water test failed,engine flywheel seal leakage,"/>
    <d v="2025-12-08T00:00:00"/>
    <d v="2025-12-11T00:00:00"/>
    <d v="2025-12-11T00:00:00"/>
    <m/>
    <d v="1899-12-30T07:30:00"/>
    <d v="1899-12-30T11:30:00"/>
    <n v="4"/>
    <x v="0"/>
    <m/>
  </r>
  <r>
    <s v="Bay 4&amp;5 - _x000a_Pumps"/>
    <x v="8"/>
    <s v="Shaji"/>
    <x v="1"/>
    <m/>
    <m/>
    <m/>
    <m/>
    <m/>
    <m/>
    <d v="1899-12-30T09:30:00"/>
    <d v="1899-12-30T11:30:00"/>
    <n v="2.0000000000000009"/>
    <x v="1"/>
    <m/>
  </r>
  <r>
    <s v="Bay 4&amp;5 - _x000a_Pumps"/>
    <x v="8"/>
    <s v="Mintu"/>
    <x v="0"/>
    <s v="PT175-521"/>
    <s v="Engine repair &amp; assembling "/>
    <d v="2025-12-10T00:00:00"/>
    <d v="2025-12-11T00:00:00"/>
    <d v="2025-12-11T00:00:00"/>
    <m/>
    <d v="1899-12-30T08:00:00"/>
    <d v="1899-12-30T19:00:00"/>
    <n v="11"/>
    <x v="0"/>
    <m/>
  </r>
  <r>
    <s v="Bay 4&amp;5 - _x000a_Pumps"/>
    <x v="8"/>
    <s v="Shaji"/>
    <x v="1"/>
    <m/>
    <m/>
    <m/>
    <m/>
    <m/>
    <m/>
    <d v="1899-12-30T11:30:00"/>
    <d v="1899-12-30T12:00:00"/>
    <n v="0.49999999999999956"/>
    <x v="1"/>
    <m/>
  </r>
  <r>
    <s v="Bay 4&amp;5 - _x000a_Pumps"/>
    <x v="8"/>
    <s v="Harish"/>
    <x v="0"/>
    <s v="CP150-514"/>
    <s v="Pump assembling, float repair, vaccum oil tank clean, oil change"/>
    <d v="2025-12-10T00:00:00"/>
    <d v="2025-12-11T00:00:00"/>
    <d v="2025-12-11T00:00:00"/>
    <m/>
    <d v="1899-12-30T07:30:00"/>
    <d v="1899-12-30T18:30:00"/>
    <n v="11"/>
    <x v="0"/>
    <m/>
  </r>
  <r>
    <s v="Bay 4&amp;5 - _x000a_Pumps"/>
    <x v="8"/>
    <s v="Shaji"/>
    <x v="1"/>
    <m/>
    <m/>
    <m/>
    <m/>
    <m/>
    <m/>
    <d v="1899-12-30T13:00:00"/>
    <d v="1899-12-30T14:00:00"/>
    <n v="1.0000000000000018"/>
    <x v="1"/>
    <m/>
  </r>
  <r>
    <s v="Bay 4&amp;5 - _x000a_Pumps"/>
    <x v="8"/>
    <s v="Ismail"/>
    <x v="0"/>
    <s v="PT175-521"/>
    <s v="Pump dismantle &amp; prepare for assemble"/>
    <d v="2025-12-08T00:00:00"/>
    <d v="2025-12-11T00:00:00"/>
    <d v="2025-12-11T00:00:00"/>
    <m/>
    <d v="1899-12-30T08:30:00"/>
    <d v="1899-12-30T18:30:00"/>
    <n v="10"/>
    <x v="0"/>
    <m/>
  </r>
  <r>
    <s v="Bay 4&amp;5 - _x000a_Pumps"/>
    <x v="8"/>
    <s v="Shaji"/>
    <x v="8"/>
    <s v="System work "/>
    <s v="System work for work orders &amp; IDT"/>
    <d v="2025-12-11T00:00:00"/>
    <d v="2025-12-11T00:00:00"/>
    <d v="2025-12-11T00:00:00"/>
    <m/>
    <d v="1899-12-30T14:00:00"/>
    <d v="1899-12-30T17:00:00"/>
    <n v="3"/>
    <x v="0"/>
    <m/>
  </r>
  <r>
    <s v="Bay 6 -_x000a_Generator"/>
    <x v="8"/>
    <s v="Suraj"/>
    <x v="10"/>
    <s v="BFT3-305"/>
    <s v="Hose fitting"/>
    <d v="2025-11-27T00:00:00"/>
    <d v="2025-12-11T00:00:00"/>
    <d v="2025-12-11T00:00:00"/>
    <m/>
    <d v="1899-12-30T07:30:00"/>
    <d v="1899-12-30T08:30:00"/>
    <n v="1.0000000000000004"/>
    <x v="0"/>
    <m/>
  </r>
  <r>
    <s v="Bay 6 -_x000a_Generator"/>
    <x v="8"/>
    <s v="Suraj"/>
    <x v="10"/>
    <s v="BFT3-309/330/325"/>
    <s v="Main cover removing, NRV checking, Hose &amp; fittings fixing"/>
    <d v="2025-12-11T00:00:00"/>
    <d v="2025-12-11T00:00:00"/>
    <d v="2025-12-11T00:00:00"/>
    <m/>
    <d v="1899-12-30T08:30:00"/>
    <d v="1899-12-30T16:30:00"/>
    <n v="8"/>
    <x v="0"/>
    <m/>
  </r>
  <r>
    <s v="Bay 6 -_x000a_Generator"/>
    <x v="8"/>
    <s v="Anwar"/>
    <x v="1"/>
    <m/>
    <m/>
    <m/>
    <m/>
    <m/>
    <m/>
    <d v="1899-12-30T07:30:00"/>
    <d v="1899-12-30T16:30:00"/>
    <n v="9"/>
    <x v="1"/>
    <m/>
  </r>
  <r>
    <s v="Bay 6 -_x000a_Generator"/>
    <x v="8"/>
    <s v="Jagdev"/>
    <x v="9"/>
    <s v="ABI-001"/>
    <s v="Reapir on site"/>
    <d v="2025-12-11T00:00:00"/>
    <d v="2025-12-11T00:00:00"/>
    <d v="2025-12-11T00:00:00"/>
    <m/>
    <d v="1899-12-30T08:00:00"/>
    <d v="1899-12-30T12:30:00"/>
    <n v="4.5000000000000018"/>
    <x v="0"/>
    <m/>
  </r>
  <r>
    <s v="Bay 6 -_x000a_Generator"/>
    <x v="8"/>
    <s v="Jagdev"/>
    <x v="2"/>
    <s v="GEN30-020"/>
    <s v="Repair on site"/>
    <d v="2025-12-11T00:00:00"/>
    <d v="2025-12-11T00:00:00"/>
    <d v="2025-12-11T00:00:00"/>
    <m/>
    <d v="1899-12-30T14:00:00"/>
    <d v="1899-12-30T16:30:00"/>
    <n v="2.4999999999999991"/>
    <x v="0"/>
    <m/>
  </r>
  <r>
    <s v="Electrical"/>
    <x v="8"/>
    <s v="Fahad"/>
    <x v="10"/>
    <s v="WOT-012"/>
    <s v="Waste tank sensor installation"/>
    <d v="2025-12-11T00:00:00"/>
    <d v="2025-12-11T00:00:00"/>
    <d v="2025-12-11T00:00:00"/>
    <m/>
    <d v="1899-12-30T08:00:00"/>
    <d v="1899-12-30T12:00:00"/>
    <n v="4"/>
    <x v="0"/>
    <m/>
  </r>
  <r>
    <s v="Electrical"/>
    <x v="8"/>
    <s v="Fahad"/>
    <x v="8"/>
    <s v="BT20-113"/>
    <s v="General work for SS"/>
    <d v="2025-12-11T00:00:00"/>
    <d v="2025-12-11T00:00:00"/>
    <d v="2025-12-11T00:00:00"/>
    <m/>
    <d v="1899-12-30T13:00:00"/>
    <d v="1899-12-30T17:00:00"/>
    <n v="4.0000000000000018"/>
    <x v="0"/>
    <m/>
  </r>
  <r>
    <s v="Electrical"/>
    <x v="8"/>
    <s v="Lijo"/>
    <x v="8"/>
    <s v="General work"/>
    <s v="Panel section wiring &amp; ss work"/>
    <d v="2025-12-11T00:00:00"/>
    <d v="2025-12-11T00:00:00"/>
    <d v="2025-12-11T00:00:00"/>
    <m/>
    <d v="1899-12-30T08:00:00"/>
    <d v="1899-12-30T17:00:00"/>
    <n v="9.0000000000000018"/>
    <x v="0"/>
    <m/>
  </r>
  <r>
    <s v="Electrical"/>
    <x v="8"/>
    <s v="Aman"/>
    <x v="2"/>
    <s v="GEN45-005"/>
    <s v="Exciter rotor &amp; field winding removing"/>
    <d v="2025-12-11T00:00:00"/>
    <d v="2025-12-12T00:00:00"/>
    <m/>
    <m/>
    <d v="1899-12-30T07:30:00"/>
    <d v="1899-12-30T17:00:00"/>
    <n v="9.5"/>
    <x v="2"/>
    <m/>
  </r>
  <r>
    <s v="Electrical"/>
    <x v="8"/>
    <s v="Charith"/>
    <x v="1"/>
    <m/>
    <m/>
    <m/>
    <m/>
    <m/>
    <m/>
    <d v="1899-12-30T07:30:00"/>
    <d v="1899-12-30T13:00:00"/>
    <n v="5.4999999999999991"/>
    <x v="1"/>
    <m/>
  </r>
  <r>
    <s v="Electrical"/>
    <x v="8"/>
    <s v="Ghiyan"/>
    <x v="8"/>
    <s v="BFM355-008"/>
    <s v="HDP welding nocting, 2units inspection &amp; repair"/>
    <d v="2025-12-09T00:00:00"/>
    <d v="2025-12-11T00:00:00"/>
    <d v="2025-12-11T00:00:00"/>
    <m/>
    <d v="1899-12-30T07:30:00"/>
    <d v="1899-12-30T16:30:00"/>
    <n v="9"/>
    <x v="0"/>
    <m/>
  </r>
  <r>
    <s v="Electrical"/>
    <x v="8"/>
    <s v="Suhaib"/>
    <x v="5"/>
    <s v="New BH pump 7.5kw"/>
    <s v="13nos new B:h pumps inspection &amp; fleet socket 32A"/>
    <d v="2025-12-11T00:00:00"/>
    <d v="2025-12-11T00:00:00"/>
    <d v="2025-12-11T00:00:00"/>
    <m/>
    <d v="1899-12-30T08:00:00"/>
    <d v="1899-12-30T13:00:00"/>
    <n v="5"/>
    <x v="0"/>
    <m/>
  </r>
  <r>
    <s v="Electrical"/>
    <x v="8"/>
    <s v="Saqib"/>
    <x v="4"/>
    <s v="SM530-617"/>
    <s v="Rotor repair &amp; assembling"/>
    <d v="2025-12-10T00:00:00"/>
    <d v="2025-12-10T00:00:00"/>
    <d v="2025-12-11T00:00:00"/>
    <m/>
    <d v="1899-12-30T07:30:00"/>
    <d v="1899-12-30T16:00:00"/>
    <n v="8.5"/>
    <x v="0"/>
    <m/>
  </r>
  <r>
    <s v="Electrical"/>
    <x v="8"/>
    <s v="Venu"/>
    <x v="4"/>
    <s v="SM1002-276"/>
    <s v="Inspection &amp; dismantling"/>
    <d v="2025-12-11T00:00:00"/>
    <d v="2025-12-11T00:00:00"/>
    <d v="2025-12-11T00:00:00"/>
    <m/>
    <d v="1899-12-30T07:30:00"/>
    <d v="1899-12-30T16:00:00"/>
    <n v="8.5"/>
    <x v="0"/>
    <m/>
  </r>
  <r>
    <s v="Electrical"/>
    <x v="8"/>
    <s v="Charith"/>
    <x v="2"/>
    <s v="GENJ135-003"/>
    <s v="Inspection, servicing &amp; assemble"/>
    <d v="2025-12-11T00:00:00"/>
    <d v="2025-12-12T00:00:00"/>
    <m/>
    <m/>
    <d v="1899-12-30T13:00:00"/>
    <d v="1899-12-30T16:30:00"/>
    <n v="3.5000000000000009"/>
    <x v="2"/>
    <m/>
  </r>
  <r>
    <s v="Electrical"/>
    <x v="8"/>
    <s v="Suhaib"/>
    <x v="4"/>
    <s v="New BH pump 7.5kw"/>
    <s v="13nos new B:h pumps inspection &amp; fleet socket 32A"/>
    <d v="2025-12-11T00:00:00"/>
    <d v="2025-12-12T00:00:00"/>
    <m/>
    <m/>
    <d v="1899-12-30T13:00:00"/>
    <d v="1899-12-30T17:00:00"/>
    <n v="4.0000000000000018"/>
    <x v="2"/>
    <m/>
  </r>
  <r>
    <s v="Bay 4&amp;5 - _x000a_Pumps"/>
    <x v="8"/>
    <s v="Asif"/>
    <x v="8"/>
    <s v="General work"/>
    <s v="General work &amp; system work"/>
    <d v="2025-12-11T00:00:00"/>
    <d v="2025-12-11T00:00:00"/>
    <m/>
    <m/>
    <d v="1899-12-30T08:00:00"/>
    <d v="1899-12-30T17:00:00"/>
    <n v="9.0000000000000018"/>
    <x v="0"/>
    <m/>
  </r>
  <r>
    <s v="Bay 4&amp;5 - _x000a_Pumps"/>
    <x v="8"/>
    <s v="Vinod"/>
    <x v="6"/>
    <s v="CD300M-033"/>
    <s v="Water testing &amp; removing from bay,washing &amp; vernior control installation"/>
    <d v="2025-12-11T00:00:00"/>
    <d v="2025-12-12T00:00:00"/>
    <m/>
    <m/>
    <d v="1899-12-30T08:00:00"/>
    <d v="1899-12-30T17:00:00"/>
    <n v="9.0000000000000018"/>
    <x v="0"/>
    <m/>
  </r>
  <r>
    <s v="Bay 4&amp;5 - _x000a_Pumps"/>
    <x v="8"/>
    <s v="Jahir"/>
    <x v="1"/>
    <m/>
    <m/>
    <m/>
    <m/>
    <m/>
    <m/>
    <d v="1899-12-30T08:00:00"/>
    <d v="1899-12-30T17:00:00"/>
    <n v="9.0000000000000018"/>
    <x v="1"/>
    <m/>
  </r>
  <r>
    <s v="Bay 4&amp;5 - _x000a_Pumps"/>
    <x v="8"/>
    <s v="Martino"/>
    <x v="6"/>
    <s v="CP1212-001"/>
    <s v="vaccum pump overhauling"/>
    <d v="2025-12-11T00:00:00"/>
    <d v="2025-12-12T00:00:00"/>
    <m/>
    <m/>
    <d v="1899-12-30T07:30:00"/>
    <d v="1899-12-30T12:00:00"/>
    <n v="4.5"/>
    <x v="0"/>
    <m/>
  </r>
  <r>
    <s v="Bay 4&amp;5 - _x000a_Pumps"/>
    <x v="8"/>
    <s v="Martino"/>
    <x v="6"/>
    <s v="CP1212517-26"/>
    <s v="vaccum pump overhauling"/>
    <d v="2025-12-11T00:00:00"/>
    <d v="2025-12-12T00:00:00"/>
    <m/>
    <m/>
    <d v="1899-12-30T13:00:00"/>
    <d v="1899-12-30T16:30:00"/>
    <n v="3.5000000000000009"/>
    <x v="0"/>
    <m/>
  </r>
  <r>
    <s v="Bay 4&amp;5 - _x000a_Pumps"/>
    <x v="9"/>
    <s v="Suresh S"/>
    <x v="0"/>
    <s v="CP150X3"/>
    <s v="Vaccum pump repair"/>
    <d v="2025-12-12T00:00:00"/>
    <d v="2025-12-12T00:00:00"/>
    <d v="2025-12-12T00:00:00"/>
    <m/>
    <d v="1899-12-30T08:00:00"/>
    <d v="1899-12-30T18:00:00"/>
    <n v="10"/>
    <x v="0"/>
    <m/>
  </r>
  <r>
    <s v="Bay 4&amp;5 - _x000a_Pumps"/>
    <x v="9"/>
    <s v="Shaji"/>
    <x v="1"/>
    <m/>
    <m/>
    <m/>
    <m/>
    <m/>
    <m/>
    <d v="1899-12-30T07:30:00"/>
    <d v="1899-12-30T08:30:00"/>
    <n v="1.0000000000000004"/>
    <x v="1"/>
    <m/>
  </r>
  <r>
    <s v="Bay 4&amp;5 - _x000a_Pumps"/>
    <x v="9"/>
    <s v="James"/>
    <x v="0"/>
    <s v="CP150-832"/>
    <s v="Pump water test &amp; repair"/>
    <d v="2025-12-09T00:00:00"/>
    <d v="2025-12-12T00:00:00"/>
    <d v="2025-12-12T00:00:00"/>
    <m/>
    <d v="1899-12-30T13:00:00"/>
    <d v="1899-12-30T19:00:00"/>
    <n v="6"/>
    <x v="0"/>
    <m/>
  </r>
  <r>
    <s v="Bay 4&amp;5 - _x000a_Pumps"/>
    <x v="9"/>
    <s v="Shaji"/>
    <x v="1"/>
    <m/>
    <m/>
    <m/>
    <m/>
    <m/>
    <m/>
    <d v="1899-12-30T08:30:00"/>
    <d v="1899-12-30T09:30:00"/>
    <n v="0.99999999999999911"/>
    <x v="1"/>
    <m/>
  </r>
  <r>
    <s v="Bay 4&amp;5 - _x000a_Pumps"/>
    <x v="9"/>
    <s v="Bharathesha"/>
    <x v="0"/>
    <s v="CP150-574"/>
    <s v="Oil sump repair, bearing check &amp; seal change, engine fitting with frame &amp; test."/>
    <d v="2025-12-08T00:00:00"/>
    <d v="2025-12-12T00:00:00"/>
    <d v="2025-12-12T00:00:00"/>
    <m/>
    <d v="1899-12-30T07:30:00"/>
    <d v="1899-12-30T16:30:00"/>
    <n v="9"/>
    <x v="0"/>
    <m/>
  </r>
  <r>
    <s v="Bay 4&amp;5 - _x000a_Pumps"/>
    <x v="9"/>
    <s v="Shaji"/>
    <x v="1"/>
    <m/>
    <m/>
    <m/>
    <m/>
    <m/>
    <m/>
    <d v="1899-12-30T09:30:00"/>
    <d v="1899-12-30T10:30:00"/>
    <n v="1.0000000000000004"/>
    <x v="1"/>
    <m/>
  </r>
  <r>
    <s v="Bay 4&amp;5 - _x000a_Pumps"/>
    <x v="9"/>
    <s v="Mintu"/>
    <x v="0"/>
    <s v="PT175-521"/>
    <s v="Engine repair &amp; assembling ongoing"/>
    <d v="2025-12-12T00:00:00"/>
    <d v="2025-12-12T00:00:00"/>
    <d v="2025-12-12T00:00:00"/>
    <m/>
    <d v="1899-12-30T08:00:00"/>
    <d v="1899-12-30T10:00:00"/>
    <n v="2.0000000000000009"/>
    <x v="0"/>
    <m/>
  </r>
  <r>
    <s v="Bay 4&amp;5 - _x000a_Pumps"/>
    <x v="9"/>
    <s v="Shaji"/>
    <x v="1"/>
    <m/>
    <m/>
    <m/>
    <m/>
    <m/>
    <m/>
    <d v="1899-12-30T10:30:00"/>
    <d v="1899-12-30T11:00:00"/>
    <n v="0.49999999999999956"/>
    <x v="1"/>
    <m/>
  </r>
  <r>
    <s v="Bay 4&amp;5 - _x000a_Pumps"/>
    <x v="9"/>
    <s v="Harish"/>
    <x v="0"/>
    <s v="CP150-813"/>
    <s v="Pump assembling, float repair, vaccum oil tank clean, oil change, manifold change,"/>
    <d v="2025-12-12T00:00:00"/>
    <d v="2025-12-12T00:00:00"/>
    <d v="2025-12-12T00:00:00"/>
    <m/>
    <d v="1899-12-30T07:30:00"/>
    <d v="1899-12-30T18:30:00"/>
    <n v="11"/>
    <x v="0"/>
    <m/>
  </r>
  <r>
    <s v="Bay 4&amp;5 - _x000a_Pumps"/>
    <x v="9"/>
    <s v="Shaji"/>
    <x v="1"/>
    <m/>
    <m/>
    <m/>
    <m/>
    <m/>
    <m/>
    <d v="1899-12-30T11:00:00"/>
    <d v="1899-12-30T12:00:00"/>
    <n v="1.0000000000000004"/>
    <x v="1"/>
    <m/>
  </r>
  <r>
    <s v="Bay 4&amp;5 - _x000a_Pumps"/>
    <x v="9"/>
    <s v="Ismail"/>
    <x v="0"/>
    <s v="PT175-521"/>
    <s v="Pump dismantle &amp; prepare for assemble ongoing"/>
    <d v="2025-12-11T00:00:00"/>
    <d v="2025-12-14T00:00:00"/>
    <m/>
    <m/>
    <d v="1899-12-30T07:30:00"/>
    <d v="1899-12-30T18:30:00"/>
    <n v="11"/>
    <x v="0"/>
    <m/>
  </r>
  <r>
    <s v="Bay 4&amp;5 - _x000a_Pumps"/>
    <x v="9"/>
    <s v="Shaji"/>
    <x v="0"/>
    <s v="CP150V-001"/>
    <s v="Final fitting, PDI, flowfinity, hose repair."/>
    <d v="2025-12-12T00:00:00"/>
    <d v="2025-12-12T00:00:00"/>
    <m/>
    <m/>
    <d v="1899-12-30T13:00:00"/>
    <d v="1899-12-30T15:00:00"/>
    <n v="2.0000000000000009"/>
    <x v="0"/>
    <m/>
  </r>
  <r>
    <s v="Bay 4&amp;5 - _x000a_Pumps"/>
    <x v="9"/>
    <s v="Shaji"/>
    <x v="8"/>
    <s v="System work "/>
    <s v="System work for work orders &amp; IDT"/>
    <d v="2025-12-12T00:00:00"/>
    <d v="2025-12-12T00:00:00"/>
    <m/>
    <m/>
    <d v="1899-12-30T15:00:00"/>
    <d v="1899-12-30T18:00:00"/>
    <n v="3"/>
    <x v="0"/>
    <m/>
  </r>
  <r>
    <s v="Bay 6 -_x000a_Generator"/>
    <x v="9"/>
    <s v="Suraj"/>
    <x v="10"/>
    <s v="BFT3-121"/>
    <s v="Hose &amp; fittings Final fitting "/>
    <d v="2025-12-09T00:00:00"/>
    <d v="2025-12-12T00:00:00"/>
    <d v="2025-12-12T00:00:00"/>
    <m/>
    <d v="1899-12-30T07:30:00"/>
    <d v="1899-12-30T10:30:00"/>
    <n v="3"/>
    <x v="0"/>
    <m/>
  </r>
  <r>
    <s v="Bay 6 -_x000a_Generator"/>
    <x v="9"/>
    <s v="Anwar"/>
    <x v="1"/>
    <m/>
    <m/>
    <m/>
    <m/>
    <m/>
    <m/>
    <d v="1899-12-30T07:30:00"/>
    <d v="1899-12-30T10:30:00"/>
    <n v="3"/>
    <x v="1"/>
    <m/>
  </r>
  <r>
    <s v="Bay 6 -_x000a_Generator"/>
    <x v="9"/>
    <s v="Suraj"/>
    <x v="2"/>
    <s v="GEN150-021"/>
    <s v="Fuel pump &amp; injector removing,"/>
    <d v="2025-12-12T00:00:00"/>
    <d v="2025-12-12T00:00:00"/>
    <d v="2025-12-12T00:00:00"/>
    <m/>
    <d v="1899-12-30T10:30:00"/>
    <d v="1899-12-30T14:30:00"/>
    <n v="3.9999999999999991"/>
    <x v="0"/>
    <m/>
  </r>
  <r>
    <s v="Bay 6 -_x000a_Generator"/>
    <x v="9"/>
    <s v="Anwar"/>
    <x v="1"/>
    <m/>
    <m/>
    <m/>
    <m/>
    <m/>
    <m/>
    <d v="1899-12-30T10:30:00"/>
    <d v="1899-12-30T14:30:00"/>
    <n v="3.9999999999999991"/>
    <x v="1"/>
    <m/>
  </r>
  <r>
    <s v="Bay 6 -_x000a_Generator"/>
    <x v="9"/>
    <s v="Suraj"/>
    <x v="2"/>
    <s v="GEN20-002"/>
    <s v="Load test, CT coil failure"/>
    <d v="2025-12-12T00:00:00"/>
    <d v="2025-12-12T00:00:00"/>
    <d v="2025-12-12T00:00:00"/>
    <m/>
    <d v="1899-12-30T14:30:00"/>
    <d v="1899-12-30T16:30:00"/>
    <n v="2.0000000000000009"/>
    <x v="0"/>
    <m/>
  </r>
  <r>
    <s v="Bay 6 -_x000a_Generator"/>
    <x v="9"/>
    <s v="Anwar"/>
    <x v="1"/>
    <m/>
    <m/>
    <m/>
    <m/>
    <m/>
    <m/>
    <d v="1899-12-30T14:30:00"/>
    <d v="1899-12-30T16:30:00"/>
    <n v="2.0000000000000009"/>
    <x v="1"/>
    <m/>
  </r>
  <r>
    <s v="Bay 6 -_x000a_Generator"/>
    <x v="9"/>
    <s v="Jagdev"/>
    <x v="2"/>
    <s v="GEN135-013"/>
    <s v="Ac alternator removing, crank shaft oil seal work, fuel tank cleaning,"/>
    <d v="2025-12-12T00:00:00"/>
    <d v="2025-12-12T00:00:00"/>
    <d v="2025-12-12T00:00:00"/>
    <m/>
    <d v="1899-12-30T07:30:00"/>
    <d v="1899-12-30T16:30:00"/>
    <n v="9"/>
    <x v="0"/>
    <m/>
  </r>
  <r>
    <s v="Electrical"/>
    <x v="9"/>
    <s v="Fahad"/>
    <x v="8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x v="0"/>
    <m/>
  </r>
  <r>
    <s v="Electrical"/>
    <x v="9"/>
    <s v="Lijo"/>
    <x v="8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x v="0"/>
    <m/>
  </r>
  <r>
    <s v="Electrical"/>
    <x v="9"/>
    <s v="Aman"/>
    <x v="2"/>
    <s v="GEN45-005"/>
    <s v="Exciter rotor &amp; field rewinding"/>
    <d v="2025-12-11T00:00:00"/>
    <d v="2025-12-12T00:00:00"/>
    <m/>
    <m/>
    <d v="1899-12-30T07:30:00"/>
    <d v="1899-12-30T17:00:00"/>
    <n v="9.5"/>
    <x v="2"/>
    <m/>
  </r>
  <r>
    <s v="Electrical"/>
    <x v="9"/>
    <s v="Ghiyan"/>
    <x v="1"/>
    <m/>
    <m/>
    <m/>
    <m/>
    <m/>
    <m/>
    <d v="1899-12-30T10:30:00"/>
    <d v="1899-12-30T17:00:00"/>
    <n v="6.5000000000000009"/>
    <x v="1"/>
    <m/>
  </r>
  <r>
    <s v="Electrical"/>
    <x v="9"/>
    <s v="Cherith"/>
    <x v="2"/>
    <s v="GENJ135-003"/>
    <s v="Inspection, servicing &amp; assemble"/>
    <d v="2025-12-11T00:00:00"/>
    <d v="2025-12-13T00:00:00"/>
    <m/>
    <m/>
    <d v="1899-12-30T07:30:00"/>
    <d v="1899-12-30T12:00:00"/>
    <n v="4.5"/>
    <x v="2"/>
    <m/>
  </r>
  <r>
    <s v="Electrical"/>
    <x v="9"/>
    <s v="Faisal"/>
    <x v="1"/>
    <m/>
    <m/>
    <m/>
    <m/>
    <m/>
    <m/>
    <d v="1899-12-30T07:30:00"/>
    <d v="1899-12-30T12:00:00"/>
    <n v="4.5"/>
    <x v="1"/>
    <m/>
  </r>
  <r>
    <s v="Electrical"/>
    <x v="9"/>
    <s v="Cherith"/>
    <x v="2"/>
    <s v="GEN150-021"/>
    <s v="Inspection, servicing &amp; assemble"/>
    <d v="2025-12-12T00:00:00"/>
    <d v="2025-12-13T00:00:00"/>
    <m/>
    <m/>
    <d v="1899-12-30T12:00:00"/>
    <d v="1899-12-30T16:30:00"/>
    <n v="4.5"/>
    <x v="2"/>
    <m/>
  </r>
  <r>
    <s v="Electrical"/>
    <x v="9"/>
    <s v="Faisal"/>
    <x v="1"/>
    <m/>
    <m/>
    <m/>
    <m/>
    <m/>
    <m/>
    <d v="1899-12-30T12:00:00"/>
    <d v="1899-12-30T16:30:00"/>
    <n v="4.5"/>
    <x v="1"/>
    <m/>
  </r>
  <r>
    <s v="Electrical"/>
    <x v="9"/>
    <s v="Ghiyan"/>
    <x v="2"/>
    <s v="GENJ250-043"/>
    <s v="Power cable connection"/>
    <d v="2025-12-12T00:00:00"/>
    <d v="2025-12-12T00:00:00"/>
    <d v="2025-12-12T00:00:00"/>
    <m/>
    <d v="1899-12-30T07:30:00"/>
    <d v="1899-12-30T10:30:00"/>
    <n v="3"/>
    <x v="0"/>
    <m/>
  </r>
  <r>
    <s v="Electrical"/>
    <x v="9"/>
    <s v="Ghiyan"/>
    <x v="2"/>
    <s v="GEN20-002"/>
    <s v="Coil repairing"/>
    <d v="2025-12-12T00:00:00"/>
    <d v="2025-12-12T00:00:00"/>
    <d v="2025-12-12T00:00:00"/>
    <m/>
    <d v="1899-12-30T03:30:00"/>
    <d v="1899-12-30T04:30:00"/>
    <n v="0.99999999999999978"/>
    <x v="0"/>
    <m/>
  </r>
  <r>
    <s v="Electrical"/>
    <x v="9"/>
    <s v="Suhaib"/>
    <x v="5"/>
    <s v="New BH pump 7.5kw"/>
    <s v="12nos new B:H pumps inspection &amp; fleet socket 32A"/>
    <d v="2025-12-12T00:00:00"/>
    <d v="2025-12-12T00:00:00"/>
    <d v="2025-12-12T00:00:00"/>
    <m/>
    <d v="1899-12-30T08:00:00"/>
    <d v="1899-12-30T13:00:00"/>
    <n v="5"/>
    <x v="0"/>
    <m/>
  </r>
  <r>
    <s v="Electrical"/>
    <x v="9"/>
    <s v="Saqib"/>
    <x v="4"/>
    <s v="SM530X2"/>
    <s v="Water testing"/>
    <d v="2025-12-12T00:00:00"/>
    <d v="2025-12-12T00:00:00"/>
    <d v="2025-12-12T00:00:00"/>
    <m/>
    <d v="1899-12-30T07:30:00"/>
    <d v="1899-12-30T12:00:00"/>
    <n v="4.5"/>
    <x v="0"/>
    <m/>
  </r>
  <r>
    <s v="Electrical"/>
    <x v="9"/>
    <s v="Venu"/>
    <x v="1"/>
    <s v="SM1002X1"/>
    <m/>
    <m/>
    <m/>
    <m/>
    <m/>
    <d v="1899-12-30T07:30:00"/>
    <d v="1899-12-30T12:00:00"/>
    <n v="4.5"/>
    <x v="1"/>
    <m/>
  </r>
  <r>
    <s v="Electrical"/>
    <x v="9"/>
    <s v="Saqib"/>
    <x v="4"/>
    <s v="SM1002-276"/>
    <s v="Rotor repair &amp; assembling"/>
    <d v="2025-12-12T00:00:00"/>
    <d v="2025-12-12T00:00:00"/>
    <m/>
    <m/>
    <d v="1899-12-30T15:00:00"/>
    <d v="1899-12-30T16:30:00"/>
    <n v="1.5"/>
    <x v="2"/>
    <m/>
  </r>
  <r>
    <s v="Electrical"/>
    <x v="9"/>
    <s v="Venu"/>
    <x v="1"/>
    <m/>
    <m/>
    <m/>
    <m/>
    <m/>
    <m/>
    <d v="1899-12-30T15:00:00"/>
    <d v="1899-12-30T16:30:00"/>
    <n v="1.5"/>
    <x v="1"/>
    <m/>
  </r>
  <r>
    <s v="Bay 4&amp;5 - _x000a_Pumps"/>
    <x v="9"/>
    <s v="Asif"/>
    <x v="8"/>
    <s v="General work"/>
    <s v="General work &amp; system work"/>
    <d v="2025-12-12T00:00:00"/>
    <d v="2025-12-12T00:00:00"/>
    <m/>
    <m/>
    <d v="1899-12-30T07:30:00"/>
    <d v="1899-12-30T16:30:00"/>
    <n v="9"/>
    <x v="0"/>
    <m/>
  </r>
  <r>
    <s v="Bay 4&amp;5 - _x000a_Pumps"/>
    <x v="9"/>
    <s v="Vinod"/>
    <x v="6"/>
    <s v="HL130M-10"/>
    <s v="Exh modification,priming &amp; NRV repairing, fan guard repairing"/>
    <d v="2025-12-12T00:00:00"/>
    <d v="2025-12-20T00:00:00"/>
    <m/>
    <m/>
    <d v="1899-12-30T08:00:00"/>
    <d v="1899-12-30T18:00:00"/>
    <n v="10"/>
    <x v="0"/>
    <m/>
  </r>
  <r>
    <s v="Bay 4&amp;5 - _x000a_Pumps"/>
    <x v="9"/>
    <s v="Jahir"/>
    <x v="1"/>
    <m/>
    <m/>
    <m/>
    <m/>
    <m/>
    <m/>
    <d v="1899-12-30T08:00:00"/>
    <d v="1899-12-30T18:00:00"/>
    <n v="10"/>
    <x v="1"/>
    <m/>
  </r>
  <r>
    <s v="Bay 4&amp;5 - _x000a_Pumps"/>
    <x v="9"/>
    <s v="Allah ditta"/>
    <x v="6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x v="0"/>
    <m/>
  </r>
  <r>
    <s v="Bay 4&amp;5 - _x000a_Pumps"/>
    <x v="9"/>
    <s v="Martino"/>
    <x v="1"/>
    <m/>
    <m/>
    <m/>
    <m/>
    <m/>
    <m/>
    <d v="1899-12-30T07:30:00"/>
    <d v="1899-12-30T17:30:00"/>
    <n v="10"/>
    <x v="1"/>
    <m/>
  </r>
  <r>
    <s v="Bay 4&amp;5 - _x000a_Pumps"/>
    <x v="9"/>
    <s v="Asif"/>
    <x v="6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x v="0"/>
    <m/>
  </r>
  <r>
    <s v="Bay 4&amp;5 - _x000a_Pumps"/>
    <x v="9"/>
    <s v="Allah ditta"/>
    <x v="1"/>
    <m/>
    <m/>
    <m/>
    <m/>
    <m/>
    <m/>
    <d v="1899-12-30T16:00:00"/>
    <d v="1899-12-30T19:00:00"/>
    <n v="3"/>
    <x v="1"/>
    <m/>
  </r>
  <r>
    <s v="Bay 4&amp;5 - _x000a_Pumps"/>
    <x v="9"/>
    <s v="Asif"/>
    <x v="1"/>
    <m/>
    <m/>
    <m/>
    <m/>
    <m/>
    <m/>
    <d v="1899-12-30T16:00:00"/>
    <d v="1899-12-30T19:00:00"/>
    <n v="3"/>
    <x v="1"/>
    <m/>
  </r>
  <r>
    <s v="Bay 4&amp;5 - _x000a_Pumps"/>
    <x v="10"/>
    <s v="Suresh S"/>
    <x v="0"/>
    <s v="CP150X3"/>
    <s v="Vaccum pump repair"/>
    <d v="2025-12-12T00:00:00"/>
    <d v="2025-12-13T00:00:00"/>
    <m/>
    <m/>
    <d v="1899-12-30T08:00:00"/>
    <d v="1899-12-30T19:00:00"/>
    <n v="11"/>
    <x v="0"/>
    <m/>
  </r>
  <r>
    <s v="Bay 4&amp;5 - _x000a_Pumps"/>
    <x v="10"/>
    <s v="Shaji"/>
    <x v="1"/>
    <m/>
    <m/>
    <m/>
    <m/>
    <m/>
    <m/>
    <d v="1899-12-30T07:30:00"/>
    <d v="1899-12-30T08:30:00"/>
    <n v="1.0000000000000004"/>
    <x v="1"/>
    <m/>
  </r>
  <r>
    <s v="Bay 4&amp;5 - _x000a_Pumps"/>
    <x v="10"/>
    <s v="James"/>
    <x v="0"/>
    <s v="CP150-832"/>
    <s v="Pump prepapre for assembling"/>
    <d v="2025-12-09T00:00:00"/>
    <d v="2025-12-13T00:00:00"/>
    <m/>
    <m/>
    <d v="1899-12-30T13:00:00"/>
    <d v="1899-12-30T19:00:00"/>
    <n v="6"/>
    <x v="0"/>
    <m/>
  </r>
  <r>
    <s v="Bay 4&amp;5 - _x000a_Pumps"/>
    <x v="10"/>
    <s v="Shaji"/>
    <x v="1"/>
    <m/>
    <m/>
    <m/>
    <m/>
    <m/>
    <m/>
    <d v="1899-12-30T08:30:00"/>
    <d v="1899-12-30T09:30:00"/>
    <n v="0.99999999999999911"/>
    <x v="1"/>
    <m/>
  </r>
  <r>
    <s v="Bay 4&amp;5 - _x000a_Pumps"/>
    <x v="10"/>
    <s v="Bharathesha"/>
    <x v="0"/>
    <s v="CP150-574"/>
    <s v="Engine minor repair &amp; test"/>
    <d v="2025-12-08T00:00:00"/>
    <d v="2025-12-13T00:00:00"/>
    <d v="2025-12-13T00:00:00"/>
    <m/>
    <d v="1899-12-30T07:30:00"/>
    <d v="1899-12-30T10:30:00"/>
    <n v="3"/>
    <x v="0"/>
    <m/>
  </r>
  <r>
    <s v="Bay 4&amp;5 - _x000a_Pumps"/>
    <x v="10"/>
    <s v="Shaji"/>
    <x v="1"/>
    <m/>
    <m/>
    <m/>
    <m/>
    <m/>
    <m/>
    <d v="1899-12-30T09:30:00"/>
    <d v="1899-12-30T10:30:00"/>
    <n v="1.0000000000000004"/>
    <x v="1"/>
    <m/>
  </r>
  <r>
    <s v="Bay 4&amp;5 - _x000a_Pumps"/>
    <x v="10"/>
    <s v="Mintu"/>
    <x v="0"/>
    <s v="PT175-536"/>
    <s v="Engine dismantling &amp; prepare for assembling"/>
    <d v="2025-12-12T00:00:00"/>
    <d v="2025-12-13T00:00:00"/>
    <m/>
    <m/>
    <d v="1899-12-30T08:00:00"/>
    <d v="1899-12-30T19:00:00"/>
    <n v="11"/>
    <x v="0"/>
    <m/>
  </r>
  <r>
    <s v="Bay 4&amp;5 - _x000a_Pumps"/>
    <x v="10"/>
    <s v="Shaji"/>
    <x v="1"/>
    <m/>
    <m/>
    <m/>
    <m/>
    <m/>
    <m/>
    <d v="1899-12-30T10:30:00"/>
    <d v="1899-12-30T11:00:00"/>
    <n v="0.49999999999999956"/>
    <x v="1"/>
    <m/>
  </r>
  <r>
    <s v="Bay 4&amp;5 - _x000a_Pumps"/>
    <x v="10"/>
    <s v="Harish"/>
    <x v="0"/>
    <s v="CP150-836"/>
    <s v="Pump &amp; float repair, vaccum oil tank clean, oil change, water test"/>
    <d v="2025-12-13T00:00:00"/>
    <d v="2025-12-13T00:00:00"/>
    <m/>
    <m/>
    <d v="1899-12-30T07:30:00"/>
    <d v="1899-12-30T18:30:00"/>
    <n v="11"/>
    <x v="0"/>
    <m/>
  </r>
  <r>
    <s v="Bay 4&amp;5 - _x000a_Pumps"/>
    <x v="10"/>
    <s v="Shaji"/>
    <x v="1"/>
    <m/>
    <m/>
    <m/>
    <m/>
    <m/>
    <m/>
    <d v="1899-12-30T11:00:00"/>
    <d v="1899-12-30T12:00:00"/>
    <n v="1.0000000000000004"/>
    <x v="0"/>
    <m/>
  </r>
  <r>
    <s v="Bay 4&amp;5 - _x000a_Pumps"/>
    <x v="10"/>
    <s v="Ismail"/>
    <x v="0"/>
    <s v="PT175-521"/>
    <s v="Pump assembling, engine fixing on frame, alignment &amp; water test"/>
    <d v="2025-12-11T00:00:00"/>
    <d v="2025-12-13T00:00:00"/>
    <m/>
    <m/>
    <d v="1899-12-30T07:30:00"/>
    <d v="1899-12-30T18:30:00"/>
    <n v="11"/>
    <x v="0"/>
    <m/>
  </r>
  <r>
    <s v="Bay 4&amp;5 - _x000a_Pumps"/>
    <x v="10"/>
    <s v="Shaji"/>
    <x v="1"/>
    <m/>
    <m/>
    <m/>
    <m/>
    <m/>
    <m/>
    <d v="1899-12-30T13:00:00"/>
    <d v="1899-12-30T15:00:00"/>
    <n v="2.0000000000000009"/>
    <x v="1"/>
    <m/>
  </r>
  <r>
    <s v="Bay 6 -_x000a_Generator"/>
    <x v="10"/>
    <s v="Jagdev"/>
    <x v="2"/>
    <s v="GENJ30-069/070"/>
    <s v="General inspection &amp; general repair"/>
    <d v="2025-12-13T00:00:00"/>
    <d v="2025-12-13T00:00:00"/>
    <m/>
    <m/>
    <d v="1899-12-30T07:30:00"/>
    <d v="1899-12-30T12:30:00"/>
    <n v="5.0000000000000009"/>
    <x v="0"/>
    <m/>
  </r>
  <r>
    <s v="Bay 6 -_x000a_Generator"/>
    <x v="10"/>
    <s v="Jagdev"/>
    <x v="2"/>
    <s v="GEN250-057"/>
    <s v="Ac alternator"/>
    <d v="2025-11-14T00:00:00"/>
    <d v="2025-12-13T00:00:00"/>
    <m/>
    <m/>
    <d v="1899-12-30T12:30:00"/>
    <d v="1899-12-30T16:30:00"/>
    <n v="3.9999999999999991"/>
    <x v="3"/>
    <m/>
  </r>
  <r>
    <s v="Bay 6 -_x000a_Generator"/>
    <x v="10"/>
    <s v="Jagdev"/>
    <x v="8"/>
    <s v="3rd party pump"/>
    <s v="Silincer fixing, fuel connection &amp; PDI"/>
    <d v="2025-12-13T00:00:00"/>
    <d v="2025-12-13T00:00:00"/>
    <m/>
    <m/>
    <d v="1899-12-30T14:00:00"/>
    <d v="1899-12-30T16:30:00"/>
    <n v="2.4999999999999991"/>
    <x v="0"/>
    <m/>
  </r>
  <r>
    <s v="Bay 6 -_x000a_Generator"/>
    <x v="10"/>
    <s v="Suraj"/>
    <x v="2"/>
    <s v="GEN5-013/014"/>
    <s v="General repair, oil service, load test"/>
    <d v="2025-12-13T00:00:00"/>
    <d v="2025-12-13T00:00:00"/>
    <d v="2025-12-13T00:00:00"/>
    <m/>
    <d v="1899-12-30T07:30:00"/>
    <d v="1899-12-30T11:30:00"/>
    <n v="4"/>
    <x v="0"/>
    <m/>
  </r>
  <r>
    <s v="Bay 6 -_x000a_Generator"/>
    <x v="10"/>
    <s v="Anwar"/>
    <x v="1"/>
    <m/>
    <m/>
    <m/>
    <m/>
    <m/>
    <m/>
    <d v="1899-12-30T07:30:00"/>
    <d v="1899-12-30T11:30:00"/>
    <n v="4"/>
    <x v="1"/>
    <m/>
  </r>
  <r>
    <s v="Bay 6 -_x000a_Generator"/>
    <x v="10"/>
    <s v="Suraj"/>
    <x v="2"/>
    <s v="GEN10-001"/>
    <s v="Load test"/>
    <d v="2025-12-13T00:00:00"/>
    <d v="2025-12-13T00:00:00"/>
    <d v="2025-12-13T00:00:00"/>
    <m/>
    <d v="1899-12-30T11:30:00"/>
    <d v="1899-12-30T12:30:00"/>
    <n v="1.0000000000000004"/>
    <x v="0"/>
    <m/>
  </r>
  <r>
    <s v="Bay 6 -_x000a_Generator"/>
    <x v="10"/>
    <s v="Anwar"/>
    <x v="1"/>
    <m/>
    <m/>
    <m/>
    <m/>
    <m/>
    <m/>
    <d v="1899-12-30T11:30:00"/>
    <d v="1899-12-30T12:30:00"/>
    <n v="1.0000000000000004"/>
    <x v="1"/>
    <m/>
  </r>
  <r>
    <s v="Bay 6 -_x000a_Generator"/>
    <x v="10"/>
    <s v="Suraj"/>
    <x v="2"/>
    <s v="GENJ30-069/070"/>
    <s v="Load test"/>
    <d v="2025-12-13T00:00:00"/>
    <d v="2025-12-13T00:00:00"/>
    <d v="2025-12-13T00:00:00"/>
    <m/>
    <d v="1899-12-30T12:30:00"/>
    <d v="1899-12-30T16:30:00"/>
    <n v="3.9999999999999991"/>
    <x v="0"/>
    <m/>
  </r>
  <r>
    <s v="Bay 6 -_x000a_Generator"/>
    <x v="10"/>
    <s v="Anwar"/>
    <x v="1"/>
    <m/>
    <m/>
    <m/>
    <m/>
    <m/>
    <m/>
    <d v="1899-12-30T12:30:00"/>
    <d v="1899-12-30T16:30:00"/>
    <n v="3.9999999999999991"/>
    <x v="1"/>
    <m/>
  </r>
  <r>
    <s v="Electrical"/>
    <x v="10"/>
    <s v="Fahad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0"/>
    <s v="Lijo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0"/>
    <s v="Aman"/>
    <x v="4"/>
    <s v="SMSP3-021"/>
    <s v="95kw pump water testing"/>
    <d v="2025-12-13T00:00:00"/>
    <d v="2025-12-13T00:00:00"/>
    <m/>
    <m/>
    <d v="1899-12-30T07:30:00"/>
    <d v="1899-12-30T13:00:00"/>
    <n v="5.4999999999999991"/>
    <x v="0"/>
    <m/>
  </r>
  <r>
    <s v="Electrical"/>
    <x v="10"/>
    <s v="Saqib"/>
    <x v="1"/>
    <m/>
    <m/>
    <m/>
    <m/>
    <m/>
    <m/>
    <d v="1899-12-30T07:30:00"/>
    <d v="1899-12-30T13:00:00"/>
    <n v="5.4999999999999991"/>
    <x v="1"/>
    <m/>
  </r>
  <r>
    <s v="Electrical"/>
    <x v="10"/>
    <s v="Venu"/>
    <x v="1"/>
    <m/>
    <m/>
    <m/>
    <m/>
    <m/>
    <m/>
    <d v="1899-12-30T07:30:00"/>
    <d v="1899-12-30T13:00:00"/>
    <n v="5.4999999999999991"/>
    <x v="1"/>
    <m/>
  </r>
  <r>
    <s v="Electrical"/>
    <x v="10"/>
    <s v="Saqib"/>
    <x v="4"/>
    <s v="SM1002-276"/>
    <s v="Rotor repair &amp; assembling"/>
    <d v="2025-12-12T00:00:00"/>
    <d v="2025-12-15T00:00:00"/>
    <m/>
    <m/>
    <d v="1899-12-30T07:30:00"/>
    <d v="1899-12-30T16:30:00"/>
    <n v="9"/>
    <x v="2"/>
    <m/>
  </r>
  <r>
    <s v="Electrical"/>
    <x v="10"/>
    <s v="Cherith"/>
    <x v="2"/>
    <s v="GENJ135-003"/>
    <s v="Inspection, servicing &amp; assemble"/>
    <d v="2025-12-11T00:00:00"/>
    <d v="2025-12-13T00:00:00"/>
    <m/>
    <m/>
    <d v="1899-12-30T07:30:00"/>
    <d v="1899-12-30T16:00:00"/>
    <n v="8.5"/>
    <x v="0"/>
    <m/>
  </r>
  <r>
    <s v="Electrical"/>
    <x v="10"/>
    <s v="Faisal"/>
    <x v="1"/>
    <m/>
    <m/>
    <m/>
    <m/>
    <m/>
    <m/>
    <d v="1899-12-30T07:30:00"/>
    <d v="1899-12-30T16:00:00"/>
    <n v="8.5"/>
    <x v="1"/>
    <m/>
  </r>
  <r>
    <s v="Electrical"/>
    <x v="10"/>
    <s v="Suhaib"/>
    <x v="5"/>
    <s v="New BH pump 2.2kw"/>
    <s v="10nos new B:H pumps inspection &amp; fleet socketing"/>
    <d v="2025-12-13T00:00:00"/>
    <d v="2025-12-13T00:00:00"/>
    <m/>
    <m/>
    <d v="1899-12-30T08:00:00"/>
    <d v="1899-12-30T13:00:00"/>
    <n v="5"/>
    <x v="0"/>
    <m/>
  </r>
  <r>
    <s v="Electrical"/>
    <x v="10"/>
    <s v="Aman"/>
    <x v="4"/>
    <s v="SMSP3-017"/>
    <s v="7.5kw pump water testing"/>
    <d v="2025-12-13T00:00:00"/>
    <d v="2025-12-13T00:00:00"/>
    <d v="2025-12-13T00:00:00"/>
    <m/>
    <d v="1899-12-30T13:00:00"/>
    <d v="1899-12-30T17:00:00"/>
    <n v="4.0000000000000018"/>
    <x v="0"/>
    <m/>
  </r>
  <r>
    <s v="Electrical"/>
    <x v="10"/>
    <s v="Gulam"/>
    <x v="1"/>
    <m/>
    <m/>
    <m/>
    <m/>
    <m/>
    <m/>
    <d v="1899-12-30T13:00:00"/>
    <d v="1899-12-30T17:00:00"/>
    <n v="4.0000000000000018"/>
    <x v="1"/>
    <m/>
  </r>
  <r>
    <s v="Electrical"/>
    <x v="10"/>
    <s v="Venu"/>
    <x v="1"/>
    <m/>
    <m/>
    <m/>
    <m/>
    <m/>
    <m/>
    <d v="1899-12-30T13:00:00"/>
    <d v="1899-12-30T17:00:00"/>
    <n v="4.0000000000000018"/>
    <x v="1"/>
    <m/>
  </r>
  <r>
    <s v="Bay 4&amp;5 - _x000a_Pumps"/>
    <x v="10"/>
    <s v="Asif"/>
    <x v="8"/>
    <s v="General work"/>
    <s v="General work &amp; system work"/>
    <d v="2025-12-12T00:00:00"/>
    <d v="2025-12-12T00:00:00"/>
    <m/>
    <m/>
    <d v="1899-12-30T07:30:00"/>
    <d v="1899-12-30T16:30:00"/>
    <n v="9"/>
    <x v="0"/>
    <m/>
  </r>
  <r>
    <s v="Bay 4&amp;5 - _x000a_Pumps"/>
    <x v="10"/>
    <s v="Vinod"/>
    <x v="6"/>
    <s v="HL130M-10"/>
    <s v="Exh modification,priming &amp; NRV repairing, fan guard repairing"/>
    <d v="2025-12-12T00:00:00"/>
    <d v="2025-12-20T00:00:00"/>
    <m/>
    <m/>
    <d v="1899-12-30T08:00:00"/>
    <d v="1899-12-30T18:00:00"/>
    <n v="10"/>
    <x v="0"/>
    <m/>
  </r>
  <r>
    <s v="Bay 4&amp;5 - _x000a_Pumps"/>
    <x v="10"/>
    <s v="Jahir"/>
    <x v="1"/>
    <m/>
    <m/>
    <m/>
    <m/>
    <m/>
    <m/>
    <d v="1899-12-30T08:00:00"/>
    <d v="1899-12-30T18:00:00"/>
    <n v="10"/>
    <x v="1"/>
    <m/>
  </r>
  <r>
    <s v="Bay 4&amp;5 - _x000a_Pumps"/>
    <x v="10"/>
    <s v="Allah ditta"/>
    <x v="6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x v="0"/>
    <m/>
  </r>
  <r>
    <s v="Bay 4&amp;5 - _x000a_Pumps"/>
    <x v="10"/>
    <s v="Martino"/>
    <x v="1"/>
    <m/>
    <m/>
    <m/>
    <m/>
    <m/>
    <m/>
    <d v="1899-12-30T07:30:00"/>
    <d v="1899-12-30T17:30:00"/>
    <n v="10"/>
    <x v="1"/>
    <m/>
  </r>
  <r>
    <s v="Bay 4&amp;5 - _x000a_Pumps"/>
    <x v="10"/>
    <s v="Asif"/>
    <x v="6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x v="0"/>
    <m/>
  </r>
  <r>
    <s v="Bay 4&amp;5 - _x000a_Pumps"/>
    <x v="10"/>
    <s v="Allah ditta"/>
    <x v="1"/>
    <m/>
    <m/>
    <m/>
    <m/>
    <m/>
    <m/>
    <d v="1899-12-30T16:00:00"/>
    <d v="1899-12-30T19:00:00"/>
    <n v="3"/>
    <x v="1"/>
    <m/>
  </r>
  <r>
    <s v="Bay 4&amp;5 - _x000a_Pumps"/>
    <x v="10"/>
    <s v="Asif"/>
    <x v="1"/>
    <m/>
    <m/>
    <m/>
    <m/>
    <m/>
    <m/>
    <d v="1899-12-30T16:00:00"/>
    <d v="1899-12-30T19:00:00"/>
    <n v="3"/>
    <x v="1"/>
    <m/>
  </r>
  <r>
    <s v="Electrical"/>
    <x v="11"/>
    <s v="Fahad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1"/>
    <s v="Lijo"/>
    <x v="8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x v="0"/>
    <m/>
  </r>
  <r>
    <s v="Electrical"/>
    <x v="11"/>
    <s v="Aman"/>
    <x v="2"/>
    <s v="GEN250-051"/>
    <s v="Alternator service and assembling"/>
    <d v="2025-12-15T00:00:00"/>
    <d v="2025-12-16T00:00:00"/>
    <m/>
    <m/>
    <d v="1899-12-30T08:00:00"/>
    <d v="1899-12-30T17:00:00"/>
    <n v="9.0000000000000018"/>
    <x v="3"/>
    <m/>
  </r>
  <r>
    <s v="Electrical"/>
    <x v="11"/>
    <s v="Gulam"/>
    <x v="1"/>
    <m/>
    <m/>
    <m/>
    <m/>
    <m/>
    <m/>
    <d v="1899-12-30T08:00:00"/>
    <d v="1899-12-30T17:00:00"/>
    <n v="9.0000000000000018"/>
    <x v="1"/>
    <m/>
  </r>
  <r>
    <s v="Electrical"/>
    <x v="11"/>
    <s v="Faisal"/>
    <x v="2"/>
    <s v="GEN150-021"/>
    <s v="Alternator service and assembling"/>
    <d v="2025-12-15T00:00:00"/>
    <d v="2025-12-15T00:00:00"/>
    <m/>
    <m/>
    <d v="1899-12-30T07:30:00"/>
    <d v="1899-12-30T16:30:00"/>
    <n v="9"/>
    <x v="3"/>
    <m/>
  </r>
  <r>
    <s v="Electrical"/>
    <x v="11"/>
    <s v="Cherith"/>
    <x v="1"/>
    <m/>
    <m/>
    <m/>
    <m/>
    <m/>
    <m/>
    <d v="1899-12-30T07:30:00"/>
    <d v="1899-12-30T16:30:00"/>
    <n v="9"/>
    <x v="1"/>
    <m/>
  </r>
  <r>
    <s v="Electrical"/>
    <x v="11"/>
    <s v="Suhaib"/>
    <x v="5"/>
    <s v="New BH pump 2.2kw"/>
    <s v="19nos new BH pumps inspection &amp; fleet socketing"/>
    <d v="2025-12-15T00:00:00"/>
    <d v="2025-12-15T00:00:00"/>
    <m/>
    <m/>
    <d v="1899-12-30T08:00:00"/>
    <d v="1899-12-30T17:00:00"/>
    <n v="9.0000000000000018"/>
    <x v="0"/>
    <m/>
  </r>
  <r>
    <s v="Electrical"/>
    <x v="11"/>
    <s v="Gihan"/>
    <x v="2"/>
    <s v="GEN45-005"/>
    <s v="Exciter field rewinding and assembling"/>
    <d v="2025-12-15T00:00:00"/>
    <d v="2025-12-15T00:00:00"/>
    <m/>
    <m/>
    <d v="1899-12-30T07:30:00"/>
    <d v="1899-12-30T16:30:00"/>
    <n v="9"/>
    <x v="3"/>
    <m/>
  </r>
  <r>
    <s v="Electrical"/>
    <x v="11"/>
    <s v="Saqib"/>
    <x v="4"/>
    <s v="SM1002-276"/>
    <s v="Rotor repair &amp; assembling"/>
    <d v="2025-12-12T00:00:00"/>
    <d v="2025-12-15T00:00:00"/>
    <m/>
    <m/>
    <d v="1899-12-30T07:30:00"/>
    <d v="1899-12-30T16:30:00"/>
    <n v="9"/>
    <x v="0"/>
    <m/>
  </r>
  <r>
    <s v="Electrical"/>
    <x v="11"/>
    <s v="Venu"/>
    <x v="1"/>
    <m/>
    <m/>
    <d v="2025-12-12T00:00:00"/>
    <d v="2025-12-15T00:00:00"/>
    <m/>
    <m/>
    <d v="1899-12-30T07:30:00"/>
    <d v="1899-12-30T16:30:00"/>
    <n v="9"/>
    <x v="0"/>
    <m/>
  </r>
  <r>
    <s v="Electrical"/>
    <x v="11"/>
    <s v="Lijo"/>
    <x v="3"/>
    <s v="General work"/>
    <s v="Scrap panels stand removing and arrangements"/>
    <d v="2025-12-15T00:00:00"/>
    <d v="2025-12-15T00:00:00"/>
    <m/>
    <m/>
    <d v="1899-12-30T07:30:00"/>
    <d v="1899-12-30T16:30:00"/>
    <n v="9"/>
    <x v="0"/>
    <m/>
  </r>
  <r>
    <s v="Electrical"/>
    <x v="11"/>
    <s v="Fahad"/>
    <x v="1"/>
    <m/>
    <m/>
    <d v="2025-12-15T00:00:00"/>
    <d v="2025-12-15T00:00:00"/>
    <m/>
    <m/>
    <d v="1899-12-30T07:30:00"/>
    <d v="1899-12-30T16:30:00"/>
    <n v="9"/>
    <x v="0"/>
    <m/>
  </r>
  <r>
    <s v="Bay 6 -_x000a_Generator"/>
    <x v="11"/>
    <s v="Jagdev"/>
    <x v="2"/>
    <s v="GEN30-020"/>
    <s v="Repair on site - Fuel pump replacement"/>
    <d v="2025-12-15T00:00:00"/>
    <d v="2025-12-15T00:00:00"/>
    <m/>
    <m/>
    <d v="1899-12-30T07:30:00"/>
    <d v="1899-12-30T13:00:00"/>
    <n v="5.4999999999999991"/>
    <x v="0"/>
    <m/>
  </r>
  <r>
    <s v="Bay 6 -_x000a_Generator"/>
    <x v="11"/>
    <s v="Suraj"/>
    <x v="10"/>
    <s v="BFT1-006"/>
    <s v="Fuel tank cleaning"/>
    <d v="2025-12-15T00:00:00"/>
    <d v="2025-12-15T00:00:00"/>
    <m/>
    <m/>
    <d v="1899-12-30T07:30:00"/>
    <d v="1899-12-30T14:00:00"/>
    <n v="6.5000000000000009"/>
    <x v="3"/>
    <m/>
  </r>
  <r>
    <s v="Bay 6 -_x000a_Generator"/>
    <x v="11"/>
    <s v="Suraj"/>
    <x v="1"/>
    <s v="BFT1-015"/>
    <m/>
    <m/>
    <m/>
    <m/>
    <m/>
    <d v="1899-12-30T07:30:00"/>
    <d v="1899-12-30T14:00:00"/>
    <n v="6.5000000000000009"/>
    <x v="1"/>
    <m/>
  </r>
  <r>
    <s v="Bay 6 -_x000a_Generator"/>
    <x v="11"/>
    <s v="Suraj"/>
    <x v="2"/>
    <s v="GEN250-057"/>
    <s v="Ac alternator fixing "/>
    <d v="2025-12-13T00:00:00"/>
    <d v="2025-12-15T00:00:00"/>
    <m/>
    <m/>
    <d v="1899-12-30T14:00:00"/>
    <d v="1899-12-30T16:30:00"/>
    <n v="2.4999999999999991"/>
    <x v="0"/>
    <m/>
  </r>
  <r>
    <s v="Bay 6 -_x000a_Generator"/>
    <x v="11"/>
    <s v="Jagdev"/>
    <x v="1"/>
    <m/>
    <m/>
    <m/>
    <m/>
    <m/>
    <m/>
    <d v="1899-12-30T14:00:00"/>
    <d v="1899-12-30T16:30:00"/>
    <n v="2.4999999999999991"/>
    <x v="1"/>
    <m/>
  </r>
  <r>
    <s v="Bay 6 -_x000a_Generator"/>
    <x v="11"/>
    <s v="Jagdev"/>
    <x v="2"/>
    <s v="GENJ150-058"/>
    <s v="Alternator removing and dismantling"/>
    <d v="2025-12-15T00:00:00"/>
    <d v="2025-12-15T00:00:00"/>
    <m/>
    <m/>
    <d v="1899-12-30T09:00:00"/>
    <d v="1899-12-30T14:00:00"/>
    <n v="5.0000000000000009"/>
    <x v="0"/>
    <m/>
  </r>
  <r>
    <s v="Bay 4&amp;5 - _x000a_Pumps"/>
    <x v="11"/>
    <s v="Asif"/>
    <x v="8"/>
    <s v="AC350-08"/>
    <s v="Inspection funtional test"/>
    <d v="2025-12-15T00:00:00"/>
    <d v="2025-12-15T00:00:00"/>
    <m/>
    <m/>
    <d v="1899-12-30T07:30:00"/>
    <d v="1899-12-30T13:00:00"/>
    <n v="5.4999999999999991"/>
    <x v="0"/>
    <m/>
  </r>
  <r>
    <s v="Bay 4&amp;5 - _x000a_Pumps"/>
    <x v="11"/>
    <s v="Asif"/>
    <x v="8"/>
    <s v="AC350-08"/>
    <s v="Inspection funtional test"/>
    <d v="2025-12-15T00:00:00"/>
    <d v="2025-12-15T00:00:00"/>
    <m/>
    <m/>
    <d v="1899-12-30T14:00:00"/>
    <d v="1899-12-30T16:30:00"/>
    <n v="2.4999999999999991"/>
    <x v="0"/>
    <m/>
  </r>
  <r>
    <s v="Bay 4&amp;5 - _x000a_Pumps"/>
    <x v="11"/>
    <s v="Asif"/>
    <x v="6"/>
    <s v="BA100-001"/>
    <s v="Inspection funtional test"/>
    <d v="2025-12-15T00:00:00"/>
    <d v="2025-12-15T00:00:00"/>
    <m/>
    <m/>
    <d v="1899-12-30T13:00:00"/>
    <d v="1899-12-30T16:30:00"/>
    <n v="3.5000000000000009"/>
    <x v="0"/>
    <m/>
  </r>
  <r>
    <s v="Bay 4&amp;5 - _x000a_Pumps"/>
    <x v="11"/>
    <s v="Allah ditta"/>
    <x v="6"/>
    <s v="CD150M-004"/>
    <s v="Pump assembling and installation on test bay"/>
    <d v="2025-12-15T00:00:00"/>
    <d v="2025-12-25T00:00:00"/>
    <m/>
    <m/>
    <d v="1899-12-30T07:30:00"/>
    <d v="1899-12-30T16:30:00"/>
    <n v="9"/>
    <x v="2"/>
    <m/>
  </r>
  <r>
    <s v="Bay 4&amp;5 - _x000a_Pumps"/>
    <x v="11"/>
    <s v="Martino"/>
    <x v="1"/>
    <m/>
    <m/>
    <m/>
    <m/>
    <m/>
    <m/>
    <d v="1899-12-30T07:30:00"/>
    <d v="1899-12-30T16:30:00"/>
    <n v="9"/>
    <x v="1"/>
    <m/>
  </r>
  <r>
    <s v="Bay 4&amp;5 - _x000a_Pumps"/>
    <x v="11"/>
    <s v="Jahir"/>
    <x v="6"/>
    <s v="CP1212-009"/>
    <s v="Pump end removing out from canopy"/>
    <d v="2025-12-15T00:00:00"/>
    <d v="2025-12-30T00:00:00"/>
    <m/>
    <m/>
    <d v="1899-12-30T08:00:00"/>
    <d v="1899-12-30T17:00:00"/>
    <n v="9.0000000000000018"/>
    <x v="2"/>
    <m/>
  </r>
  <r>
    <s v="Bay 4&amp;5 - _x000a_Pumps"/>
    <x v="11"/>
    <s v="Vinod"/>
    <x v="1"/>
    <m/>
    <m/>
    <m/>
    <m/>
    <m/>
    <m/>
    <d v="1899-12-30T08:00:00"/>
    <d v="1899-12-30T17:00:00"/>
    <n v="9.0000000000000018"/>
    <x v="1"/>
    <m/>
  </r>
  <r>
    <s v="Bay 4&amp;5 - _x000a_Pumps"/>
    <x v="11"/>
    <s v="Suresh S"/>
    <x v="0"/>
    <s v="CP150X3"/>
    <s v="Vaccum pump repair"/>
    <d v="2025-12-15T00:00:00"/>
    <d v="2025-12-15T00:00:00"/>
    <m/>
    <m/>
    <d v="1899-12-30T08:00:00"/>
    <d v="1899-12-30T19:00:00"/>
    <n v="11"/>
    <x v="0"/>
    <m/>
  </r>
  <r>
    <s v="Bay 4&amp;5 - _x000a_Pumps"/>
    <x v="11"/>
    <s v="James"/>
    <x v="0"/>
    <s v="CP150-832"/>
    <s v="Pummp assembling"/>
    <d v="2025-12-12T00:00:00"/>
    <d v="2025-12-15T00:00:00"/>
    <m/>
    <m/>
    <d v="1899-12-30T08:00:00"/>
    <d v="1899-12-30T19:00:00"/>
    <n v="11"/>
    <x v="0"/>
    <m/>
  </r>
  <r>
    <s v="Bay 4&amp;5 - _x000a_Pumps"/>
    <x v="11"/>
    <s v="Shaji"/>
    <x v="1"/>
    <m/>
    <m/>
    <m/>
    <m/>
    <m/>
    <m/>
    <d v="1899-12-30T08:30:00"/>
    <d v="1899-12-30T09:30:00"/>
    <n v="0.99999999999999911"/>
    <x v="1"/>
    <m/>
  </r>
  <r>
    <s v="Bay 4&amp;5 - _x000a_Pumps"/>
    <x v="11"/>
    <s v="Bharathesha"/>
    <x v="0"/>
    <s v="CP150-276"/>
    <s v="Engine preparing for assembling and assembling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09:30:00"/>
    <d v="1899-12-30T10:30:00"/>
    <n v="1.0000000000000004"/>
    <x v="1"/>
    <m/>
  </r>
  <r>
    <s v="Bay 4&amp;5 - _x000a_Pumps"/>
    <x v="11"/>
    <s v="Mintu"/>
    <x v="0"/>
    <s v="PT175-536"/>
    <s v="Engine assembling"/>
    <d v="2025-12-12T00:00:00"/>
    <d v="2025-12-15T00:00:00"/>
    <m/>
    <m/>
    <d v="1899-12-30T08:00:00"/>
    <d v="1899-12-30T19:00:00"/>
    <n v="11"/>
    <x v="0"/>
    <m/>
  </r>
  <r>
    <s v="Bay 4&amp;5 - _x000a_Pumps"/>
    <x v="11"/>
    <s v="Shaji"/>
    <x v="1"/>
    <m/>
    <m/>
    <m/>
    <m/>
    <m/>
    <m/>
    <d v="1899-12-30T10:30:00"/>
    <d v="1899-12-30T11:00:00"/>
    <n v="0.49999999999999956"/>
    <x v="1"/>
    <m/>
  </r>
  <r>
    <s v="Bay 4&amp;5 - _x000a_Pumps"/>
    <x v="11"/>
    <s v="Harish"/>
    <x v="0"/>
    <s v="CP150-836"/>
    <s v="Pummp assembling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11:00:00"/>
    <d v="1899-12-30T12:00:00"/>
    <n v="1.0000000000000004"/>
    <x v="0"/>
    <m/>
  </r>
  <r>
    <s v="Bay 4&amp;5 - _x000a_Pumps"/>
    <x v="11"/>
    <s v="Ismail"/>
    <x v="0"/>
    <s v="PT175-515"/>
    <s v="Pump assembling, engine fixing on frame and alignment"/>
    <d v="2025-12-13T00:00:00"/>
    <d v="2025-12-15T00:00:00"/>
    <m/>
    <m/>
    <d v="1899-12-30T07:30:00"/>
    <d v="1899-12-30T18:30:00"/>
    <n v="11"/>
    <x v="0"/>
    <m/>
  </r>
  <r>
    <s v="Bay 4&amp;5 - _x000a_Pumps"/>
    <x v="11"/>
    <s v="Shaji"/>
    <x v="1"/>
    <m/>
    <m/>
    <m/>
    <m/>
    <m/>
    <m/>
    <d v="1899-12-30T10:30:00"/>
    <d v="1899-12-30T11:00:00"/>
    <n v="0.49999999999999956"/>
    <x v="1"/>
    <m/>
  </r>
  <r>
    <s v="Electrical"/>
    <x v="12"/>
    <s v="Fahad"/>
    <x v="3"/>
    <s v="SPB2.2-076"/>
    <s v="Inspection &amp; repair"/>
    <d v="2025-12-16T00:00:00"/>
    <d v="2025-12-16T00:00:00"/>
    <d v="2025-12-16T00:00:00"/>
    <m/>
    <d v="1899-12-30T08:00:00"/>
    <d v="1899-12-30T12:00:00"/>
    <n v="4"/>
    <x v="0"/>
    <m/>
  </r>
  <r>
    <s v="Electrical"/>
    <x v="12"/>
    <s v="Fahad"/>
    <x v="3"/>
    <s v="DB-287"/>
    <s v="Inspection &amp; repair"/>
    <d v="2025-12-16T00:00:00"/>
    <d v="2025-12-16T00:00:00"/>
    <m/>
    <m/>
    <d v="1899-12-30T13:00:00"/>
    <d v="1899-12-30T17:00:00"/>
    <n v="4.0000000000000018"/>
    <x v="3"/>
    <m/>
  </r>
  <r>
    <s v="Electrical"/>
    <x v="12"/>
    <s v="Shahanawaz"/>
    <x v="3"/>
    <s v="SPB3.7-180"/>
    <s v="New build stand &amp; canopy"/>
    <d v="2025-12-16T00:00:00"/>
    <d v="2025-12-16T00:00:00"/>
    <m/>
    <m/>
    <d v="1899-12-30T07:30:00"/>
    <d v="1899-12-30T16:30:00"/>
    <n v="9"/>
    <x v="0"/>
    <m/>
  </r>
  <r>
    <s v="Electrical"/>
    <x v="12"/>
    <s v="Fahad"/>
    <x v="3"/>
    <s v="SPB75-001"/>
    <s v="Testing &amp; PDI"/>
    <d v="2025-12-16T00:00:00"/>
    <d v="2025-12-16T00:00:00"/>
    <d v="2025-12-16T00:00:00"/>
    <m/>
    <d v="1899-12-30T12:00:00"/>
    <d v="1899-12-30T15:00:00"/>
    <n v="3"/>
    <x v="0"/>
    <m/>
  </r>
  <r>
    <s v="Electrical"/>
    <x v="12"/>
    <s v="Fahad"/>
    <x v="3"/>
    <s v="SPB75-004"/>
    <s v="Testing &amp; PDI"/>
    <d v="2025-12-16T00:00:00"/>
    <d v="2025-12-16T00:00:00"/>
    <m/>
    <m/>
    <d v="1899-12-30T15:00:00"/>
    <d v="1899-12-30T17:00:00"/>
    <n v="2.0000000000000009"/>
    <x v="0"/>
    <m/>
  </r>
  <r>
    <s v="Electrical"/>
    <x v="12"/>
    <s v="Aman"/>
    <x v="2"/>
    <s v="GEN250-051"/>
    <s v="Inspection &amp; assemble"/>
    <d v="2025-12-15T00:00:00"/>
    <d v="2025-12-16T00:00:00"/>
    <d v="2025-12-16T00:00:00"/>
    <m/>
    <d v="1899-12-30T07:30:00"/>
    <d v="1899-12-30T17:00:00"/>
    <n v="9.5"/>
    <x v="0"/>
    <m/>
  </r>
  <r>
    <s v="Electrical"/>
    <x v="12"/>
    <s v="Venu"/>
    <x v="1"/>
    <m/>
    <m/>
    <m/>
    <m/>
    <m/>
    <m/>
    <d v="1899-12-30T07:30:00"/>
    <d v="1899-12-30T17:00:00"/>
    <n v="9.5"/>
    <x v="1"/>
    <m/>
  </r>
  <r>
    <s v="Electrical"/>
    <x v="12"/>
    <s v="Cherith"/>
    <x v="2"/>
    <s v="GEN150-021"/>
    <s v="Inspection &amp; assemble"/>
    <d v="2025-12-15T00:00:00"/>
    <d v="2025-12-16T00:00:00"/>
    <d v="2025-12-16T00:00:00"/>
    <m/>
    <d v="1899-12-30T07:30:00"/>
    <d v="1899-12-30T16:30:00"/>
    <n v="9"/>
    <x v="0"/>
    <m/>
  </r>
  <r>
    <s v="Electrical"/>
    <x v="12"/>
    <s v="Suhaib"/>
    <x v="5"/>
    <s v="New BH pump 2.2kw"/>
    <s v="15nos new BH pumps inspection &amp; fleet socketing"/>
    <d v="2025-12-15T00:00:00"/>
    <d v="2025-12-16T00:00:00"/>
    <d v="2025-12-16T00:00:00"/>
    <m/>
    <d v="1899-12-30T08:00:00"/>
    <d v="1899-12-30T17:00:00"/>
    <n v="9.0000000000000018"/>
    <x v="0"/>
    <m/>
  </r>
  <r>
    <s v="Electrical"/>
    <x v="12"/>
    <s v="Gihan"/>
    <x v="2"/>
    <s v="GEN250-057"/>
    <s v="Power cable connection"/>
    <d v="2025-12-16T00:00:00"/>
    <d v="2025-12-16T00:00:00"/>
    <d v="2025-12-16T00:00:00"/>
    <m/>
    <d v="1899-12-30T07:30:00"/>
    <d v="1899-12-30T11:00:00"/>
    <n v="3.4999999999999996"/>
    <x v="0"/>
    <m/>
  </r>
  <r>
    <s v="Electrical"/>
    <x v="12"/>
    <s v="Gihan"/>
    <x v="2"/>
    <s v="GENJ150-058"/>
    <s v="Exciter field copper cable removing"/>
    <d v="2025-12-16T00:00:00"/>
    <d v="2025-12-16T00:00:00"/>
    <d v="2025-12-16T00:00:00"/>
    <m/>
    <d v="1899-12-30T13:00:00"/>
    <d v="1899-12-30T16:30:00"/>
    <n v="3.5000000000000009"/>
    <x v="0"/>
    <m/>
  </r>
  <r>
    <s v="Electrical"/>
    <x v="12"/>
    <s v="Saqib"/>
    <x v="4"/>
    <s v="SM1002-276"/>
    <s v="Assemble"/>
    <d v="2025-12-15T00:00:00"/>
    <d v="2025-12-16T00:00:00"/>
    <d v="2025-12-16T00:00:00"/>
    <m/>
    <d v="1899-12-30T07:30:00"/>
    <d v="1899-12-30T16:30:00"/>
    <n v="9"/>
    <x v="0"/>
    <m/>
  </r>
  <r>
    <s v="Electrical"/>
    <x v="12"/>
    <s v="Gulam"/>
    <x v="1"/>
    <m/>
    <m/>
    <m/>
    <m/>
    <m/>
    <m/>
    <d v="1899-12-30T07:30:00"/>
    <d v="1899-12-30T16:30:00"/>
    <n v="9"/>
    <x v="1"/>
    <m/>
  </r>
  <r>
    <s v="Electrical"/>
    <x v="12"/>
    <s v="Cherith"/>
    <x v="8"/>
    <s v="FM-034/036"/>
    <s v="Flowmeter inspection &amp; PDI"/>
    <d v="2025-12-16T00:00:00"/>
    <d v="2025-12-16T00:00:00"/>
    <d v="2025-12-16T00:00:00"/>
    <m/>
    <d v="1899-12-30T10:00:00"/>
    <d v="1899-12-30T11:00:00"/>
    <n v="0.99999999999999911"/>
    <x v="0"/>
    <m/>
  </r>
  <r>
    <s v="Bay 6 -_x000a_Generator"/>
    <x v="12"/>
    <s v="Jagdev"/>
    <x v="2"/>
    <s v="HVMRZV925-003"/>
    <s v="All seal reapir, hydraulic pipe"/>
    <d v="2025-12-16T00:00:00"/>
    <d v="2025-12-16T00:00:00"/>
    <d v="2025-12-16T00:00:00"/>
    <m/>
    <d v="1899-12-30T07:30:00"/>
    <d v="1899-12-30T12:00:00"/>
    <n v="4.5"/>
    <x v="0"/>
    <m/>
  </r>
  <r>
    <s v="Bay 6 -_x000a_Generator"/>
    <x v="12"/>
    <s v="Jagdev"/>
    <x v="2"/>
    <s v="GEN150-021"/>
    <s v="Fuel pump &amp; injector fitting."/>
    <d v="2025-12-08T00:00:00"/>
    <d v="2025-12-16T00:00:00"/>
    <d v="2025-12-16T00:00:00"/>
    <m/>
    <d v="1899-12-30T12:00:00"/>
    <d v="1899-12-30T16:30:00"/>
    <n v="4.5"/>
    <x v="0"/>
    <m/>
  </r>
  <r>
    <s v="Bay 6 -_x000a_Generator"/>
    <x v="12"/>
    <s v="Suraj"/>
    <x v="10"/>
    <s v="BFT1-006"/>
    <s v="Fuel tank cleaning &amp; fitting fixing"/>
    <d v="2025-12-15T00:00:00"/>
    <d v="2025-12-16T00:00:00"/>
    <d v="2025-12-16T00:00:00"/>
    <m/>
    <d v="1899-12-30T07:30:00"/>
    <d v="1899-12-30T14:30:00"/>
    <n v="6.9999999999999991"/>
    <x v="0"/>
    <m/>
  </r>
  <r>
    <s v="Bay 6 -_x000a_Generator"/>
    <x v="12"/>
    <s v="Anwar"/>
    <x v="1"/>
    <s v="BFT1-015"/>
    <m/>
    <m/>
    <m/>
    <m/>
    <m/>
    <d v="1899-12-30T07:30:00"/>
    <d v="1899-12-30T14:30:00"/>
    <n v="6.9999999999999991"/>
    <x v="1"/>
    <m/>
  </r>
  <r>
    <s v="Bay 6 -_x000a_Generator"/>
    <x v="12"/>
    <s v="Suraj"/>
    <x v="2"/>
    <s v="GENJ30-079"/>
    <s v="General inspection &amp; load test"/>
    <d v="2025-12-13T00:00:00"/>
    <d v="2025-12-16T00:00:00"/>
    <d v="2025-12-16T00:00:00"/>
    <m/>
    <d v="1899-12-30T14:30:00"/>
    <d v="1899-12-30T16:30:00"/>
    <n v="2.0000000000000009"/>
    <x v="0"/>
    <m/>
  </r>
  <r>
    <s v="Bay 6 -_x000a_Generator"/>
    <x v="12"/>
    <s v="Anwar"/>
    <x v="1"/>
    <m/>
    <m/>
    <m/>
    <m/>
    <m/>
    <m/>
    <d v="1899-12-30T14:30:00"/>
    <d v="1899-12-30T16:30:00"/>
    <n v="2.0000000000000009"/>
    <x v="1"/>
    <m/>
  </r>
  <r>
    <s v="Bay 4&amp;5 - _x000a_Pumps"/>
    <x v="12"/>
    <s v="Asif"/>
    <x v="8"/>
    <s v="General work"/>
    <s v="General work"/>
    <d v="2025-12-16T00:00:00"/>
    <d v="2025-12-16T00:00:00"/>
    <d v="2025-12-16T00:00:00"/>
    <m/>
    <d v="1899-12-30T07:30:00"/>
    <d v="1899-12-30T16:30:00"/>
    <n v="9"/>
    <x v="0"/>
    <m/>
  </r>
  <r>
    <s v="Bay 4&amp;5 - _x000a_Pumps"/>
    <x v="12"/>
    <s v="Allah ditta"/>
    <x v="6"/>
    <s v="CD150M-004"/>
    <s v="installation on test bay, water test &amp; removing from test bay"/>
    <d v="2025-12-15T00:00:00"/>
    <d v="2025-12-25T00:00:00"/>
    <d v="2025-12-16T00:00:00"/>
    <m/>
    <d v="1899-12-30T07:30:00"/>
    <d v="1899-12-30T16:30:00"/>
    <n v="9"/>
    <x v="0"/>
    <m/>
  </r>
  <r>
    <s v="Bay 4&amp;5 - _x000a_Pumps"/>
    <x v="12"/>
    <s v="Martino"/>
    <x v="1"/>
    <m/>
    <m/>
    <m/>
    <m/>
    <m/>
    <m/>
    <d v="1899-12-30T07:30:00"/>
    <d v="1899-12-30T16:30:00"/>
    <n v="9"/>
    <x v="1"/>
    <m/>
  </r>
  <r>
    <s v="Bay 4&amp;5 - _x000a_Pumps"/>
    <x v="12"/>
    <s v="Jahir"/>
    <x v="6"/>
    <s v="CP1212-009"/>
    <s v="Pump end removing out from canopy"/>
    <d v="2025-12-15T00:00:00"/>
    <d v="2025-12-30T00:00:00"/>
    <d v="2025-12-16T00:00:00"/>
    <m/>
    <d v="1899-12-30T08:00:00"/>
    <d v="1899-12-30T17:00:00"/>
    <n v="9.0000000000000018"/>
    <x v="0"/>
    <m/>
  </r>
  <r>
    <s v="Bay 4&amp;5 - _x000a_Pumps"/>
    <x v="12"/>
    <s v="Vinod"/>
    <x v="1"/>
    <m/>
    <m/>
    <m/>
    <m/>
    <m/>
    <m/>
    <d v="1899-12-30T08:00:00"/>
    <d v="1899-12-30T17:00:00"/>
    <n v="9.0000000000000018"/>
    <x v="1"/>
    <m/>
  </r>
  <r>
    <s v="Bay 4&amp;5 - _x000a_Pumps"/>
    <x v="12"/>
    <s v="Suresh S"/>
    <x v="0"/>
    <s v="CP150X3"/>
    <s v="Final fitting, flowfinity, vaccum pump repair, "/>
    <d v="2025-12-15T00:00:00"/>
    <d v="2025-12-16T00:00:00"/>
    <d v="2025-12-16T00:00:00"/>
    <m/>
    <d v="1899-12-30T08:00:00"/>
    <d v="1899-12-30T17:00:00"/>
    <n v="9.0000000000000018"/>
    <x v="0"/>
    <m/>
  </r>
  <r>
    <s v="Bay 4&amp;5 - _x000a_Pumps"/>
    <x v="12"/>
    <s v="James"/>
    <x v="0"/>
    <s v="CP150-832"/>
    <s v="Water test &amp; float repair"/>
    <d v="2025-12-12T00:00:00"/>
    <d v="2025-12-16T00:00:00"/>
    <m/>
    <m/>
    <d v="1899-12-30T08:00:00"/>
    <d v="1899-12-30T19:00:00"/>
    <n v="11"/>
    <x v="2"/>
    <m/>
  </r>
  <r>
    <s v="Bay 4&amp;5 - _x000a_Pumps"/>
    <x v="12"/>
    <s v="Shaji"/>
    <x v="1"/>
    <m/>
    <m/>
    <m/>
    <m/>
    <m/>
    <m/>
    <d v="1899-12-30T08:30:00"/>
    <d v="1899-12-30T09:30:00"/>
    <n v="0.99999999999999911"/>
    <x v="1"/>
    <m/>
  </r>
  <r>
    <s v="Bay 4&amp;5 - _x000a_Pumps"/>
    <x v="12"/>
    <s v="Bharathesha"/>
    <x v="0"/>
    <s v="CP150-276"/>
    <s v="Engine preparing for assembling and assemb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09:30:00"/>
    <d v="1899-12-30T10:30:00"/>
    <n v="1.0000000000000004"/>
    <x v="1"/>
    <m/>
  </r>
  <r>
    <s v="Bay 4&amp;5 - _x000a_Pumps"/>
    <x v="12"/>
    <s v="Mintu"/>
    <x v="0"/>
    <s v="PT175-536"/>
    <s v="Engine assembling"/>
    <d v="2025-12-12T00:00:00"/>
    <d v="2025-12-16T00:00:00"/>
    <d v="2025-12-16T00:00:00"/>
    <m/>
    <d v="1899-12-30T08:00:00"/>
    <d v="1899-12-30T19:00:00"/>
    <n v="11"/>
    <x v="0"/>
    <m/>
  </r>
  <r>
    <s v="Bay 4&amp;5 - _x000a_Pumps"/>
    <x v="12"/>
    <s v="Shaji"/>
    <x v="1"/>
    <m/>
    <m/>
    <m/>
    <m/>
    <m/>
    <m/>
    <d v="1899-12-30T10:30:00"/>
    <d v="1899-12-30T11:00:00"/>
    <n v="0.49999999999999956"/>
    <x v="1"/>
    <m/>
  </r>
  <r>
    <s v="Bay 4&amp;5 - _x000a_Pumps"/>
    <x v="12"/>
    <s v="Harish"/>
    <x v="0"/>
    <s v="CP150-403"/>
    <s v="Pummp dismantl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11:00:00"/>
    <d v="1899-12-30T12:00:00"/>
    <n v="1.0000000000000004"/>
    <x v="1"/>
    <m/>
  </r>
  <r>
    <s v="Bay 4&amp;5 - _x000a_Pumps"/>
    <x v="12"/>
    <s v="Ismail"/>
    <x v="0"/>
    <s v="PT175-536"/>
    <s v="Pump dismantling"/>
    <d v="2025-12-13T00:00:00"/>
    <d v="2025-12-16T00:00:00"/>
    <d v="2025-12-16T00:00:00"/>
    <m/>
    <d v="1899-12-30T07:30:00"/>
    <d v="1899-12-30T18:30:00"/>
    <n v="11"/>
    <x v="0"/>
    <m/>
  </r>
  <r>
    <s v="Bay 4&amp;5 - _x000a_Pumps"/>
    <x v="12"/>
    <s v="Shaji"/>
    <x v="1"/>
    <m/>
    <m/>
    <m/>
    <m/>
    <m/>
    <m/>
    <d v="1899-12-30T10:30:00"/>
    <d v="1899-12-30T11:00:00"/>
    <n v="0.49999999999999956"/>
    <x v="1"/>
    <m/>
  </r>
  <r>
    <s v="Bay 4&amp;5 - _x000a_Pumps"/>
    <x v="12"/>
    <s v="Shaji"/>
    <x v="0"/>
    <s v="CP150-396"/>
    <s v="Electrical repair"/>
    <d v="2025-12-16T00:00:00"/>
    <d v="2025-12-16T00:00:00"/>
    <m/>
    <m/>
    <d v="1899-12-30T10:00:00"/>
    <d v="1899-12-30T12:00:00"/>
    <n v="1.9999999999999996"/>
    <x v="0"/>
    <m/>
  </r>
  <r>
    <s v="Electrical"/>
    <x v="13"/>
    <s v="Fahad"/>
    <x v="3"/>
    <s v="SPB75-004"/>
    <s v="PLC replacement, test &amp; PDI"/>
    <d v="2025-12-17T00:00:00"/>
    <d v="2025-12-17T00:00:00"/>
    <d v="2025-12-17T00:00:00"/>
    <m/>
    <d v="1899-12-30T08:00:00"/>
    <d v="1899-12-30T12:00:00"/>
    <n v="4"/>
    <x v="0"/>
    <m/>
  </r>
  <r>
    <s v="Electrical"/>
    <x v="13"/>
    <s v="Fahad"/>
    <x v="3"/>
    <s v="DB-287"/>
    <s v="Inspection &amp; repair"/>
    <d v="2025-12-17T00:00:00"/>
    <d v="2025-12-17T00:00:00"/>
    <d v="2025-12-17T00:00:00"/>
    <m/>
    <d v="1899-12-30T13:00:00"/>
    <d v="1899-12-30T17:00:00"/>
    <n v="4.0000000000000018"/>
    <x v="0"/>
    <m/>
  </r>
  <r>
    <s v="Electrical"/>
    <x v="13"/>
    <s v="Lijo"/>
    <x v="3"/>
    <s v="SPB3.7-181/182"/>
    <s v="Stand fixing"/>
    <d v="2025-12-17T00:00:00"/>
    <d v="2025-12-17T00:00:00"/>
    <d v="2025-12-17T00:00:00"/>
    <m/>
    <d v="1899-12-30T08:00:00"/>
    <d v="1899-12-30T17:00:00"/>
    <n v="9.0000000000000018"/>
    <x v="0"/>
    <m/>
  </r>
  <r>
    <s v="Electrical"/>
    <x v="13"/>
    <s v="Shahanawaz"/>
    <x v="3"/>
    <s v="SPB3.7-181/182"/>
    <s v="Stand fixing"/>
    <d v="2025-12-17T00:00:00"/>
    <d v="2025-12-17T00:00:00"/>
    <d v="2025-12-17T00:00:00"/>
    <m/>
    <d v="1899-12-30T07:30:00"/>
    <d v="1899-12-30T16:30:00"/>
    <n v="9"/>
    <x v="0"/>
    <m/>
  </r>
  <r>
    <s v="Electrical"/>
    <x v="13"/>
    <s v="Aman"/>
    <x v="3"/>
    <s v="SMSP3-022"/>
    <s v="Inspection &amp; reapir"/>
    <d v="2025-12-16T00:00:00"/>
    <d v="2025-12-18T00:00:00"/>
    <d v="2025-12-17T00:00:00"/>
    <m/>
    <d v="1899-12-30T07:30:00"/>
    <d v="1899-12-30T17:00:00"/>
    <n v="9.5"/>
    <x v="0"/>
    <m/>
  </r>
  <r>
    <s v="Electrical"/>
    <x v="13"/>
    <s v="Venu"/>
    <x v="1"/>
    <m/>
    <m/>
    <m/>
    <m/>
    <m/>
    <m/>
    <d v="1899-12-30T07:30:00"/>
    <d v="1899-12-30T17:00:00"/>
    <n v="9.5"/>
    <x v="1"/>
    <m/>
  </r>
  <r>
    <s v="Electrical"/>
    <x v="13"/>
    <s v="Cherith"/>
    <x v="2"/>
    <s v="GEN135-013"/>
    <s v="Inspection &amp; assemble"/>
    <d v="2025-12-17T00:00:00"/>
    <d v="2025-12-17T00:00:00"/>
    <m/>
    <m/>
    <d v="1899-12-30T07:30:00"/>
    <d v="1899-12-30T16:30:00"/>
    <n v="9"/>
    <x v="2"/>
    <m/>
  </r>
  <r>
    <s v="Electrical"/>
    <x v="13"/>
    <s v="Faisal"/>
    <x v="1"/>
    <m/>
    <m/>
    <m/>
    <m/>
    <m/>
    <m/>
    <d v="1899-12-30T07:30:00"/>
    <d v="1899-12-30T16:30:00"/>
    <n v="9"/>
    <x v="1"/>
    <m/>
  </r>
  <r>
    <s v="Electrical"/>
    <x v="13"/>
    <s v="Gihan"/>
    <x v="2"/>
    <s v="GENJ150-058"/>
    <s v="Exciter field rewinding"/>
    <d v="2025-12-17T00:00:00"/>
    <d v="2025-12-19T00:00:00"/>
    <m/>
    <m/>
    <d v="1899-12-30T07:30:00"/>
    <d v="1899-12-30T16:30:00"/>
    <n v="9"/>
    <x v="2"/>
    <m/>
  </r>
  <r>
    <s v="Electrical"/>
    <x v="13"/>
    <s v="Saqib"/>
    <x v="4"/>
    <s v="SM1002-179"/>
    <s v="Pump dismantle"/>
    <d v="2025-12-17T00:00:00"/>
    <d v="2025-12-18T00:00:00"/>
    <m/>
    <m/>
    <d v="1899-12-30T07:30:00"/>
    <d v="1899-12-30T16:30:00"/>
    <n v="9"/>
    <x v="2"/>
    <m/>
  </r>
  <r>
    <s v="Electrical"/>
    <x v="13"/>
    <s v="Gulam"/>
    <x v="1"/>
    <m/>
    <m/>
    <m/>
    <m/>
    <m/>
    <m/>
    <d v="1899-12-30T07:30:00"/>
    <d v="1899-12-30T16:30:00"/>
    <n v="9"/>
    <x v="1"/>
    <m/>
  </r>
  <r>
    <s v="Electrical"/>
    <x v="13"/>
    <s v="Suhaib"/>
    <x v="3"/>
    <s v="New 5.5kw pump"/>
    <s v="5nos BH pumps inspection, fleet number socket"/>
    <d v="2025-12-17T00:00:00"/>
    <d v="2025-12-17T00:00:00"/>
    <d v="2025-12-17T00:00:00"/>
    <m/>
    <d v="1899-12-30T08:00:00"/>
    <d v="1899-12-30T12:00:00"/>
    <n v="4"/>
    <x v="0"/>
    <m/>
  </r>
  <r>
    <s v="Electrical"/>
    <x v="13"/>
    <s v="Suhaib"/>
    <x v="3"/>
    <s v="New 2.2kw pump"/>
    <s v="12nos BH pumps inspection, fleet number socket"/>
    <d v="2025-12-17T00:00:00"/>
    <d v="2025-12-17T00:00:00"/>
    <m/>
    <m/>
    <d v="1899-12-30T13:00:00"/>
    <d v="1899-12-30T16:30:00"/>
    <n v="3.5000000000000009"/>
    <x v="2"/>
    <m/>
  </r>
  <r>
    <s v="Bay 6 -_x000a_Generator"/>
    <x v="13"/>
    <s v="Suraj"/>
    <x v="2"/>
    <s v="GEN20-002"/>
    <s v="Load test &amp; final fitting"/>
    <d v="2025-11-26T00:00:00"/>
    <d v="2025-12-17T00:00:00"/>
    <d v="2025-12-17T00:00:00"/>
    <m/>
    <d v="1899-12-30T07:30:00"/>
    <d v="1899-12-30T09:30:00"/>
    <n v="1.9999999999999996"/>
    <x v="0"/>
    <m/>
  </r>
  <r>
    <s v="Bay 6 -_x000a_Generator"/>
    <x v="13"/>
    <s v="Jagdev"/>
    <x v="10"/>
    <s v="BFT334/339/343/344"/>
    <s v="Tank cap removing, suction return fitting &amp; hose fixing"/>
    <d v="2025-12-17T00:00:00"/>
    <d v="2025-12-17T00:00:00"/>
    <d v="2025-12-17T00:00:00"/>
    <m/>
    <d v="1899-12-30T12:00:00"/>
    <d v="1899-12-30T16:30:00"/>
    <n v="4.5"/>
    <x v="0"/>
    <m/>
  </r>
  <r>
    <s v="Bay 6 -_x000a_Generator"/>
    <x v="13"/>
    <s v="Suraj"/>
    <x v="1"/>
    <m/>
    <m/>
    <m/>
    <m/>
    <m/>
    <m/>
    <d v="1899-12-30T09:30:00"/>
    <d v="1899-12-30T14:30:00"/>
    <n v="5"/>
    <x v="1"/>
    <m/>
  </r>
  <r>
    <s v="Bay 6 -_x000a_Generator"/>
    <x v="13"/>
    <s v="Anwar"/>
    <x v="1"/>
    <m/>
    <m/>
    <m/>
    <m/>
    <m/>
    <m/>
    <d v="1899-12-30T07:30:00"/>
    <d v="1899-12-30T14:30:00"/>
    <n v="6.9999999999999991"/>
    <x v="1"/>
    <m/>
  </r>
  <r>
    <s v="Bay 4&amp;5 - _x000a_Pumps"/>
    <x v="13"/>
    <s v="Asif"/>
    <x v="8"/>
    <s v="General work"/>
    <s v="General work"/>
    <d v="2025-12-17T00:00:00"/>
    <d v="2025-12-17T00:00:00"/>
    <m/>
    <m/>
    <d v="1899-12-30T07:30:00"/>
    <d v="1899-12-30T16:30:00"/>
    <n v="9"/>
    <x v="0"/>
    <m/>
  </r>
  <r>
    <s v="Bay 4&amp;5 - _x000a_Pumps"/>
    <x v="13"/>
    <s v="Allah ditta"/>
    <x v="6"/>
    <s v="HL130M-10"/>
    <s v="NRV installation, fan guard installation on test bay"/>
    <d v="2025-12-17T00:00:00"/>
    <d v="2025-12-25T00:00:00"/>
    <m/>
    <m/>
    <d v="1899-12-30T07:30:00"/>
    <d v="1899-12-30T16:30:00"/>
    <n v="9"/>
    <x v="2"/>
    <m/>
  </r>
  <r>
    <s v="Bay 4&amp;5 - _x000a_Pumps"/>
    <x v="13"/>
    <s v="Martino"/>
    <x v="1"/>
    <m/>
    <m/>
    <m/>
    <m/>
    <m/>
    <m/>
    <d v="1899-12-30T07:30:00"/>
    <d v="1899-12-30T16:30:00"/>
    <n v="9"/>
    <x v="1"/>
    <m/>
  </r>
  <r>
    <s v="Bay 4&amp;5 - _x000a_Pumps"/>
    <x v="13"/>
    <s v="Jahir"/>
    <x v="6"/>
    <s v="CP1212-009"/>
    <s v="engine removing out from canopy"/>
    <d v="2025-12-15T00:00:00"/>
    <d v="2025-12-30T00:00:00"/>
    <d v="2025-12-30T00:00:00"/>
    <m/>
    <d v="1899-12-30T08:00:00"/>
    <d v="1899-12-30T17:00:00"/>
    <n v="9.0000000000000018"/>
    <x v="0"/>
    <m/>
  </r>
  <r>
    <s v="Bay 4&amp;5 - _x000a_Pumps"/>
    <x v="13"/>
    <s v="Vinod"/>
    <x v="1"/>
    <m/>
    <m/>
    <m/>
    <m/>
    <m/>
    <m/>
    <d v="1899-12-30T08:00:00"/>
    <d v="1899-12-30T17:00:00"/>
    <n v="9.0000000000000018"/>
    <x v="1"/>
    <m/>
  </r>
  <r>
    <s v="Bay 4&amp;5 - _x000a_Pumps"/>
    <x v="13"/>
    <s v="Suresh S"/>
    <x v="0"/>
    <s v="DIP pump"/>
    <s v="Engine &amp; pump repair"/>
    <d v="2025-12-17T00:00:00"/>
    <d v="2025-12-17T00:00:00"/>
    <m/>
    <m/>
    <d v="1899-12-30T08:00:00"/>
    <d v="1899-12-30T17:00:00"/>
    <n v="9.0000000000000018"/>
    <x v="0"/>
    <m/>
  </r>
  <r>
    <s v="Bay 4&amp;5 - _x000a_Pumps"/>
    <x v="13"/>
    <s v="Bharathesha"/>
    <x v="0"/>
    <s v="CP150-276"/>
    <s v="Engine assembling pump prepare for assembling"/>
    <d v="2025-12-13T00:00:00"/>
    <d v="2025-12-17T00:00:00"/>
    <m/>
    <m/>
    <d v="1899-12-30T07:30:00"/>
    <d v="1899-12-30T18:30:00"/>
    <n v="11"/>
    <x v="2"/>
    <m/>
  </r>
  <r>
    <s v="Bay 4&amp;5 - _x000a_Pumps"/>
    <x v="13"/>
    <s v="Shaji"/>
    <x v="1"/>
    <m/>
    <m/>
    <m/>
    <m/>
    <m/>
    <m/>
    <d v="1899-12-30T09:30:00"/>
    <d v="1899-12-30T10:30:00"/>
    <n v="1.0000000000000004"/>
    <x v="1"/>
    <m/>
  </r>
  <r>
    <s v="Bay 4&amp;5 - _x000a_Pumps"/>
    <x v="13"/>
    <s v="Mintu"/>
    <x v="0"/>
    <s v="PT175-536"/>
    <s v="Engine assembling ongoing"/>
    <d v="2025-12-12T00:00:00"/>
    <d v="2025-12-17T00:00:00"/>
    <d v="2025-12-17T00:00:00"/>
    <m/>
    <d v="1899-12-30T08:00:00"/>
    <d v="1899-12-30T19:00:00"/>
    <n v="11"/>
    <x v="0"/>
    <m/>
  </r>
  <r>
    <s v="Bay 4&amp;5 - _x000a_Pumps"/>
    <x v="13"/>
    <s v="Shaji"/>
    <x v="1"/>
    <m/>
    <m/>
    <m/>
    <m/>
    <m/>
    <m/>
    <d v="1899-12-30T10:30:00"/>
    <d v="1899-12-30T11:00:00"/>
    <n v="0.49999999999999956"/>
    <x v="1"/>
    <m/>
  </r>
  <r>
    <s v="Bay 4&amp;5 - _x000a_Pumps"/>
    <x v="13"/>
    <s v="Harish"/>
    <x v="0"/>
    <s v="CP150-403"/>
    <s v="Pummp pump assembling"/>
    <d v="2025-12-15T00:00:00"/>
    <d v="2025-12-17T00:00:00"/>
    <d v="2025-12-17T00:00:00"/>
    <m/>
    <d v="1899-12-30T07:30:00"/>
    <d v="1899-12-30T18:30:00"/>
    <n v="11"/>
    <x v="0"/>
    <m/>
  </r>
  <r>
    <s v="Bay 4&amp;5 - _x000a_Pumps"/>
    <x v="13"/>
    <s v="Shaji"/>
    <x v="1"/>
    <m/>
    <m/>
    <m/>
    <m/>
    <m/>
    <m/>
    <d v="1899-12-30T11:00:00"/>
    <d v="1899-12-30T12:00:00"/>
    <n v="1.0000000000000004"/>
    <x v="1"/>
    <m/>
  </r>
  <r>
    <s v="Bay 4&amp;5 - _x000a_Pumps"/>
    <x v="13"/>
    <s v="Harish"/>
    <x v="0"/>
    <s v="CP150-836"/>
    <s v="Pump assembling waiting for machine job"/>
    <d v="2025-12-13T00:00:00"/>
    <d v="2025-12-17T00:00:00"/>
    <m/>
    <m/>
    <d v="1899-12-30T07:30:00"/>
    <d v="1899-12-30T12:30:00"/>
    <n v="5.0000000000000009"/>
    <x v="3"/>
    <m/>
  </r>
  <r>
    <s v="Bay 4&amp;5 - _x000a_Pumps"/>
    <x v="13"/>
    <s v="Ismail"/>
    <x v="0"/>
    <s v="PT175-536"/>
    <s v="Pump prepare for assembling"/>
    <d v="2025-12-13T00:00:00"/>
    <d v="2025-12-17T00:00:00"/>
    <m/>
    <m/>
    <d v="1899-12-30T07:30:00"/>
    <d v="1899-12-30T18:30:00"/>
    <n v="11"/>
    <x v="3"/>
    <m/>
  </r>
  <r>
    <s v="Bay 4&amp;5 - _x000a_Pumps"/>
    <x v="13"/>
    <s v="Shaji"/>
    <x v="1"/>
    <m/>
    <m/>
    <m/>
    <m/>
    <m/>
    <m/>
    <d v="1899-12-30T10:30:00"/>
    <d v="1899-12-30T11:00:00"/>
    <n v="0.49999999999999956"/>
    <x v="1"/>
    <m/>
  </r>
  <r>
    <s v="Bay 4&amp;5 - _x000a_Pumps"/>
    <x v="13"/>
    <s v="Shaji"/>
    <x v="0"/>
    <s v="CP150X3"/>
    <s v="Tested"/>
    <d v="2025-12-17T00:00:00"/>
    <d v="2025-12-17T00:00:00"/>
    <d v="2025-12-17T00:00:00"/>
    <m/>
    <d v="1899-12-30T10:00:00"/>
    <d v="1899-12-30T12:00:00"/>
    <n v="1.9999999999999996"/>
    <x v="0"/>
    <m/>
  </r>
  <r>
    <s v="Electrical"/>
    <x v="14"/>
    <s v="Fahad"/>
    <x v="3"/>
    <s v="SPB3.7-180/181/182"/>
    <s v="Test &amp; PDI, dispatching"/>
    <d v="2025-12-18T00:00:00"/>
    <d v="2025-12-18T00:00:00"/>
    <m/>
    <m/>
    <d v="1899-12-30T08:00:00"/>
    <d v="1899-12-30T12:00:00"/>
    <n v="4"/>
    <x v="3"/>
    <m/>
  </r>
  <r>
    <s v="Electrical"/>
    <x v="14"/>
    <s v="Fahad"/>
    <x v="3"/>
    <s v="SPB95-001"/>
    <s v="Test &amp; PDI with load"/>
    <d v="2025-12-18T00:00:00"/>
    <d v="2025-12-18T00:00:00"/>
    <d v="2025-12-18T00:00:00"/>
    <m/>
    <d v="1899-12-30T13:00:00"/>
    <d v="1899-12-30T17:00:00"/>
    <n v="4.0000000000000018"/>
    <x v="0"/>
    <m/>
  </r>
  <r>
    <s v="Electrical"/>
    <x v="14"/>
    <s v="Lijo"/>
    <x v="3"/>
    <s v="SPB3.7-183/184"/>
    <s v="Stand fixing"/>
    <d v="2025-12-18T00:00:00"/>
    <d v="2025-12-18T00:00:00"/>
    <d v="2025-12-18T00:00:00"/>
    <m/>
    <d v="1899-12-30T08:00:00"/>
    <d v="1899-12-30T17:00:00"/>
    <n v="9.0000000000000018"/>
    <x v="0"/>
    <m/>
  </r>
  <r>
    <s v="Electrical"/>
    <x v="14"/>
    <s v="Shahanawaz"/>
    <x v="3"/>
    <s v="SPB3.7-183/184"/>
    <s v="Stand fixing"/>
    <d v="2025-12-18T00:00:00"/>
    <d v="2025-12-18T00:00:00"/>
    <d v="2025-12-18T00:00:00"/>
    <m/>
    <d v="1899-12-30T07:30:00"/>
    <d v="1899-12-30T16:30:00"/>
    <n v="9"/>
    <x v="0"/>
    <m/>
  </r>
  <r>
    <s v="Electrical"/>
    <x v="14"/>
    <s v="Aman"/>
    <x v="3"/>
    <s v="SMSP3-022"/>
    <s v="95kw pump water testing"/>
    <d v="2025-12-18T00:00:00"/>
    <d v="2025-12-18T00:00:00"/>
    <d v="2025-12-18T00:00:00"/>
    <m/>
    <d v="1899-12-30T07:30:00"/>
    <d v="1899-12-30T12:00:00"/>
    <n v="4.5"/>
    <x v="0"/>
    <m/>
  </r>
  <r>
    <s v="Electrical"/>
    <x v="14"/>
    <s v="Venu"/>
    <x v="1"/>
    <m/>
    <m/>
    <m/>
    <m/>
    <m/>
    <m/>
    <d v="1899-12-30T07:30:00"/>
    <d v="1899-12-30T12:00:00"/>
    <n v="4.5"/>
    <x v="1"/>
    <m/>
  </r>
  <r>
    <s v="Electrical"/>
    <x v="14"/>
    <s v="Gulam"/>
    <x v="1"/>
    <m/>
    <m/>
    <m/>
    <m/>
    <m/>
    <m/>
    <d v="1899-12-30T07:30:00"/>
    <d v="1899-12-30T12:00:00"/>
    <n v="4.5"/>
    <x v="1"/>
    <m/>
  </r>
  <r>
    <s v="Electrical"/>
    <x v="14"/>
    <s v="Cherith"/>
    <x v="2"/>
    <s v="GEN135-013"/>
    <s v="Inspection &amp; assemble"/>
    <d v="2025-12-17T00:00:00"/>
    <d v="2025-12-18T00:00:00"/>
    <d v="2025-12-18T00:00:00"/>
    <m/>
    <d v="1899-12-30T07:30:00"/>
    <d v="1899-12-30T12:00:00"/>
    <n v="4.5"/>
    <x v="0"/>
    <m/>
  </r>
  <r>
    <s v="Electrical"/>
    <x v="14"/>
    <s v="Faisal"/>
    <x v="1"/>
    <m/>
    <m/>
    <m/>
    <m/>
    <m/>
    <m/>
    <d v="1899-12-30T07:30:00"/>
    <d v="1899-12-30T12:00:00"/>
    <n v="4.5"/>
    <x v="1"/>
    <m/>
  </r>
  <r>
    <s v="Electrical"/>
    <x v="14"/>
    <s v="Gihan"/>
    <x v="2"/>
    <s v="GENJ150-058"/>
    <s v="Exciter field rewinding"/>
    <d v="2025-12-17T00:00:00"/>
    <d v="2025-12-18T00:00:00"/>
    <d v="2025-12-18T00:00:00"/>
    <m/>
    <d v="1899-12-30T07:30:00"/>
    <d v="1899-12-30T12:00:00"/>
    <n v="4.5"/>
    <x v="0"/>
    <m/>
  </r>
  <r>
    <s v="Electrical"/>
    <x v="14"/>
    <s v="Saqib"/>
    <x v="3"/>
    <s v="SM1002-058"/>
    <s v="Rotor repair &amp; assembling"/>
    <d v="2025-12-17T00:00:00"/>
    <d v="2025-12-18T00:00:00"/>
    <m/>
    <m/>
    <d v="1899-12-30T07:30:00"/>
    <d v="1899-12-30T16:30:00"/>
    <n v="9"/>
    <x v="2"/>
    <m/>
  </r>
  <r>
    <s v="Electrical"/>
    <x v="14"/>
    <s v="Suhaib"/>
    <x v="3"/>
    <s v="New 2.2kw pump"/>
    <s v="12nos BH pumps inspection, fleet number socket"/>
    <d v="2025-12-17T00:00:00"/>
    <d v="2025-12-18T00:00:00"/>
    <m/>
    <m/>
    <d v="1899-12-30T08:00:00"/>
    <d v="1899-12-30T12:00:00"/>
    <n v="4"/>
    <x v="2"/>
    <m/>
  </r>
  <r>
    <s v="Electrical"/>
    <x v="14"/>
    <s v="Venu"/>
    <x v="3"/>
    <s v="SM1002-276"/>
    <s v="37kw pump water testing"/>
    <d v="2025-12-18T00:00:00"/>
    <d v="2025-12-18T00:00:00"/>
    <m/>
    <m/>
    <d v="1899-12-30T13:00:00"/>
    <d v="1899-12-30T15:00:00"/>
    <n v="2.0000000000000009"/>
    <x v="2"/>
    <m/>
  </r>
  <r>
    <s v="Electrical"/>
    <x v="14"/>
    <s v="Gulam"/>
    <x v="1"/>
    <m/>
    <m/>
    <m/>
    <m/>
    <m/>
    <m/>
    <d v="1899-12-30T13:00:00"/>
    <d v="1899-12-30T15:00:00"/>
    <n v="2.0000000000000009"/>
    <x v="1"/>
    <m/>
  </r>
  <r>
    <s v="Electrical"/>
    <x v="14"/>
    <s v="Gihan"/>
    <x v="2"/>
    <s v="GEN60-041"/>
    <s v="Ac alternator, copper winding removing"/>
    <d v="2025-12-18T00:00:00"/>
    <d v="2025-12-18T00:00:00"/>
    <m/>
    <m/>
    <d v="1899-12-30T13:00:00"/>
    <d v="1899-12-30T16:30:00"/>
    <n v="3.5000000000000009"/>
    <x v="2"/>
    <m/>
  </r>
  <r>
    <s v="Electrical"/>
    <x v="14"/>
    <s v="Aman"/>
    <x v="1"/>
    <m/>
    <m/>
    <m/>
    <m/>
    <m/>
    <m/>
    <d v="1899-12-30T13:00:00"/>
    <d v="1899-12-30T16:30:00"/>
    <n v="3.5000000000000009"/>
    <x v="1"/>
    <m/>
  </r>
  <r>
    <s v="Electrical"/>
    <x v="14"/>
    <s v="Cherith"/>
    <x v="2"/>
    <s v="GEN45-005"/>
    <s v="Inspection &amp; assemble"/>
    <d v="2025-12-18T00:00:00"/>
    <d v="2025-12-18T00:00:00"/>
    <m/>
    <m/>
    <d v="1899-12-30T13:00:00"/>
    <d v="1899-12-30T16:30:00"/>
    <n v="3.5000000000000009"/>
    <x v="2"/>
    <m/>
  </r>
  <r>
    <s v="Electrical"/>
    <x v="14"/>
    <s v="Faisal"/>
    <x v="1"/>
    <m/>
    <m/>
    <m/>
    <m/>
    <m/>
    <m/>
    <d v="1899-12-30T13:00:00"/>
    <d v="1899-12-30T16:30:00"/>
    <n v="3.5000000000000009"/>
    <x v="1"/>
    <m/>
  </r>
  <r>
    <s v="Bay 6 -_x000a_Generator"/>
    <x v="14"/>
    <s v="Suraj"/>
    <x v="2"/>
    <s v="GEN20-002"/>
    <s v="Load test &amp; final fitting"/>
    <d v="2025-11-26T00:00:00"/>
    <d v="2025-12-17T00:00:00"/>
    <m/>
    <m/>
    <d v="1899-12-30T07:30:00"/>
    <d v="1899-12-30T09:30:00"/>
    <n v="1.9999999999999996"/>
    <x v="2"/>
    <m/>
  </r>
  <r>
    <s v="Bay 6 -_x000a_Generator"/>
    <x v="14"/>
    <s v="Jagdev"/>
    <x v="10"/>
    <s v="BFT334/321/326/327/335"/>
    <s v="Main cover removing, suction return fitting &amp; hose fixing"/>
    <d v="2025-12-18T00:00:00"/>
    <d v="2025-12-18T00:00:00"/>
    <d v="2025-12-18T00:00:00"/>
    <m/>
    <d v="1899-12-30T07:30:00"/>
    <d v="1899-12-30T16:30:00"/>
    <n v="9"/>
    <x v="0"/>
    <m/>
  </r>
  <r>
    <s v="Bay 6 -_x000a_Generator"/>
    <x v="14"/>
    <s v="Suraj"/>
    <x v="1"/>
    <m/>
    <m/>
    <m/>
    <m/>
    <m/>
    <m/>
    <d v="1899-12-30T07:30:00"/>
    <d v="1899-12-30T16:30:00"/>
    <n v="9"/>
    <x v="1"/>
    <m/>
  </r>
  <r>
    <s v="Bay 6 -_x000a_Generator"/>
    <x v="14"/>
    <s v="Anwar"/>
    <x v="1"/>
    <m/>
    <m/>
    <m/>
    <m/>
    <m/>
    <m/>
    <d v="1899-12-30T07:30:00"/>
    <d v="1899-12-30T16:30:00"/>
    <n v="9"/>
    <x v="1"/>
    <m/>
  </r>
  <r>
    <s v="Bay 4&amp;5 - _x000a_Pumps"/>
    <x v="14"/>
    <s v="Jahir"/>
    <x v="6"/>
    <s v="HL130M-10"/>
    <s v="Water &amp; Vaccum test"/>
    <d v="2025-12-18T00:00:00"/>
    <d v="2025-12-25T00:00:00"/>
    <m/>
    <m/>
    <d v="1899-12-30T08:00:00"/>
    <d v="1899-12-30T15:00:00"/>
    <n v="7"/>
    <x v="2"/>
    <m/>
  </r>
  <r>
    <s v="Bay 4&amp;5 - _x000a_Pumps"/>
    <x v="14"/>
    <s v="Vinod"/>
    <x v="1"/>
    <m/>
    <m/>
    <m/>
    <m/>
    <m/>
    <m/>
    <d v="1899-12-30T08:00:00"/>
    <d v="1899-12-30T15:00:00"/>
    <n v="7"/>
    <x v="1"/>
    <m/>
  </r>
  <r>
    <s v="Bay 4&amp;5 - _x000a_Pumps"/>
    <x v="14"/>
    <s v="Jahir"/>
    <x v="6"/>
    <s v="CD150M-004"/>
    <s v="Final fitting, PDI, flowfinity"/>
    <d v="2025-12-18T00:00:00"/>
    <d v="2025-12-18T00:00:00"/>
    <m/>
    <m/>
    <d v="1899-12-30T15:00:00"/>
    <d v="1899-12-30T17:00:00"/>
    <n v="2.0000000000000009"/>
    <x v="2"/>
    <m/>
  </r>
  <r>
    <s v="Bay 4&amp;5 - _x000a_Pumps"/>
    <x v="14"/>
    <s v="Vinod"/>
    <x v="1"/>
    <m/>
    <m/>
    <m/>
    <m/>
    <m/>
    <m/>
    <d v="1899-12-30T15:00:00"/>
    <d v="1899-12-30T17:00:00"/>
    <n v="2.0000000000000009"/>
    <x v="1"/>
    <m/>
  </r>
  <r>
    <s v="Bay 4&amp;5 - _x000a_Pumps"/>
    <x v="14"/>
    <s v="Suresh S"/>
    <x v="0"/>
    <s v="DIP pump 3rd party"/>
    <s v="Engine prepapre for assembling, "/>
    <d v="2025-12-17T00:00:00"/>
    <d v="2025-12-18T00:00:00"/>
    <m/>
    <m/>
    <d v="1899-12-30T08:00:00"/>
    <d v="1899-12-30T12:00:00"/>
    <n v="4"/>
    <x v="0"/>
    <m/>
  </r>
  <r>
    <s v="Bay 4&amp;5 - _x000a_Pumps"/>
    <x v="14"/>
    <s v="Suresh S"/>
    <x v="0"/>
    <s v="CP150X2"/>
    <s v="vaccum pump"/>
    <d v="2025-12-18T00:00:00"/>
    <d v="2025-12-18T00:00:00"/>
    <m/>
    <m/>
    <d v="1899-12-30T13:00:00"/>
    <d v="1899-12-30T19:00:00"/>
    <n v="6"/>
    <x v="0"/>
    <m/>
  </r>
  <r>
    <s v="Bay 4&amp;5 - _x000a_Pumps"/>
    <x v="14"/>
    <s v="Bharathesha"/>
    <x v="0"/>
    <s v="CP150-090"/>
    <s v="Pump repair"/>
    <d v="2025-12-18T00:00:00"/>
    <d v="2025-12-18T00:00:00"/>
    <m/>
    <m/>
    <d v="1899-12-30T12:30:00"/>
    <d v="1899-12-30T18:30:00"/>
    <n v="6"/>
    <x v="0"/>
    <m/>
  </r>
  <r>
    <s v="Bay 4&amp;5 - _x000a_Pumps"/>
    <x v="14"/>
    <s v="Shaji"/>
    <x v="1"/>
    <m/>
    <m/>
    <m/>
    <m/>
    <m/>
    <m/>
    <d v="1899-12-30T09:30:00"/>
    <d v="1899-12-30T10:30:00"/>
    <n v="1.0000000000000004"/>
    <x v="1"/>
    <m/>
  </r>
  <r>
    <s v="Bay 4&amp;5 - _x000a_Pumps"/>
    <x v="14"/>
    <s v="Bharathesha"/>
    <x v="0"/>
    <s v="CP150-276"/>
    <s v="Engine assmebling"/>
    <d v="2025-12-16T00:00:00"/>
    <d v="2025-12-18T00:00:00"/>
    <m/>
    <m/>
    <d v="1899-12-30T07:30:00"/>
    <d v="1899-12-30T12:30:00"/>
    <n v="5.0000000000000009"/>
    <x v="0"/>
    <m/>
  </r>
  <r>
    <s v="Bay 4&amp;5 - _x000a_Pumps"/>
    <x v="14"/>
    <s v="Mintu"/>
    <x v="0"/>
    <s v="PT175-520"/>
    <s v="Engine repair"/>
    <d v="2025-12-12T00:00:00"/>
    <d v="2025-12-18T00:00:00"/>
    <m/>
    <m/>
    <d v="1899-12-30T08:00:00"/>
    <d v="1899-12-30T19:00:00"/>
    <n v="11"/>
    <x v="2"/>
    <m/>
  </r>
  <r>
    <s v="Bay 4&amp;5 - _x000a_Pumps"/>
    <x v="14"/>
    <s v="Shaji"/>
    <x v="1"/>
    <m/>
    <m/>
    <m/>
    <m/>
    <m/>
    <m/>
    <d v="1899-12-30T10:30:00"/>
    <d v="1899-12-30T11:00:00"/>
    <n v="0.49999999999999956"/>
    <x v="1"/>
    <m/>
  </r>
  <r>
    <s v="Bay 4&amp;5 - _x000a_Pumps"/>
    <x v="14"/>
    <s v="Harish"/>
    <x v="0"/>
    <s v="CP150-403"/>
    <s v="Pump &amp; engine repair, water test"/>
    <d v="2025-12-15T00:00:00"/>
    <d v="2025-12-18T00:00:00"/>
    <m/>
    <m/>
    <d v="1899-12-30T07:30:00"/>
    <d v="1899-12-30T11:30:00"/>
    <n v="4"/>
    <x v="2"/>
    <m/>
  </r>
  <r>
    <s v="Bay 4&amp;5 - _x000a_Pumps"/>
    <x v="14"/>
    <s v="Shaji"/>
    <x v="1"/>
    <m/>
    <m/>
    <m/>
    <m/>
    <m/>
    <m/>
    <d v="1899-12-30T11:00:00"/>
    <d v="1899-12-30T12:00:00"/>
    <n v="1.0000000000000004"/>
    <x v="1"/>
    <m/>
  </r>
  <r>
    <s v="Bay 4&amp;5 - _x000a_Pumps"/>
    <x v="14"/>
    <s v="Harish"/>
    <x v="0"/>
    <s v="CP150-836"/>
    <s v="Pump assembling waiting for machine job"/>
    <d v="2025-12-13T00:00:00"/>
    <d v="2025-12-18T00:00:00"/>
    <m/>
    <m/>
    <d v="1899-12-30T07:30:00"/>
    <d v="1899-12-30T12:30:00"/>
    <n v="5.0000000000000009"/>
    <x v="3"/>
    <m/>
  </r>
  <r>
    <s v="Bay 4&amp;5 - _x000a_Pumps"/>
    <x v="14"/>
    <s v="Ismail"/>
    <x v="0"/>
    <s v="PT175-536"/>
    <s v="Pump prepare for assembling"/>
    <d v="2025-12-13T00:00:00"/>
    <d v="2025-12-17T00:00:00"/>
    <m/>
    <m/>
    <d v="1899-12-30T07:30:00"/>
    <d v="1899-12-30T18:30:00"/>
    <n v="11"/>
    <x v="3"/>
    <m/>
  </r>
  <r>
    <s v="Bay 4&amp;5 - _x000a_Pumps"/>
    <x v="14"/>
    <s v="Shaji"/>
    <x v="1"/>
    <m/>
    <m/>
    <m/>
    <m/>
    <m/>
    <m/>
    <d v="1899-12-30T10:30:00"/>
    <d v="1899-12-30T11:00:00"/>
    <n v="0.49999999999999956"/>
    <x v="1"/>
    <m/>
  </r>
  <r>
    <s v="Bay 4&amp;5 - _x000a_Pumps"/>
    <x v="14"/>
    <s v="Shaji"/>
    <x v="8"/>
    <s v="General work"/>
    <s v="MCS work &amp; general work"/>
    <d v="2025-12-18T00:00:00"/>
    <d v="2025-12-18T00:00:00"/>
    <m/>
    <m/>
    <d v="1899-12-30T10:00:00"/>
    <d v="1899-12-30T11:00:00"/>
    <n v="0.99999999999999911"/>
    <x v="2"/>
    <m/>
  </r>
  <r>
    <s v="Electrical"/>
    <x v="15"/>
    <s v="Lijo"/>
    <x v="3"/>
    <s v="SPB37-082"/>
    <s v="Repair work"/>
    <d v="2025-12-19T00:00:00"/>
    <d v="2025-12-19T00:00:00"/>
    <m/>
    <m/>
    <d v="1899-12-30T07:00:00"/>
    <d v="1899-12-30T17:00:00"/>
    <n v="10"/>
    <x v="2"/>
    <m/>
  </r>
  <r>
    <s v="Electrical"/>
    <x v="15"/>
    <s v="Shahanawaz"/>
    <x v="1"/>
    <m/>
    <m/>
    <m/>
    <m/>
    <m/>
    <m/>
    <d v="1899-12-30T07:00:00"/>
    <d v="1899-12-30T17:00:00"/>
    <n v="10"/>
    <x v="1"/>
    <m/>
  </r>
  <r>
    <s v="Electrical"/>
    <x v="15"/>
    <s v="Cherith"/>
    <x v="3"/>
    <s v="SMSP3-023"/>
    <s v="75kw pump inspection &amp; dismantle"/>
    <d v="2025-12-19T00:00:00"/>
    <d v="2025-12-19T00:00:00"/>
    <d v="2025-12-19T00:00:00"/>
    <m/>
    <d v="1899-12-30T07:30:00"/>
    <d v="1899-12-30T16:30:00"/>
    <n v="9"/>
    <x v="0"/>
    <m/>
  </r>
  <r>
    <s v="Electrical"/>
    <x v="15"/>
    <s v="Venu"/>
    <x v="1"/>
    <m/>
    <m/>
    <m/>
    <m/>
    <m/>
    <m/>
    <d v="1899-12-30T07:30:00"/>
    <d v="1899-12-30T16:30:00"/>
    <n v="9"/>
    <x v="1"/>
    <m/>
  </r>
  <r>
    <s v="Electrical"/>
    <x v="15"/>
    <s v="Gihan"/>
    <x v="2"/>
    <s v="GEN60-041"/>
    <s v="Ac alternator copper winding, rewinding"/>
    <d v="2025-12-18T00:00:00"/>
    <d v="2025-12-19T00:00:00"/>
    <m/>
    <m/>
    <d v="1899-12-30T07:30:00"/>
    <d v="1899-12-30T16:30:00"/>
    <n v="9"/>
    <x v="2"/>
    <m/>
  </r>
  <r>
    <s v="Electrical"/>
    <x v="15"/>
    <s v="Suhaib"/>
    <x v="3"/>
    <s v="New 5.5kw pump"/>
    <s v="10nos BH pumps inspection, fleet number socket32a, tagging."/>
    <d v="2025-12-19T00:00:00"/>
    <d v="2025-12-19T00:00:00"/>
    <d v="2025-12-19T00:00:00"/>
    <m/>
    <d v="1899-12-30T08:00:00"/>
    <d v="1899-12-30T17:00:00"/>
    <n v="9.0000000000000018"/>
    <x v="0"/>
    <m/>
  </r>
  <r>
    <s v="Bay 6 -_x000a_Generator"/>
    <x v="15"/>
    <s v="Suraj"/>
    <x v="2"/>
    <s v="GEN20-002"/>
    <s v="Load test &amp; final fitting"/>
    <d v="2025-11-26T00:00:00"/>
    <d v="2025-12-17T00:00:00"/>
    <m/>
    <m/>
    <d v="1899-12-30T07:30:00"/>
    <d v="1899-12-30T09:30:00"/>
    <n v="1.9999999999999996"/>
    <x v="2"/>
    <m/>
  </r>
  <r>
    <s v="Bay 6 -_x000a_Generator"/>
    <x v="15"/>
    <s v="Jagdev"/>
    <x v="2"/>
    <s v="GEN250-057"/>
    <s v="Radiator &amp; ac alternator fixing"/>
    <d v="2025-11-21T00:00:00"/>
    <d v="2025-12-19T00:00:00"/>
    <d v="2025-12-19T00:00:00"/>
    <m/>
    <d v="1899-12-30T09:45:00"/>
    <d v="1899-12-30T16:30:00"/>
    <n v="6.75"/>
    <x v="0"/>
    <m/>
  </r>
  <r>
    <s v="Bay 6 -_x000a_Generator"/>
    <x v="15"/>
    <s v="Suraj"/>
    <x v="1"/>
    <m/>
    <m/>
    <m/>
    <m/>
    <m/>
    <m/>
    <d v="1899-12-30T14:00:00"/>
    <d v="1899-12-30T14:30:00"/>
    <n v="0.49999999999999822"/>
    <x v="1"/>
    <m/>
  </r>
  <r>
    <s v="Bay 6 -_x000a_Generator"/>
    <x v="15"/>
    <s v="Suraj"/>
    <x v="2"/>
    <s v="GEN100-013"/>
    <s v="Canopy &amp; ac alternator removing"/>
    <d v="2025-12-19T00:00:00"/>
    <d v="2025-12-19T00:00:00"/>
    <d v="2025-12-19T00:00:00"/>
    <m/>
    <d v="1899-12-30T09:00:00"/>
    <d v="1899-12-30T14:00:00"/>
    <n v="5.0000000000000009"/>
    <x v="0"/>
    <m/>
  </r>
  <r>
    <s v="Bay 6 -_x000a_Generator"/>
    <x v="15"/>
    <s v="Anwar"/>
    <x v="1"/>
    <m/>
    <m/>
    <m/>
    <m/>
    <m/>
    <m/>
    <d v="1899-12-30T09:00:00"/>
    <d v="1899-12-30T14:00:00"/>
    <n v="5.0000000000000009"/>
    <x v="1"/>
    <m/>
  </r>
  <r>
    <s v="Bay 4&amp;5 - _x000a_Pumps"/>
    <x v="15"/>
    <s v="Asif"/>
    <x v="6"/>
    <s v="KV550-001"/>
    <s v="pump dismentaling"/>
    <d v="2025-12-19T00:00:00"/>
    <d v="2025-12-30T00:00:00"/>
    <d v="2025-12-19T00:00:00"/>
    <m/>
    <d v="1899-12-30T08:00:00"/>
    <d v="1899-12-30T12:00:00"/>
    <n v="4"/>
    <x v="0"/>
    <m/>
  </r>
  <r>
    <s v="Bay 4&amp;5 - _x000a_Pumps"/>
    <x v="15"/>
    <s v="Vinod"/>
    <x v="1"/>
    <m/>
    <m/>
    <m/>
    <m/>
    <m/>
    <m/>
    <d v="1899-12-30T07:30:00"/>
    <d v="1899-12-30T16:30:00"/>
    <n v="9"/>
    <x v="1"/>
    <m/>
  </r>
  <r>
    <s v="Bay 4&amp;5 - _x000a_Pumps"/>
    <x v="15"/>
    <s v="Asif"/>
    <x v="6"/>
    <s v="CD300M-08"/>
    <s v="Pump end dismantling."/>
    <d v="2025-12-19T00:00:00"/>
    <d v="2025-12-19T00:00:00"/>
    <d v="2025-12-19T00:00:00"/>
    <m/>
    <d v="1899-12-30T13:00:00"/>
    <d v="1899-12-30T17:00:00"/>
    <n v="4.0000000000000018"/>
    <x v="0"/>
    <m/>
  </r>
  <r>
    <s v="Bay 4&amp;5 - _x000a_Pumps"/>
    <x v="15"/>
    <s v="Bilal"/>
    <x v="1"/>
    <m/>
    <m/>
    <m/>
    <m/>
    <m/>
    <m/>
    <d v="1899-12-30T15:00:00"/>
    <d v="1899-12-30T17:00:00"/>
    <n v="2.0000000000000009"/>
    <x v="1"/>
    <m/>
  </r>
  <r>
    <s v="Bay 4&amp;5 - _x000a_Pumps"/>
    <x v="15"/>
    <s v="Suresh S"/>
    <x v="0"/>
    <s v="CP150X3"/>
    <s v="vaccum pump repair"/>
    <d v="2025-12-19T00:00:00"/>
    <d v="2025-12-19T00:00:00"/>
    <m/>
    <m/>
    <d v="1899-12-30T08:00:00"/>
    <d v="1899-12-30T19:00:00"/>
    <n v="11"/>
    <x v="2"/>
    <m/>
  </r>
  <r>
    <s v="Bay 4&amp;5 - _x000a_Pumps"/>
    <x v="15"/>
    <s v="Bharathesha"/>
    <x v="0"/>
    <s v="CP150-090"/>
    <s v="Pump repair"/>
    <d v="2025-12-18T00:00:00"/>
    <d v="2025-12-18T00:00:00"/>
    <d v="2025-12-19T00:00:00"/>
    <m/>
    <d v="1899-12-30T12:30:00"/>
    <d v="1899-12-30T18:30:00"/>
    <n v="6"/>
    <x v="0"/>
    <m/>
  </r>
  <r>
    <s v="Bay 4&amp;5 - _x000a_Pumps"/>
    <x v="15"/>
    <s v="Shaji"/>
    <x v="1"/>
    <m/>
    <m/>
    <m/>
    <m/>
    <m/>
    <m/>
    <d v="1899-12-30T09:30:00"/>
    <d v="1899-12-30T10:30:00"/>
    <n v="1.0000000000000004"/>
    <x v="1"/>
    <m/>
  </r>
  <r>
    <s v="Bay 4&amp;5 - _x000a_Pumps"/>
    <x v="15"/>
    <s v="Mintu"/>
    <x v="0"/>
    <s v="PT175-520"/>
    <s v="Pump assembling"/>
    <d v="2025-12-18T00:00:00"/>
    <d v="2025-12-19T00:00:00"/>
    <d v="2025-12-19T00:00:00"/>
    <m/>
    <d v="1899-12-30T08:00:00"/>
    <d v="1899-12-30T19:00:00"/>
    <n v="11"/>
    <x v="0"/>
    <m/>
  </r>
  <r>
    <s v="Bay 4&amp;5 - _x000a_Pumps"/>
    <x v="15"/>
    <s v="Shaji"/>
    <x v="1"/>
    <m/>
    <m/>
    <m/>
    <m/>
    <m/>
    <m/>
    <d v="1899-12-30T10:30:00"/>
    <d v="1899-12-30T11:00:00"/>
    <n v="0.49999999999999956"/>
    <x v="1"/>
    <m/>
  </r>
  <r>
    <s v="Bay 4&amp;5 - _x000a_Pumps"/>
    <x v="15"/>
    <s v="Harish"/>
    <x v="0"/>
    <s v="CP150-836"/>
    <s v="Pump assembling ongoing"/>
    <d v="2025-12-13T00:00:00"/>
    <d v="2025-12-19T00:00:00"/>
    <m/>
    <m/>
    <d v="1899-12-30T07:30:00"/>
    <d v="1899-12-30T11:30:00"/>
    <n v="4"/>
    <x v="0"/>
    <m/>
  </r>
  <r>
    <s v="Bay 4&amp;5 - _x000a_Pumps"/>
    <x v="15"/>
    <s v="Shaji"/>
    <x v="1"/>
    <m/>
    <m/>
    <m/>
    <m/>
    <m/>
    <m/>
    <d v="1899-12-30T11:00:00"/>
    <d v="1899-12-30T12:00:00"/>
    <n v="1.0000000000000004"/>
    <x v="1"/>
    <m/>
  </r>
  <r>
    <s v="Bay 4&amp;5 - _x000a_Pumps"/>
    <x v="15"/>
    <s v="Ismail"/>
    <x v="0"/>
    <s v="PT175-536"/>
    <s v="Pump prepare for assembling"/>
    <d v="2025-12-16T00:00:00"/>
    <d v="2025-12-19T00:00:00"/>
    <d v="2025-12-19T00:00:00"/>
    <m/>
    <d v="1899-12-30T07:30:00"/>
    <d v="1899-12-30T18:30:00"/>
    <n v="11"/>
    <x v="0"/>
    <m/>
  </r>
  <r>
    <s v="Bay 4&amp;5 - _x000a_Pumps"/>
    <x v="15"/>
    <s v="Shaji"/>
    <x v="1"/>
    <m/>
    <m/>
    <m/>
    <m/>
    <m/>
    <m/>
    <d v="1899-12-30T10:30:00"/>
    <d v="1899-12-30T11:00:00"/>
    <n v="0.49999999999999956"/>
    <x v="1"/>
    <m/>
  </r>
  <r>
    <s v="Bay 4&amp;5 - _x000a_Pumps"/>
    <x v="15"/>
    <s v="Shaji"/>
    <x v="8"/>
    <s v="General work"/>
    <s v="MCS work &amp; general work"/>
    <d v="2025-12-18T00:00:00"/>
    <d v="2025-12-19T00:00:00"/>
    <m/>
    <m/>
    <d v="1899-12-30T10:00:00"/>
    <d v="1899-12-30T11:00:00"/>
    <n v="0.99999999999999911"/>
    <x v="2"/>
    <m/>
  </r>
  <r>
    <s v="Bay 4&amp;5 - _x000a_Pumps"/>
    <x v="15"/>
    <s v="James"/>
    <x v="0"/>
    <s v="CP150-276"/>
    <s v="Pump assembling"/>
    <d v="2025-12-16T00:00:00"/>
    <d v="2025-12-19T00:00:00"/>
    <d v="2025-12-19T00:00:00"/>
    <m/>
    <d v="1899-12-30T07:30:00"/>
    <d v="1899-12-30T19:00:00"/>
    <n v="11.5"/>
    <x v="0"/>
    <m/>
  </r>
  <r>
    <s v="Bay 4&amp;5 - _x000a_Pumps"/>
    <x v="15"/>
    <s v="Bharathesha"/>
    <x v="0"/>
    <s v="CP150-632"/>
    <s v="Pump repair"/>
    <d v="2025-12-18T00:00:00"/>
    <d v="2025-12-19T00:00:00"/>
    <d v="2025-12-19T00:00:00"/>
    <m/>
    <d v="1899-12-30T07:30:00"/>
    <d v="1899-12-30T12:00:00"/>
    <n v="4.5"/>
    <x v="0"/>
    <m/>
  </r>
  <r>
    <s v="Bay 4&amp;5 - _x000a_Pumps"/>
    <x v="14"/>
    <s v="James"/>
    <x v="0"/>
    <s v="CP150-632"/>
    <s v="Pump repair"/>
    <d v="2025-12-17T00:00:00"/>
    <d v="2025-12-19T00:00:00"/>
    <m/>
    <m/>
    <d v="1899-12-30T14:00:00"/>
    <d v="1899-12-30T19:00:00"/>
    <n v="4.9999999999999982"/>
    <x v="2"/>
    <m/>
  </r>
  <r>
    <s v="Electrical"/>
    <x v="16"/>
    <s v="Fahad"/>
    <x v="3"/>
    <s v="SPB3.7"/>
    <s v="4nos panels testing, PDI &amp; dispatching"/>
    <d v="2025-12-20T00:00:00"/>
    <d v="2025-12-20T00:00:00"/>
    <m/>
    <m/>
    <d v="1899-12-30T08:00:00"/>
    <d v="1899-12-30T17:00:00"/>
    <n v="9.0000000000000018"/>
    <x v="3"/>
    <m/>
  </r>
  <r>
    <s v="Electrical"/>
    <x v="16"/>
    <s v="Lijo"/>
    <x v="3"/>
    <s v="SPB3.7-185/186"/>
    <s v="Stand &amp; canopy fixing "/>
    <d v="2025-12-20T00:00:00"/>
    <d v="2025-12-20T00:00:00"/>
    <d v="2025-12-20T00:00:00"/>
    <m/>
    <d v="1899-12-30T08:00:00"/>
    <d v="1899-12-30T17:00:00"/>
    <n v="9.0000000000000018"/>
    <x v="0"/>
    <m/>
  </r>
  <r>
    <s v="Electrical"/>
    <x v="16"/>
    <s v="Shahanawaz"/>
    <x v="1"/>
    <m/>
    <m/>
    <m/>
    <m/>
    <m/>
    <m/>
    <d v="1899-12-30T07:00:00"/>
    <d v="1899-12-30T17:00:00"/>
    <n v="10"/>
    <x v="1"/>
    <m/>
  </r>
  <r>
    <s v="Electrical"/>
    <x v="16"/>
    <s v="Cherith"/>
    <x v="3"/>
    <s v="SMSP3-023"/>
    <s v="75kw pumpservicing &amp; cleaning"/>
    <d v="2025-12-19T00:00:00"/>
    <d v="2025-12-20T00:00:00"/>
    <m/>
    <m/>
    <d v="1899-12-30T07:30:00"/>
    <d v="1899-12-30T16:30:00"/>
    <n v="9"/>
    <x v="2"/>
    <m/>
  </r>
  <r>
    <s v="Electrical"/>
    <x v="16"/>
    <s v="Venu"/>
    <x v="1"/>
    <m/>
    <m/>
    <m/>
    <m/>
    <m/>
    <m/>
    <d v="1899-12-30T07:30:00"/>
    <d v="1899-12-30T16:30:00"/>
    <n v="9"/>
    <x v="1"/>
    <m/>
  </r>
  <r>
    <s v="Electrical"/>
    <x v="16"/>
    <s v="Gihan"/>
    <x v="2"/>
    <s v="GEN60-041"/>
    <s v="Ac alternator copper winding, removing"/>
    <d v="2025-12-18T00:00:00"/>
    <d v="2025-12-20T00:00:00"/>
    <m/>
    <m/>
    <d v="1899-12-30T07:30:00"/>
    <d v="1899-12-30T16:30:00"/>
    <n v="9"/>
    <x v="2"/>
    <m/>
  </r>
  <r>
    <s v="Electrical"/>
    <x v="16"/>
    <s v="Suhaib"/>
    <x v="3"/>
    <s v="New 2.2kw pump"/>
    <s v="12nos BH pumps inspection, fleet number socket 32a, number tagging."/>
    <d v="2025-12-20T00:00:00"/>
    <d v="2025-12-20T00:00:00"/>
    <m/>
    <m/>
    <d v="1899-12-30T08:00:00"/>
    <d v="1899-12-30T17:00:00"/>
    <n v="9.0000000000000018"/>
    <x v="2"/>
    <m/>
  </r>
  <r>
    <s v="Electrical"/>
    <x v="16"/>
    <s v="Saqib"/>
    <x v="4"/>
    <s v="SM1002-058"/>
    <s v="Cable glinding"/>
    <d v="2025-12-20T00:00:00"/>
    <d v="2025-12-20T00:00:00"/>
    <d v="2025-12-20T00:00:00"/>
    <m/>
    <d v="1899-12-30T07:30:00"/>
    <d v="1899-12-30T09:30:00"/>
    <n v="1.9999999999999996"/>
    <x v="0"/>
    <m/>
  </r>
  <r>
    <s v="Electrical"/>
    <x v="16"/>
    <s v="Saqib"/>
    <x v="2"/>
    <s v="GEN135-013"/>
    <s v="Power cable connection"/>
    <d v="2025-12-20T00:00:00"/>
    <d v="2025-12-20T00:00:00"/>
    <d v="2025-12-20T00:00:00"/>
    <m/>
    <d v="1899-12-30T10:00:00"/>
    <d v="1899-12-30T13:00:00"/>
    <n v="2.9999999999999987"/>
    <x v="0"/>
    <m/>
  </r>
  <r>
    <s v="Electrical"/>
    <x v="16"/>
    <s v="Aman"/>
    <x v="4"/>
    <s v="SMSP3-021"/>
    <s v="95kw pump inspection"/>
    <d v="2025-12-20T00:00:00"/>
    <d v="2025-12-20T00:00:00"/>
    <m/>
    <m/>
    <d v="1899-12-30T07:30:00"/>
    <d v="1899-12-30T12:00:00"/>
    <n v="4.5"/>
    <x v="2"/>
    <m/>
  </r>
  <r>
    <s v="Electrical"/>
    <x v="16"/>
    <s v="Faisal"/>
    <x v="1"/>
    <m/>
    <m/>
    <m/>
    <m/>
    <m/>
    <m/>
    <d v="1899-12-30T07:30:00"/>
    <d v="1899-12-30T12:00:00"/>
    <n v="4.5"/>
    <x v="1"/>
    <m/>
  </r>
  <r>
    <s v="Bay 6 -_x000a_Generator"/>
    <x v="16"/>
    <s v="Jagdev"/>
    <x v="2"/>
    <s v="GEN135-013"/>
    <s v="Rear seal change, ac alternator fixing, valve &amp; fuel tank cleaning"/>
    <d v="2025-12-12T00:00:00"/>
    <d v="2025-12-20T00:00:00"/>
    <d v="2025-12-20T00:00:00"/>
    <m/>
    <d v="1899-12-30T07:30:00"/>
    <d v="1899-12-30T16:30:00"/>
    <n v="9"/>
    <x v="0"/>
    <m/>
  </r>
  <r>
    <s v="Bay 6 -_x000a_Generator"/>
    <x v="16"/>
    <s v="Anwar"/>
    <x v="2"/>
    <s v="GEN200-007"/>
    <s v="Radiator fixing &amp; final fitting "/>
    <d v="2025-11-08T00:00:00"/>
    <d v="2025-12-20T00:00:00"/>
    <d v="2025-12-20T00:00:00"/>
    <m/>
    <d v="1899-12-30T07:30:00"/>
    <d v="1899-12-30T10:30:00"/>
    <n v="3"/>
    <x v="0"/>
    <m/>
  </r>
  <r>
    <s v="Bay 6 -_x000a_Generator"/>
    <x v="16"/>
    <s v="Suraj"/>
    <x v="1"/>
    <m/>
    <m/>
    <m/>
    <m/>
    <m/>
    <m/>
    <d v="1899-12-30T07:30:00"/>
    <d v="1899-12-30T10:30:00"/>
    <n v="3"/>
    <x v="1"/>
    <m/>
  </r>
  <r>
    <s v="Bay 6 -_x000a_Generator"/>
    <x v="16"/>
    <s v="Suraj"/>
    <x v="2"/>
    <s v="GEN150-053"/>
    <s v="Radiator fixing &amp; final fitting "/>
    <d v="2025-12-05T00:00:00"/>
    <d v="2025-12-20T00:00:00"/>
    <d v="2025-12-20T00:00:00"/>
    <m/>
    <d v="1899-12-30T10:30:00"/>
    <d v="1899-12-30T15:30:00"/>
    <n v="5.0000000000000009"/>
    <x v="0"/>
    <m/>
  </r>
  <r>
    <s v="Bay 6 -_x000a_Generator"/>
    <x v="16"/>
    <s v="Anwar"/>
    <x v="1"/>
    <m/>
    <m/>
    <m/>
    <m/>
    <m/>
    <m/>
    <d v="1899-12-30T10:30:00"/>
    <d v="1899-12-30T15:30:00"/>
    <n v="5.0000000000000009"/>
    <x v="1"/>
    <m/>
  </r>
  <r>
    <s v="Bay 6 -_x000a_Generator"/>
    <x v="16"/>
    <s v="Suraj"/>
    <x v="2"/>
    <s v="GEN250-057"/>
    <s v="Load test"/>
    <d v="2025-11-21T00:00:00"/>
    <d v="2025-12-20T00:00:00"/>
    <m/>
    <m/>
    <d v="1899-12-30T15:30:00"/>
    <d v="1899-12-30T16:30:00"/>
    <n v="0.99999999999999911"/>
    <x v="3"/>
    <m/>
  </r>
  <r>
    <s v="Bay 6 -_x000a_Generator"/>
    <x v="16"/>
    <s v="Anwar"/>
    <x v="1"/>
    <m/>
    <m/>
    <m/>
    <m/>
    <m/>
    <m/>
    <d v="1899-12-30T15:30:00"/>
    <d v="1899-12-30T16:30:00"/>
    <n v="0.99999999999999911"/>
    <x v="1"/>
    <m/>
  </r>
  <r>
    <s v="Bay 4&amp;5 - _x000a_Pumps"/>
    <x v="16"/>
    <s v="Asif"/>
    <x v="6"/>
    <s v="KV550-001"/>
    <s v="Suction casing repairing, sleeve removing from the shaft"/>
    <d v="2025-12-20T00:00:00"/>
    <d v="2025-12-30T00:00:00"/>
    <d v="2025-12-30T00:00:00"/>
    <m/>
    <d v="1899-12-30T07:30:00"/>
    <d v="1899-12-30T16:30:00"/>
    <n v="9"/>
    <x v="0"/>
    <m/>
  </r>
  <r>
    <s v="Bay 4&amp;5 - _x000a_Pumps"/>
    <x v="16"/>
    <s v="Vinod"/>
    <x v="1"/>
    <m/>
    <m/>
    <m/>
    <m/>
    <m/>
    <m/>
    <d v="1899-12-30T07:30:00"/>
    <d v="1899-12-30T16:30:00"/>
    <n v="9"/>
    <x v="1"/>
    <m/>
  </r>
  <r>
    <s v="Bay 4&amp;5 - _x000a_Pumps"/>
    <x v="16"/>
    <s v="Jaheer"/>
    <x v="6"/>
    <s v="HL130M-10"/>
    <s v="Water testing, removing from the test bay"/>
    <d v="2025-12-20T00:00:00"/>
    <d v="2025-12-30T00:00:00"/>
    <d v="2025-12-30T00:00:00"/>
    <m/>
    <d v="1899-12-30T08:00:00"/>
    <d v="1899-12-30T17:00:00"/>
    <n v="9.0000000000000018"/>
    <x v="0"/>
    <m/>
  </r>
  <r>
    <s v="Bay 4&amp;5 - _x000a_Pumps"/>
    <x v="16"/>
    <s v="Bilal"/>
    <x v="1"/>
    <m/>
    <m/>
    <m/>
    <m/>
    <m/>
    <m/>
    <d v="1899-12-30T08:00:00"/>
    <d v="1899-12-30T17:00:00"/>
    <n v="9.0000000000000018"/>
    <x v="1"/>
    <m/>
  </r>
  <r>
    <s v="Bay 4&amp;5 - _x000a_Pumps"/>
    <x v="16"/>
    <s v="Suresh S"/>
    <x v="0"/>
    <s v="CP150X3"/>
    <s v="vaccum pump repair for maf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Bharathesha"/>
    <x v="0"/>
    <s v="CP150-090"/>
    <s v="Pump repair"/>
    <d v="2025-12-18T00:00:00"/>
    <d v="2025-12-20T00:00:00"/>
    <d v="2025-12-20T00:00:00"/>
    <m/>
    <d v="1899-12-30T07:30:00"/>
    <d v="1899-12-30T09:30:00"/>
    <n v="1.9999999999999996"/>
    <x v="0"/>
    <m/>
  </r>
  <r>
    <s v="Bay 4&amp;5 - _x000a_Pumps"/>
    <x v="16"/>
    <s v="Shaji"/>
    <x v="1"/>
    <m/>
    <m/>
    <m/>
    <m/>
    <m/>
    <m/>
    <d v="1899-12-30T09:30:00"/>
    <d v="1899-12-30T10:30:00"/>
    <n v="1.0000000000000004"/>
    <x v="1"/>
    <m/>
  </r>
  <r>
    <s v="Bay 4&amp;5 - _x000a_Pumps"/>
    <x v="16"/>
    <s v="Mintu"/>
    <x v="0"/>
    <s v="PT175-531"/>
    <s v="Engine dismantling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Shaji"/>
    <x v="1"/>
    <m/>
    <m/>
    <m/>
    <m/>
    <m/>
    <m/>
    <d v="1899-12-30T10:30:00"/>
    <d v="1899-12-30T11:00:00"/>
    <n v="0.49999999999999956"/>
    <x v="1"/>
    <m/>
  </r>
  <r>
    <s v="Bay 4&amp;5 - _x000a_Pumps"/>
    <x v="16"/>
    <s v="Harish"/>
    <x v="0"/>
    <s v="CP150-022"/>
    <s v="Pump repair "/>
    <d v="2025-12-13T00:00:00"/>
    <d v="2025-12-20T00:00:00"/>
    <d v="2025-12-20T00:00:00"/>
    <m/>
    <d v="1899-12-30T11:30:00"/>
    <d v="1899-12-30T18:30:00"/>
    <n v="7"/>
    <x v="0"/>
    <m/>
  </r>
  <r>
    <s v="Bay 4&amp;5 - _x000a_Pumps"/>
    <x v="16"/>
    <s v="Shaji"/>
    <x v="1"/>
    <m/>
    <m/>
    <m/>
    <m/>
    <m/>
    <m/>
    <d v="1899-12-30T11:00:00"/>
    <d v="1899-12-30T12:00:00"/>
    <n v="1.0000000000000004"/>
    <x v="1"/>
    <m/>
  </r>
  <r>
    <s v="Bay 4&amp;5 - _x000a_Pumps"/>
    <x v="16"/>
    <s v="Ismail"/>
    <x v="0"/>
    <s v="PT175-521"/>
    <s v="Final fitting"/>
    <d v="2025-12-20T00:00:00"/>
    <d v="2025-12-20T00:00:00"/>
    <d v="2025-12-20T00:00:00"/>
    <m/>
    <d v="1899-12-30T07:30:00"/>
    <d v="1899-12-30T11:30:00"/>
    <n v="4"/>
    <x v="0"/>
    <m/>
  </r>
  <r>
    <s v="Bay 4&amp;5 - _x000a_Pumps"/>
    <x v="16"/>
    <s v="Shaji"/>
    <x v="1"/>
    <m/>
    <m/>
    <m/>
    <m/>
    <m/>
    <m/>
    <d v="1899-12-30T10:30:00"/>
    <d v="1899-12-30T11:00:00"/>
    <n v="0.49999999999999956"/>
    <x v="1"/>
    <m/>
  </r>
  <r>
    <s v="Bay 4&amp;5 - _x000a_Pumps"/>
    <x v="16"/>
    <s v="Ismail"/>
    <x v="0"/>
    <s v="PT175-536"/>
    <s v="Pump &amp; engine repair, water test"/>
    <d v="2025-12-16T00:00:00"/>
    <d v="2025-12-20T00:00:00"/>
    <m/>
    <m/>
    <d v="1899-12-30T11:30:00"/>
    <d v="1899-12-30T18:30:00"/>
    <n v="7"/>
    <x v="2"/>
    <m/>
  </r>
  <r>
    <s v="Bay 4&amp;5 - _x000a_Pumps"/>
    <x v="16"/>
    <s v="Shaji"/>
    <x v="8"/>
    <s v="General work"/>
    <s v="MCS work &amp; general work"/>
    <d v="2025-12-18T00:00:00"/>
    <d v="2025-12-19T00:00:00"/>
    <m/>
    <m/>
    <d v="1899-12-30T10:00:00"/>
    <d v="1899-12-30T11:00:00"/>
    <n v="0.99999999999999911"/>
    <x v="2"/>
    <m/>
  </r>
  <r>
    <s v="Bay 4&amp;5 - _x000a_Pumps"/>
    <x v="16"/>
    <s v="James"/>
    <x v="0"/>
    <s v="CP150-001"/>
    <s v="Pump repair"/>
    <d v="2025-12-20T00:00:00"/>
    <d v="2025-12-20T00:00:00"/>
    <d v="2025-12-20T00:00:00"/>
    <m/>
    <d v="1899-12-30T08:00:00"/>
    <d v="1899-12-30T19:00:00"/>
    <n v="11"/>
    <x v="0"/>
    <m/>
  </r>
  <r>
    <s v="Bay 4&amp;5 - _x000a_Pumps"/>
    <x v="16"/>
    <s v="Bharathesha"/>
    <x v="0"/>
    <s v="CP150-923"/>
    <s v="Engine repair"/>
    <d v="2025-12-20T00:00:00"/>
    <d v="2025-12-20T00:00:00"/>
    <d v="2025-12-20T00:00:00"/>
    <m/>
    <d v="1899-12-30T09:30:00"/>
    <d v="1899-12-30T18:30:00"/>
    <n v="9.0000000000000018"/>
    <x v="0"/>
    <m/>
  </r>
  <r>
    <s v="Electrical"/>
    <x v="17"/>
    <s v="Fahad"/>
    <x v="3"/>
    <s v="ATS400"/>
    <s v="Motorized change over inspection&amp; repairing"/>
    <d v="2025-12-22T00:00:00"/>
    <d v="2025-12-22T00:00:00"/>
    <m/>
    <m/>
    <d v="1899-12-30T08:00:00"/>
    <d v="1899-12-30T17:00:00"/>
    <n v="9.0000000000000018"/>
    <x v="3"/>
    <m/>
  </r>
  <r>
    <s v="Electrical"/>
    <x v="17"/>
    <s v="Lijo"/>
    <x v="3"/>
    <s v="SPB3.7-187/188"/>
    <s v="Stand Canopy &amp; alarm system fixing"/>
    <d v="2025-12-22T00:00:00"/>
    <d v="2025-12-22T00:00:00"/>
    <d v="2025-12-22T00:00:00"/>
    <m/>
    <d v="1899-12-30T08:00:00"/>
    <d v="1899-12-30T17:00:00"/>
    <n v="9.0000000000000018"/>
    <x v="0"/>
    <m/>
  </r>
  <r>
    <s v="Electrical"/>
    <x v="17"/>
    <s v="Shahanawaz"/>
    <x v="1"/>
    <m/>
    <m/>
    <m/>
    <m/>
    <m/>
    <m/>
    <d v="1899-12-30T07:00:00"/>
    <d v="1899-12-30T17:00:00"/>
    <n v="10"/>
    <x v="1"/>
    <m/>
  </r>
  <r>
    <s v="Electrical"/>
    <x v="17"/>
    <s v="Faisal"/>
    <x v="3"/>
    <s v="DB-363"/>
    <s v="Stand replacement, MCCb replacement, Test &amp; PDI"/>
    <d v="2025-12-22T00:00:00"/>
    <d v="2025-12-22T00:00:00"/>
    <d v="2025-12-22T00:00:00"/>
    <m/>
    <d v="1899-12-30T07:30:00"/>
    <d v="1899-12-30T16:30:00"/>
    <n v="9"/>
    <x v="0"/>
    <m/>
  </r>
  <r>
    <s v="Electrical"/>
    <x v="17"/>
    <s v="Cherith"/>
    <x v="3"/>
    <s v="SMSP3-021"/>
    <s v="95kv pump inspection &amp; repairing &amp; assemble"/>
    <d v="2025-12-22T00:00:00"/>
    <d v="2025-12-24T00:00:00"/>
    <m/>
    <m/>
    <d v="1899-12-30T07:30:00"/>
    <d v="1899-12-30T17:00:00"/>
    <n v="9.5"/>
    <x v="2"/>
    <m/>
  </r>
  <r>
    <s v="Electrical"/>
    <x v="17"/>
    <s v="Aman"/>
    <x v="1"/>
    <m/>
    <m/>
    <m/>
    <m/>
    <m/>
    <m/>
    <d v="1899-12-30T07:30:00"/>
    <d v="1899-12-30T17:00:00"/>
    <n v="9.5"/>
    <x v="1"/>
    <m/>
  </r>
  <r>
    <s v="Electrical"/>
    <x v="17"/>
    <s v="Gihan"/>
    <x v="2"/>
    <s v="GEN60-041"/>
    <s v="Ac alternator copper winding, "/>
    <d v="2025-12-22T00:00:00"/>
    <d v="2025-12-26T00:00:00"/>
    <m/>
    <m/>
    <d v="1899-12-30T07:30:00"/>
    <d v="1899-12-30T16:30:00"/>
    <n v="9"/>
    <x v="2"/>
    <m/>
  </r>
  <r>
    <s v="Electrical"/>
    <x v="17"/>
    <s v="Gulam"/>
    <x v="1"/>
    <m/>
    <m/>
    <m/>
    <m/>
    <m/>
    <m/>
    <d v="1899-12-30T07:30:00"/>
    <d v="1899-12-30T16:30:00"/>
    <n v="9"/>
    <x v="1"/>
    <m/>
  </r>
  <r>
    <s v="Electrical"/>
    <x v="17"/>
    <s v="Gulam"/>
    <x v="2"/>
    <s v="GEN150-021"/>
    <s v="Power cable connection"/>
    <d v="2025-12-22T00:00:00"/>
    <d v="2025-12-22T00:00:00"/>
    <d v="2025-12-22T00:00:00"/>
    <m/>
    <d v="1899-12-30T13:00:00"/>
    <d v="1899-12-30T15:00:00"/>
    <n v="2.0000000000000009"/>
    <x v="0"/>
    <m/>
  </r>
  <r>
    <s v="Electrical"/>
    <x v="17"/>
    <s v="Suhaib"/>
    <x v="5"/>
    <s v="New 2.2kw pump"/>
    <s v="12nos BH pumps inspection, fleet number socket 32a, number tagging."/>
    <d v="2025-12-22T00:00:00"/>
    <d v="2025-12-22T00:00:00"/>
    <d v="2025-12-22T00:00:00"/>
    <m/>
    <d v="1899-12-30T07:30:00"/>
    <d v="1899-12-30T17:00:00"/>
    <n v="9.5"/>
    <x v="0"/>
    <m/>
  </r>
  <r>
    <s v="Electrical"/>
    <x v="17"/>
    <s v="Venu"/>
    <x v="1"/>
    <m/>
    <m/>
    <m/>
    <m/>
    <m/>
    <m/>
    <d v="1899-12-30T07:30:00"/>
    <d v="1899-12-30T17:00:00"/>
    <n v="9.5"/>
    <x v="1"/>
    <m/>
  </r>
  <r>
    <s v="Electrical"/>
    <x v="17"/>
    <s v="Suhaib"/>
    <x v="5"/>
    <s v="New 5.5kw pump"/>
    <s v="20nos B:H pumps inspection &amp; fleet number tagging."/>
    <d v="2025-12-22T00:00:00"/>
    <d v="2025-12-22T00:00:00"/>
    <d v="2025-12-22T00:00:00"/>
    <m/>
    <d v="1899-12-30T11:00:00"/>
    <d v="1899-12-30T17:00:00"/>
    <n v="6.0000000000000018"/>
    <x v="0"/>
    <m/>
  </r>
  <r>
    <s v="Electrical"/>
    <x v="17"/>
    <s v="Venu"/>
    <x v="1"/>
    <m/>
    <m/>
    <m/>
    <m/>
    <m/>
    <m/>
    <d v="1899-12-30T11:00:00"/>
    <d v="1899-12-30T17:00:00"/>
    <n v="6.0000000000000018"/>
    <x v="1"/>
    <m/>
  </r>
  <r>
    <s v="Electrical"/>
    <x v="17"/>
    <s v="Saqib"/>
    <x v="4"/>
    <s v="SMSP3-023"/>
    <s v="75kw pump service &amp; cleaning "/>
    <d v="2025-12-22T00:00:00"/>
    <d v="2025-12-22T00:00:00"/>
    <d v="2025-12-22T00:00:00"/>
    <m/>
    <d v="1899-12-30T07:30:00"/>
    <d v="1899-12-30T16:30:00"/>
    <n v="9"/>
    <x v="0"/>
    <m/>
  </r>
  <r>
    <s v="Bay 6 -_x000a_Generator"/>
    <x v="17"/>
    <s v="Jagdev"/>
    <x v="2"/>
    <s v="GEN150-021"/>
    <s v="Ac alternator &amp; timing cover fixing, "/>
    <d v="2025-12-08T00:00:00"/>
    <d v="2025-12-22T00:00:00"/>
    <d v="2025-12-22T00:00:00"/>
    <m/>
    <d v="1899-12-30T07:30:00"/>
    <d v="1899-12-30T13:00:00"/>
    <n v="5.4999999999999991"/>
    <x v="0"/>
    <m/>
  </r>
  <r>
    <s v="Bay 6 -_x000a_Generator"/>
    <x v="17"/>
    <s v="Anwar"/>
    <x v="1"/>
    <m/>
    <m/>
    <m/>
    <m/>
    <m/>
    <m/>
    <d v="1899-12-30T07:30:00"/>
    <d v="1899-12-30T13:00:00"/>
    <n v="5.4999999999999991"/>
    <x v="1"/>
    <m/>
  </r>
  <r>
    <s v="Bay 6 -_x000a_Generator"/>
    <x v="17"/>
    <s v="Jagdev"/>
    <x v="10"/>
    <s v="BFT-325/332/337"/>
    <s v="Main cover removed, returned pipe tightened."/>
    <d v="2025-12-22T00:00:00"/>
    <d v="2025-12-22T00:00:00"/>
    <d v="2025-12-22T00:00:00"/>
    <m/>
    <m/>
    <m/>
    <n v="0"/>
    <x v="0"/>
    <m/>
  </r>
  <r>
    <s v="Bay 6 -_x000a_Generator"/>
    <x v="17"/>
    <s v="Anwar"/>
    <x v="1"/>
    <m/>
    <m/>
    <m/>
    <m/>
    <m/>
    <m/>
    <m/>
    <m/>
    <n v="0"/>
    <x v="1"/>
    <m/>
  </r>
  <r>
    <s v="Bay 6 -_x000a_Generator"/>
    <x v="17"/>
    <s v="Suraj"/>
    <x v="2"/>
    <s v="GEN200-007"/>
    <s v="Load test &amp; final fitting"/>
    <d v="2025-11-08T00:00:00"/>
    <d v="2025-12-22T00:00:00"/>
    <d v="2025-12-22T00:00:00"/>
    <m/>
    <d v="1899-12-30T07:30:00"/>
    <d v="1899-12-30T09:30:00"/>
    <n v="1.9999999999999996"/>
    <x v="0"/>
    <m/>
  </r>
  <r>
    <s v="Bay 6 -_x000a_Generator"/>
    <x v="17"/>
    <s v="Suraj"/>
    <x v="2"/>
    <s v="GEN135-013"/>
    <s v="Load test &amp; final fitting"/>
    <d v="2025-12-12T00:00:00"/>
    <d v="2025-12-22T00:00:00"/>
    <d v="2025-12-22T00:00:00"/>
    <m/>
    <d v="1899-12-30T09:30:00"/>
    <d v="1899-12-30T14:00:00"/>
    <n v="4.5000000000000018"/>
    <x v="0"/>
    <m/>
  </r>
  <r>
    <s v="Bay 6 -_x000a_Generator"/>
    <x v="17"/>
    <s v="Suraj"/>
    <x v="2"/>
    <s v="GEN150-053"/>
    <s v="Load test &amp; final fitting"/>
    <d v="2025-12-05T00:00:00"/>
    <d v="2025-12-22T00:00:00"/>
    <m/>
    <m/>
    <d v="1899-12-30T14:00:00"/>
    <d v="1899-12-30T14:30:00"/>
    <n v="0.49999999999999822"/>
    <x v="0"/>
    <m/>
  </r>
  <r>
    <s v="Bay 4&amp;5 - _x000a_Pumps"/>
    <x v="17"/>
    <s v="Asif"/>
    <x v="6"/>
    <s v="HD12TCR-002"/>
    <s v="Drive chain replacement"/>
    <d v="2025-12-22T00:00:00"/>
    <d v="2025-12-22T00:00:00"/>
    <d v="2025-12-22T00:00:00"/>
    <m/>
    <d v="1899-12-30T07:30:00"/>
    <d v="1899-12-30T11:00:00"/>
    <n v="3.4999999999999996"/>
    <x v="0"/>
    <m/>
  </r>
  <r>
    <s v="Bay 4&amp;5 - _x000a_Pumps"/>
    <x v="17"/>
    <s v="Vinod"/>
    <x v="1"/>
    <m/>
    <m/>
    <m/>
    <m/>
    <m/>
    <m/>
    <d v="1899-12-30T07:30:00"/>
    <d v="1899-12-30T11:00:00"/>
    <n v="3.4999999999999996"/>
    <x v="1"/>
    <m/>
  </r>
  <r>
    <s v="Bay 4&amp;5 - _x000a_Pumps"/>
    <x v="17"/>
    <s v="Jaheer"/>
    <x v="6"/>
    <s v="CP181820"/>
    <s v="ECM filter housing, sensor replacement, radiator cleaning, fan hub inspection."/>
    <d v="2025-12-22T00:00:00"/>
    <d v="2025-12-25T00:00:00"/>
    <d v="2025-12-22T00:00:00"/>
    <m/>
    <d v="1899-12-30T08:00:00"/>
    <d v="1899-12-30T17:00:00"/>
    <n v="9.0000000000000018"/>
    <x v="0"/>
    <m/>
  </r>
  <r>
    <s v="Bay 4&amp;5 - _x000a_Pumps"/>
    <x v="17"/>
    <s v="Bilal"/>
    <x v="1"/>
    <m/>
    <m/>
    <m/>
    <m/>
    <m/>
    <m/>
    <d v="1899-12-30T08:00:00"/>
    <d v="1899-12-30T17:00:00"/>
    <n v="9.0000000000000018"/>
    <x v="1"/>
    <m/>
  </r>
  <r>
    <s v="Bay 4&amp;5 - _x000a_Pumps"/>
    <x v="17"/>
    <s v="Suresh S"/>
    <x v="0"/>
    <s v="CP150X2"/>
    <s v="vaccum pump repair for maf"/>
    <d v="2025-12-22T00:00:00"/>
    <d v="2025-12-22T00:00:00"/>
    <d v="2025-12-22T00:00:00"/>
    <m/>
    <d v="1899-12-30T08:00:00"/>
    <d v="1899-12-30T15:00:00"/>
    <n v="7"/>
    <x v="0"/>
    <m/>
  </r>
  <r>
    <s v="Bay 4&amp;5 - _x000a_Pumps"/>
    <x v="17"/>
    <s v="Suresh S"/>
    <x v="0"/>
    <s v="CP150-836/632"/>
    <s v="Final fitting"/>
    <d v="2025-12-22T00:00:00"/>
    <d v="2025-12-22T00:00:00"/>
    <d v="2025-12-22T00:00:00"/>
    <m/>
    <d v="1899-12-30T15:00:00"/>
    <d v="1899-12-30T19:00:00"/>
    <n v="3.9999999999999991"/>
    <x v="0"/>
    <m/>
  </r>
  <r>
    <s v="Bay 4&amp;5 - _x000a_Pumps"/>
    <x v="17"/>
    <s v="Mintu"/>
    <x v="0"/>
    <s v="PT175-531"/>
    <s v="Engine prepare for assembling "/>
    <d v="2025-12-22T00:00:00"/>
    <d v="2025-12-22T00:00:00"/>
    <d v="2025-12-22T00:00:00"/>
    <m/>
    <d v="1899-12-30T08:00:00"/>
    <d v="1899-12-30T19:00:00"/>
    <n v="11"/>
    <x v="0"/>
    <m/>
  </r>
  <r>
    <s v="Bay 4&amp;5 - _x000a_Pumps"/>
    <x v="17"/>
    <s v="Shaji"/>
    <x v="1"/>
    <m/>
    <m/>
    <m/>
    <m/>
    <m/>
    <m/>
    <d v="1899-12-30T10:30:00"/>
    <d v="1899-12-30T11:00:00"/>
    <n v="0.49999999999999956"/>
    <x v="1"/>
    <m/>
  </r>
  <r>
    <s v="Bay 4&amp;5 - _x000a_Pumps"/>
    <x v="17"/>
    <s v="Harish"/>
    <x v="0"/>
    <s v="CP150-022"/>
    <s v="Pump repair &amp; engine repair"/>
    <d v="2025-12-20T00:00:00"/>
    <d v="2025-12-22T00:00:00"/>
    <d v="2025-12-22T00:00:00"/>
    <m/>
    <d v="1899-12-30T07:30:00"/>
    <d v="1899-12-30T10:30:00"/>
    <n v="3"/>
    <x v="0"/>
    <m/>
  </r>
  <r>
    <s v="Bay 4&amp;5 - _x000a_Pumps"/>
    <x v="17"/>
    <s v="Shaji"/>
    <x v="1"/>
    <m/>
    <m/>
    <m/>
    <m/>
    <m/>
    <m/>
    <d v="1899-12-30T11:00:00"/>
    <d v="1899-12-30T12:00:00"/>
    <n v="1.0000000000000004"/>
    <x v="1"/>
    <m/>
  </r>
  <r>
    <s v="Bay 4&amp;5 - _x000a_Pumps"/>
    <x v="17"/>
    <s v="Ismail"/>
    <x v="0"/>
    <s v="PT175-536"/>
    <s v="Pump &amp; engine repair &amp; water test"/>
    <d v="2025-12-22T00:00:00"/>
    <d v="2025-12-22T00:00:00"/>
    <m/>
    <m/>
    <d v="1899-12-30T07:30:00"/>
    <d v="1899-12-30T18:30:00"/>
    <n v="11"/>
    <x v="0"/>
    <m/>
  </r>
  <r>
    <s v="Bay 4&amp;5 - _x000a_Pumps"/>
    <x v="17"/>
    <s v="Shaji"/>
    <x v="1"/>
    <m/>
    <m/>
    <m/>
    <m/>
    <m/>
    <m/>
    <d v="1899-12-30T10:30:00"/>
    <d v="1899-12-30T11:00:00"/>
    <n v="0.49999999999999956"/>
    <x v="1"/>
    <m/>
  </r>
  <r>
    <s v="Bay 4&amp;5 - _x000a_Pumps"/>
    <x v="17"/>
    <s v="James"/>
    <x v="0"/>
    <s v="CP150-001"/>
    <s v="Pump &amp; engine repair, test failed, pump dismantle"/>
    <d v="2025-12-20T00:00:00"/>
    <d v="2025-12-22T00:00:00"/>
    <m/>
    <m/>
    <d v="1899-12-30T11:30:00"/>
    <d v="1899-12-30T18:30:00"/>
    <n v="7"/>
    <x v="3"/>
    <m/>
  </r>
  <r>
    <s v="Bay 4&amp;5 - _x000a_Pumps"/>
    <x v="17"/>
    <s v="Shaji"/>
    <x v="8"/>
    <s v="General work"/>
    <s v="MCS work &amp; general work"/>
    <d v="2025-12-22T00:00:00"/>
    <d v="2025-12-22T00:00:00"/>
    <d v="2025-12-22T00:00:00"/>
    <m/>
    <d v="1899-12-30T10:00:00"/>
    <d v="1899-12-30T11:00:00"/>
    <n v="0.99999999999999911"/>
    <x v="0"/>
    <m/>
  </r>
  <r>
    <s v="Bay 4&amp;5 - _x000a_Pumps"/>
    <x v="17"/>
    <s v="James"/>
    <x v="0"/>
    <s v="CP150-001"/>
    <s v="Pump repair"/>
    <d v="2025-12-22T00:00:00"/>
    <d v="2025-12-22T00:00:00"/>
    <d v="2025-12-22T00:00:00"/>
    <m/>
    <d v="1899-12-30T08:00:00"/>
    <d v="1899-12-30T19:00:00"/>
    <n v="11"/>
    <x v="0"/>
    <m/>
  </r>
  <r>
    <s v="Bay 4&amp;5 - _x000a_Pumps"/>
    <x v="17"/>
    <s v="Bharathesha"/>
    <x v="0"/>
    <s v="CP150-923"/>
    <s v="Pump prepare for assembling"/>
    <d v="2025-12-20T00:00:00"/>
    <d v="2025-12-22T00:00:00"/>
    <d v="2025-12-22T00:00:00"/>
    <m/>
    <d v="1899-12-30T07:30:00"/>
    <d v="1899-12-30T18:30:00"/>
    <n v="11"/>
    <x v="0"/>
    <m/>
  </r>
  <r>
    <s v="Electrical"/>
    <x v="18"/>
    <s v="Fahad"/>
    <x v="3"/>
    <s v="SPB3.7-180/181"/>
    <s v="Test &amp; PDI"/>
    <d v="2025-12-23T00:00:00"/>
    <d v="2025-12-23T00:00:00"/>
    <d v="2025-12-23T00:00:00"/>
    <m/>
    <d v="1899-12-30T08:00:00"/>
    <d v="1899-12-30T17:00:00"/>
    <n v="9.0000000000000018"/>
    <x v="0"/>
    <m/>
  </r>
  <r>
    <s v="Electrical"/>
    <x v="18"/>
    <s v="Lijo"/>
    <x v="3"/>
    <s v="SPB3.7-188/189"/>
    <s v="Alarm system &amp; lock holder fixing"/>
    <d v="2025-12-23T00:00:00"/>
    <d v="2025-12-23T00:00:00"/>
    <d v="2025-12-23T00:00:00"/>
    <m/>
    <d v="1899-12-30T08:00:00"/>
    <d v="1899-12-30T17:00:00"/>
    <n v="9.0000000000000018"/>
    <x v="0"/>
    <m/>
  </r>
  <r>
    <s v="Electrical"/>
    <x v="18"/>
    <s v="Shahanawaz"/>
    <x v="1"/>
    <m/>
    <m/>
    <m/>
    <m/>
    <m/>
    <m/>
    <d v="1899-12-30T08:00:00"/>
    <d v="1899-12-30T17:00:00"/>
    <n v="9.0000000000000018"/>
    <x v="1"/>
    <m/>
  </r>
  <r>
    <s v="Electrical"/>
    <x v="18"/>
    <s v="Faisal"/>
    <x v="3"/>
    <s v="SPBX4"/>
    <s v="Test &amp; PDI"/>
    <d v="2025-12-23T00:00:00"/>
    <d v="2025-12-23T00:00:00"/>
    <d v="2025-12-23T00:00:00"/>
    <m/>
    <d v="1899-12-30T07:30:00"/>
    <d v="1899-12-30T16:30:00"/>
    <n v="9"/>
    <x v="0"/>
    <m/>
  </r>
  <r>
    <s v="Electrical"/>
    <x v="18"/>
    <s v="Cherith"/>
    <x v="3"/>
    <s v="SMSP3-021"/>
    <s v="95kv pump inspection &amp; repairing &amp; assemble"/>
    <d v="2025-12-22T00:00:00"/>
    <d v="2025-12-24T00:00:00"/>
    <m/>
    <m/>
    <d v="1899-12-30T07:30:00"/>
    <d v="1899-12-30T17:00:00"/>
    <n v="9.5"/>
    <x v="2"/>
    <m/>
  </r>
  <r>
    <s v="Electrical"/>
    <x v="18"/>
    <s v="Aman"/>
    <x v="1"/>
    <m/>
    <m/>
    <m/>
    <m/>
    <m/>
    <m/>
    <d v="1899-12-30T07:30:00"/>
    <d v="1899-12-30T17:00:00"/>
    <n v="9.5"/>
    <x v="1"/>
    <m/>
  </r>
  <r>
    <s v="Electrical"/>
    <x v="18"/>
    <s v="Gihan"/>
    <x v="2"/>
    <s v="GEN60-041"/>
    <s v="Ac alternator re- winding, "/>
    <d v="2025-12-22T00:00:00"/>
    <d v="2025-12-26T00:00:00"/>
    <m/>
    <m/>
    <d v="1899-12-30T07:30:00"/>
    <d v="1899-12-30T16:30:00"/>
    <n v="9"/>
    <x v="2"/>
    <m/>
  </r>
  <r>
    <s v="Electrical"/>
    <x v="18"/>
    <s v="Gulam"/>
    <x v="1"/>
    <m/>
    <m/>
    <m/>
    <m/>
    <m/>
    <m/>
    <d v="1899-12-30T07:30:00"/>
    <d v="1899-12-30T16:30:00"/>
    <n v="9"/>
    <x v="1"/>
    <m/>
  </r>
  <r>
    <s v="Electrical"/>
    <x v="18"/>
    <s v="Suhaib"/>
    <x v="5"/>
    <s v="New 5.5kw pump"/>
    <s v="10nos B:H pumps inspection &amp; fleet number tagging."/>
    <d v="2025-12-22T00:00:00"/>
    <d v="2025-12-23T00:00:00"/>
    <d v="2025-12-23T00:00:00"/>
    <m/>
    <d v="1899-12-30T07:30:00"/>
    <d v="1899-12-30T12:00:00"/>
    <n v="4.5"/>
    <x v="0"/>
    <m/>
  </r>
  <r>
    <s v="Electrical"/>
    <x v="18"/>
    <s v="Venu"/>
    <x v="1"/>
    <m/>
    <m/>
    <m/>
    <m/>
    <m/>
    <m/>
    <d v="1899-12-30T07:30:00"/>
    <d v="1899-12-30T12:00:00"/>
    <n v="4.5"/>
    <x v="1"/>
    <m/>
  </r>
  <r>
    <s v="Electrical"/>
    <x v="18"/>
    <s v="Suhaib"/>
    <x v="5"/>
    <s v="SLB/125-03"/>
    <s v="37kw old B:H pump 5nos inspection &amp; water testing"/>
    <d v="2025-12-23T00:00:00"/>
    <d v="2025-12-23T00:00:00"/>
    <m/>
    <m/>
    <d v="1899-12-30T13:00:00"/>
    <d v="1899-12-30T17:00:00"/>
    <n v="4.0000000000000018"/>
    <x v="2"/>
    <m/>
  </r>
  <r>
    <s v="Electrical"/>
    <x v="18"/>
    <s v="Venu"/>
    <x v="1"/>
    <m/>
    <m/>
    <m/>
    <m/>
    <m/>
    <m/>
    <d v="1899-12-30T13:00:00"/>
    <d v="1899-12-30T17:00:00"/>
    <n v="4.0000000000000018"/>
    <x v="1"/>
    <m/>
  </r>
  <r>
    <s v="Electrical"/>
    <x v="18"/>
    <s v="Saqib"/>
    <x v="4"/>
    <s v="SGN-006"/>
    <s v="Pump inspection &amp; dismantle"/>
    <d v="2025-12-23T00:00:00"/>
    <d v="2025-12-23T00:00:00"/>
    <m/>
    <m/>
    <d v="1899-12-30T07:30:00"/>
    <d v="1899-12-30T16:30:00"/>
    <n v="9"/>
    <x v="2"/>
    <m/>
  </r>
  <r>
    <s v="Bay 6 -_x000a_Generator"/>
    <x v="18"/>
    <s v="Jagdev"/>
    <x v="10"/>
    <s v="BFT-322/341/345/346"/>
    <s v="Main cover removed, returned pipe tightened."/>
    <d v="2025-12-23T00:00:00"/>
    <d v="2025-12-23T00:00:00"/>
    <m/>
    <m/>
    <d v="1899-12-30T07:30:00"/>
    <d v="1899-12-30T16:30:00"/>
    <n v="9"/>
    <x v="2"/>
    <m/>
  </r>
  <r>
    <s v="Bay 6 -_x000a_Generator"/>
    <x v="18"/>
    <s v="Anwar"/>
    <x v="1"/>
    <m/>
    <m/>
    <m/>
    <m/>
    <m/>
    <m/>
    <d v="1899-12-30T07:30:00"/>
    <d v="1899-12-30T16:30:00"/>
    <n v="9"/>
    <x v="1"/>
    <m/>
  </r>
  <r>
    <s v="Bay 6 -_x000a_Generator"/>
    <x v="18"/>
    <s v="Suraj"/>
    <x v="1"/>
    <m/>
    <m/>
    <m/>
    <m/>
    <m/>
    <m/>
    <d v="1899-12-30T11:30:00"/>
    <d v="1899-12-30T16:30:00"/>
    <n v="5"/>
    <x v="1"/>
    <m/>
  </r>
  <r>
    <s v="Bay 6 -_x000a_Generator"/>
    <x v="18"/>
    <s v="Suraj"/>
    <x v="2"/>
    <s v="GEN150-004"/>
    <s v="Ac alternator removing &amp; dismantling"/>
    <d v="2025-12-23T00:00:00"/>
    <d v="2025-12-23T00:00:00"/>
    <m/>
    <m/>
    <d v="1899-12-30T07:30:00"/>
    <d v="1899-12-30T11:30:00"/>
    <n v="4"/>
    <x v="2"/>
    <m/>
  </r>
  <r>
    <s v="Bay 4&amp;5 - _x000a_Pumps"/>
    <x v="18"/>
    <s v="Asif"/>
    <x v="6"/>
    <s v="KV550-001"/>
    <s v="Pump end swapping"/>
    <d v="2025-12-23T00:00:00"/>
    <d v="2025-12-25T00:00:00"/>
    <m/>
    <m/>
    <d v="1899-12-30T07:30:00"/>
    <d v="1899-12-30T09:00:00"/>
    <n v="1.5"/>
    <x v="0"/>
    <m/>
  </r>
  <r>
    <s v="Bay 4&amp;5 - _x000a_Pumps"/>
    <x v="18"/>
    <s v="Vinod"/>
    <x v="1"/>
    <m/>
    <m/>
    <m/>
    <m/>
    <m/>
    <m/>
    <d v="1899-12-30T07:30:00"/>
    <d v="1899-12-30T19:00:00"/>
    <n v="11.5"/>
    <x v="1"/>
    <m/>
  </r>
  <r>
    <s v="Bay 4&amp;5 - _x000a_Pumps"/>
    <x v="18"/>
    <s v="Asif"/>
    <x v="8"/>
    <s v="General work"/>
    <s v="General repair"/>
    <d v="2025-12-23T00:00:00"/>
    <d v="2025-12-23T00:00:00"/>
    <d v="2025-12-23T00:00:00"/>
    <m/>
    <d v="1899-12-30T09:00:00"/>
    <d v="1899-12-30T11:30:00"/>
    <n v="2.5000000000000004"/>
    <x v="0"/>
    <m/>
  </r>
  <r>
    <s v="Bay 4&amp;5 - _x000a_Pumps"/>
    <x v="18"/>
    <s v="Hanifa"/>
    <x v="1"/>
    <m/>
    <m/>
    <m/>
    <m/>
    <m/>
    <m/>
    <d v="1899-12-30T09:00:00"/>
    <d v="1899-12-30T11:30:00"/>
    <n v="2.5000000000000004"/>
    <x v="1"/>
    <m/>
  </r>
  <r>
    <s v="Bay 4&amp;5 - _x000a_Pumps"/>
    <x v="18"/>
    <s v="Asif"/>
    <x v="6"/>
    <s v="CD300M015"/>
    <s v="wet testing"/>
    <d v="2025-12-23T00:00:00"/>
    <d v="2025-12-23T00:00:00"/>
    <d v="2025-12-23T00:00:00"/>
    <m/>
    <d v="1899-12-30T16:00:00"/>
    <d v="1899-12-30T17:30:00"/>
    <n v="1.5"/>
    <x v="0"/>
    <m/>
  </r>
  <r>
    <s v="Bay 4&amp;5 - _x000a_Pumps"/>
    <x v="18"/>
    <s v="SER team"/>
    <x v="1"/>
    <m/>
    <m/>
    <m/>
    <m/>
    <m/>
    <m/>
    <d v="1899-12-30T16:00:00"/>
    <d v="1899-12-30T17:30:00"/>
    <n v="1.5"/>
    <x v="1"/>
    <m/>
  </r>
  <r>
    <s v="Bay 4&amp;5 - _x000a_Pumps"/>
    <x v="18"/>
    <s v="Jaheer"/>
    <x v="6"/>
    <s v="CP181820"/>
    <s v="Vaccum pump repairing, fuel line replacement, vaccum testing, cooling fan guard repairing"/>
    <d v="2025-12-23T00:00:00"/>
    <d v="2025-12-24T00:00:00"/>
    <m/>
    <m/>
    <d v="1899-12-30T08:00:00"/>
    <d v="1899-12-30T19:00:00"/>
    <n v="11"/>
    <x v="0"/>
    <m/>
  </r>
  <r>
    <s v="Bay 4&amp;5 - _x000a_Pumps"/>
    <x v="18"/>
    <s v="Bilal"/>
    <x v="1"/>
    <m/>
    <m/>
    <m/>
    <m/>
    <m/>
    <m/>
    <d v="1899-12-30T08:00:00"/>
    <d v="1899-12-30T19:00:00"/>
    <n v="11"/>
    <x v="1"/>
    <m/>
  </r>
  <r>
    <s v="Bay 4&amp;5 - _x000a_Pumps"/>
    <x v="18"/>
    <s v="Suresh S"/>
    <x v="0"/>
    <s v="CP150-022/923/001"/>
    <s v="vaccum pump repair "/>
    <d v="2025-12-23T00:00:00"/>
    <d v="2025-12-23T00:00:00"/>
    <d v="2025-12-23T00:00:00"/>
    <m/>
    <d v="1899-12-30T08:00:00"/>
    <d v="1899-12-30T19:00:00"/>
    <n v="11"/>
    <x v="0"/>
    <m/>
  </r>
  <r>
    <s v="Bay 4&amp;5 - _x000a_Pumps"/>
    <x v="18"/>
    <s v="Mintu"/>
    <x v="0"/>
    <s v="PT175-531"/>
    <s v="Engine assembling "/>
    <d v="2025-12-20T00:00:00"/>
    <d v="2025-12-23T00:00:00"/>
    <d v="2025-12-23T00:00:00"/>
    <m/>
    <d v="1899-12-30T08:00:00"/>
    <d v="1899-12-30T19:00:00"/>
    <n v="11"/>
    <x v="0"/>
    <m/>
  </r>
  <r>
    <s v="Bay 4&amp;5 - _x000a_Pumps"/>
    <x v="18"/>
    <s v="Shaji"/>
    <x v="1"/>
    <m/>
    <m/>
    <m/>
    <m/>
    <m/>
    <m/>
    <d v="1899-12-30T10:30:00"/>
    <d v="1899-12-30T11:00:00"/>
    <n v="0.49999999999999956"/>
    <x v="1"/>
    <m/>
  </r>
  <r>
    <s v="Bay 4&amp;5 - _x000a_Pumps"/>
    <x v="18"/>
    <s v="Harish"/>
    <x v="0"/>
    <s v="CP150-022"/>
    <s v="Pump assembling"/>
    <d v="2025-12-20T00:00:00"/>
    <d v="2025-12-23T00:00:00"/>
    <d v="2025-12-23T00:00:00"/>
    <m/>
    <d v="1899-12-30T07:30:00"/>
    <d v="1899-12-30T11:30:00"/>
    <n v="4"/>
    <x v="0"/>
    <m/>
  </r>
  <r>
    <s v="Bay 4&amp;5 - _x000a_Pumps"/>
    <x v="18"/>
    <s v="Shaji"/>
    <x v="1"/>
    <m/>
    <m/>
    <m/>
    <m/>
    <m/>
    <m/>
    <d v="1899-12-30T11:00:00"/>
    <d v="1899-12-30T12:00:00"/>
    <n v="1.0000000000000004"/>
    <x v="1"/>
    <m/>
  </r>
  <r>
    <s v="Bay 4&amp;5 - _x000a_Pumps"/>
    <x v="18"/>
    <s v="Harish"/>
    <x v="0"/>
    <s v="CP150-844"/>
    <s v="Cylinder head dismantling"/>
    <d v="2025-12-23T00:00:00"/>
    <d v="2025-12-23T00:00:00"/>
    <d v="2025-12-23T00:00:00"/>
    <m/>
    <d v="1899-12-30T11:30:00"/>
    <d v="1899-12-30T18:30:00"/>
    <n v="7"/>
    <x v="0"/>
    <m/>
  </r>
  <r>
    <s v="Bay 4&amp;5 - _x000a_Pumps"/>
    <x v="18"/>
    <s v="Ismail"/>
    <x v="0"/>
    <s v="PT175-531"/>
    <s v="Pump dismantling"/>
    <d v="2025-12-20T00:00:00"/>
    <d v="2025-12-23T00:00:00"/>
    <d v="2025-12-23T00:00:00"/>
    <m/>
    <d v="1899-12-30T07:30:00"/>
    <d v="1899-12-30T18:30:00"/>
    <n v="11"/>
    <x v="0"/>
    <m/>
  </r>
  <r>
    <s v="Bay 4&amp;5 - _x000a_Pumps"/>
    <x v="18"/>
    <s v="Shaji"/>
    <x v="1"/>
    <m/>
    <m/>
    <m/>
    <m/>
    <m/>
    <m/>
    <d v="1899-12-30T10:30:00"/>
    <d v="1899-12-30T11:00:00"/>
    <n v="0.49999999999999956"/>
    <x v="1"/>
    <m/>
  </r>
  <r>
    <s v="Bay 4&amp;5 - _x000a_Pumps"/>
    <x v="18"/>
    <s v="James"/>
    <x v="0"/>
    <s v="CP150-001"/>
    <s v="Pump &amp; engine repair, test failed, pump dismantling"/>
    <d v="2025-12-20T00:00:00"/>
    <d v="2025-12-23T00:00:00"/>
    <d v="2025-12-23T00:00:00"/>
    <m/>
    <d v="1899-12-30T08:00:00"/>
    <d v="1899-12-30T19:00:00"/>
    <n v="11"/>
    <x v="0"/>
    <m/>
  </r>
  <r>
    <s v="Bay 4&amp;5 - _x000a_Pumps"/>
    <x v="18"/>
    <s v="Shaji"/>
    <x v="8"/>
    <s v="General work"/>
    <s v="MCS work &amp; general work"/>
    <d v="2025-12-23T00:00:00"/>
    <d v="2025-12-23T00:00:00"/>
    <d v="2025-12-23T00:00:00"/>
    <m/>
    <d v="1899-12-30T10:00:00"/>
    <d v="1899-12-30T12:00:00"/>
    <n v="1.9999999999999996"/>
    <x v="0"/>
    <m/>
  </r>
  <r>
    <s v="Bay 4&amp;5 - _x000a_Pumps"/>
    <x v="18"/>
    <s v="Bharathesha"/>
    <x v="0"/>
    <s v="CP150-923"/>
    <s v="Pump assembling"/>
    <d v="2025-12-20T00:00:00"/>
    <d v="2025-12-23T00:00:00"/>
    <d v="2025-12-23T00:00:00"/>
    <m/>
    <d v="1899-12-30T07:30:00"/>
    <d v="1899-12-30T18:30:00"/>
    <n v="11"/>
    <x v="0"/>
    <m/>
  </r>
  <r>
    <s v="Electrical"/>
    <x v="19"/>
    <s v="Fahad"/>
    <x v="3"/>
    <s v="CPB"/>
    <s v="5nos old CPB panels disposal"/>
    <d v="2025-12-24T00:00:00"/>
    <d v="2025-12-24T00:00:00"/>
    <d v="2025-12-24T00:00:00"/>
    <m/>
    <d v="1899-12-30T08:00:00"/>
    <d v="1899-12-30T17:00:00"/>
    <n v="9.0000000000000018"/>
    <x v="0"/>
    <m/>
  </r>
  <r>
    <s v="Electrical"/>
    <x v="19"/>
    <s v="Lijo"/>
    <x v="1"/>
    <m/>
    <m/>
    <m/>
    <m/>
    <m/>
    <m/>
    <d v="1899-12-30T08:00:00"/>
    <d v="1899-12-30T17:00:00"/>
    <n v="9.0000000000000018"/>
    <x v="1"/>
    <m/>
  </r>
  <r>
    <s v="Electrical"/>
    <x v="19"/>
    <s v="Faisal"/>
    <x v="3"/>
    <s v="SPB3.7-052"/>
    <s v="Assemble after paint, test &amp; PDI"/>
    <d v="2025-12-24T00:00:00"/>
    <d v="2025-12-24T00:00:00"/>
    <d v="2025-12-24T00:00:00"/>
    <m/>
    <d v="1899-12-30T07:30:00"/>
    <d v="1899-12-30T16:30:00"/>
    <n v="9"/>
    <x v="0"/>
    <m/>
  </r>
  <r>
    <s v="Electrical"/>
    <x v="19"/>
    <s v="Cherith"/>
    <x v="3"/>
    <s v="SMSP3-021"/>
    <s v="95kv pump inspection &amp; repairing &amp; assemble"/>
    <d v="2025-12-22T00:00:00"/>
    <d v="2025-12-24T00:00:00"/>
    <d v="2025-12-24T00:00:00"/>
    <m/>
    <d v="1899-12-30T07:30:00"/>
    <d v="1899-12-30T17:00:00"/>
    <n v="9.5"/>
    <x v="0"/>
    <m/>
  </r>
  <r>
    <s v="Electrical"/>
    <x v="19"/>
    <s v="Aman"/>
    <x v="1"/>
    <m/>
    <m/>
    <m/>
    <m/>
    <m/>
    <m/>
    <d v="1899-12-30T07:30:00"/>
    <d v="1899-12-30T17:00:00"/>
    <n v="9.5"/>
    <x v="1"/>
    <m/>
  </r>
  <r>
    <s v="Electrical"/>
    <x v="19"/>
    <s v="Gihan"/>
    <x v="2"/>
    <s v="GEN60-041"/>
    <s v="Ac alternator re- winding, "/>
    <d v="2025-12-22T00:00:00"/>
    <d v="2025-12-24T00:00:00"/>
    <m/>
    <m/>
    <d v="1899-12-30T07:30:00"/>
    <d v="1899-12-30T16:30:00"/>
    <n v="9"/>
    <x v="2"/>
    <m/>
  </r>
  <r>
    <s v="Electrical"/>
    <x v="19"/>
    <s v="Gulam"/>
    <x v="1"/>
    <m/>
    <m/>
    <m/>
    <m/>
    <m/>
    <m/>
    <d v="1899-12-30T07:30:00"/>
    <d v="1899-12-30T16:30:00"/>
    <n v="9"/>
    <x v="1"/>
    <m/>
  </r>
  <r>
    <s v="Electrical"/>
    <x v="19"/>
    <s v="Suhaib"/>
    <x v="5"/>
    <s v="New 2.2kw pump"/>
    <s v="16nos B:H pumps inspection &amp; fleet number tagging socket32a."/>
    <d v="2025-12-24T00:00:00"/>
    <d v="2025-12-26T00:00:00"/>
    <d v="2025-12-24T00:00:00"/>
    <m/>
    <d v="1899-12-30T07:30:00"/>
    <d v="1899-12-30T17:00:00"/>
    <n v="9.5"/>
    <x v="0"/>
    <m/>
  </r>
  <r>
    <s v="Electrical"/>
    <x v="19"/>
    <s v="Venu"/>
    <x v="1"/>
    <m/>
    <m/>
    <m/>
    <m/>
    <m/>
    <m/>
    <d v="1899-12-30T07:30:00"/>
    <d v="1899-12-30T17:00:00"/>
    <n v="9.5"/>
    <x v="1"/>
    <m/>
  </r>
  <r>
    <s v="Electrical"/>
    <x v="19"/>
    <s v="Saqib"/>
    <x v="4"/>
    <s v="SGN-006"/>
    <s v="Pump inspection, repairing &amp; assemble"/>
    <s v="23=4/12/2025"/>
    <d v="2025-12-26T00:00:00"/>
    <m/>
    <m/>
    <d v="1899-12-30T07:30:00"/>
    <d v="1899-12-30T16:30:00"/>
    <n v="9"/>
    <x v="2"/>
    <m/>
  </r>
  <r>
    <s v="Bay 6 -_x000a_Generator"/>
    <x v="19"/>
    <s v="Jagdev"/>
    <x v="10"/>
    <s v="BFT-320/324/329/340"/>
    <s v="Main cover removed, returned pipeline &amp; hose fitting"/>
    <d v="2025-12-24T00:00:00"/>
    <d v="2025-12-24T00:00:00"/>
    <d v="2025-12-24T00:00:00"/>
    <m/>
    <d v="1899-12-30T14:00:00"/>
    <d v="1899-12-30T16:30:00"/>
    <n v="2.4999999999999991"/>
    <x v="0"/>
    <m/>
  </r>
  <r>
    <s v="Bay 6 -_x000a_Generator"/>
    <x v="19"/>
    <s v="Anwar"/>
    <x v="1"/>
    <m/>
    <m/>
    <m/>
    <m/>
    <m/>
    <m/>
    <d v="1899-12-30T07:30:00"/>
    <d v="1899-12-30T16:30:00"/>
    <n v="9"/>
    <x v="1"/>
    <m/>
  </r>
  <r>
    <s v="Bay 6 -_x000a_Generator"/>
    <x v="19"/>
    <s v="Suraj"/>
    <x v="1"/>
    <m/>
    <m/>
    <m/>
    <m/>
    <m/>
    <m/>
    <d v="1899-12-30T07:30:00"/>
    <d v="1899-12-30T16:30:00"/>
    <n v="9"/>
    <x v="1"/>
    <m/>
  </r>
  <r>
    <s v="Bay 6 -_x000a_Generator"/>
    <x v="19"/>
    <s v="Jagdev"/>
    <x v="2"/>
    <s v="GENJ135-002"/>
    <s v="Ac alternator fixing, valave &amp; fuel tank cleaning."/>
    <d v="2025-12-10T00:00:00"/>
    <d v="2025-12-24T00:00:00"/>
    <d v="2025-12-24T00:00:00"/>
    <m/>
    <d v="1899-12-30T14:00:00"/>
    <d v="1899-12-30T16:30:00"/>
    <n v="2.4999999999999991"/>
    <x v="0"/>
    <m/>
  </r>
  <r>
    <s v="Bay 6 -_x000a_Generator"/>
    <x v="19"/>
    <s v="Jagdev"/>
    <x v="9"/>
    <s v="DR-20"/>
    <s v="Reapir on site"/>
    <d v="2025-12-24T00:00:00"/>
    <d v="2025-12-24T00:00:00"/>
    <d v="2025-12-24T00:00:00"/>
    <m/>
    <d v="1899-12-30T07:30:00"/>
    <d v="1899-12-30T13:00:00"/>
    <n v="5.4999999999999991"/>
    <x v="0"/>
    <m/>
  </r>
  <r>
    <s v="Bay 4&amp;5 - _x000a_Pumps"/>
    <x v="19"/>
    <s v="Asif"/>
    <x v="6"/>
    <s v="KV550-001"/>
    <s v="Pump end swapping"/>
    <d v="2025-12-23T00:00:00"/>
    <d v="2025-12-25T00:00:00"/>
    <d v="2025-12-25T00:00:00"/>
    <m/>
    <d v="1899-12-30T07:30:00"/>
    <d v="1899-12-30T19:00:00"/>
    <n v="11.5"/>
    <x v="0"/>
    <m/>
  </r>
  <r>
    <s v="Bay 4&amp;5 - _x000a_Pumps"/>
    <x v="19"/>
    <s v="Vinod"/>
    <x v="1"/>
    <m/>
    <m/>
    <m/>
    <m/>
    <m/>
    <m/>
    <d v="1899-12-30T07:30:00"/>
    <d v="1899-12-30T19:00:00"/>
    <n v="11.5"/>
    <x v="1"/>
    <m/>
  </r>
  <r>
    <s v="Bay 4&amp;5 - _x000a_Pumps"/>
    <x v="19"/>
    <s v="Jaheer"/>
    <x v="6"/>
    <s v="CD300M-14"/>
    <s v="Radiator intercooler dismantling, pump end removing for coupling replacement"/>
    <d v="2025-12-24T00:00:00"/>
    <d v="2025-12-30T00:00:00"/>
    <d v="2025-12-30T00:00:00"/>
    <m/>
    <d v="1899-12-30T08:00:00"/>
    <d v="1899-12-30T19:00:00"/>
    <n v="11"/>
    <x v="0"/>
    <m/>
  </r>
  <r>
    <s v="Bay 4&amp;5 - _x000a_Pumps"/>
    <x v="19"/>
    <s v="Bilal"/>
    <x v="1"/>
    <m/>
    <m/>
    <m/>
    <m/>
    <m/>
    <m/>
    <d v="1899-12-30T08:00:00"/>
    <d v="1899-12-30T19:00:00"/>
    <n v="11"/>
    <x v="1"/>
    <m/>
  </r>
  <r>
    <s v="Bay 4&amp;5 - _x000a_Pumps"/>
    <x v="19"/>
    <s v="Suresh S"/>
    <x v="0"/>
    <s v="CP150X3"/>
    <s v="vaccum pump repair "/>
    <d v="2025-12-24T00:00:00"/>
    <d v="2025-12-24T00:00:00"/>
    <d v="2025-12-24T00:00:00"/>
    <m/>
    <d v="1899-12-30T08:00:00"/>
    <d v="1899-12-30T19:00:00"/>
    <n v="11"/>
    <x v="0"/>
    <m/>
  </r>
  <r>
    <s v="Bay 4&amp;5 - _x000a_Pumps"/>
    <x v="19"/>
    <s v="Mintu"/>
    <x v="0"/>
    <s v="PT175-531"/>
    <s v="Engine assembling ongoing"/>
    <d v="2025-12-20T00:00:00"/>
    <d v="2025-12-24T00:00:00"/>
    <d v="2025-12-24T00:00:00"/>
    <m/>
    <d v="1899-12-30T08:00:00"/>
    <d v="1899-12-30T19:00:00"/>
    <n v="11"/>
    <x v="0"/>
    <m/>
  </r>
  <r>
    <s v="Bay 4&amp;5 - _x000a_Pumps"/>
    <x v="19"/>
    <s v="Shaji"/>
    <x v="1"/>
    <m/>
    <m/>
    <m/>
    <m/>
    <m/>
    <m/>
    <d v="1899-12-30T10:30:00"/>
    <d v="1899-12-30T11:00:00"/>
    <n v="0.49999999999999956"/>
    <x v="1"/>
    <m/>
  </r>
  <r>
    <s v="Bay 4&amp;5 - _x000a_Pumps"/>
    <x v="19"/>
    <s v="Harish"/>
    <x v="0"/>
    <s v="CP150-022"/>
    <s v="Pump assembling"/>
    <d v="2025-12-20T00:00:00"/>
    <d v="2025-12-23T00:00:00"/>
    <m/>
    <m/>
    <d v="1899-12-30T07:30:00"/>
    <d v="1899-12-30T11:30:00"/>
    <n v="4"/>
    <x v="2"/>
    <m/>
  </r>
  <r>
    <s v="Bay 4&amp;5 - _x000a_Pumps"/>
    <x v="19"/>
    <s v="Shaji"/>
    <x v="1"/>
    <m/>
    <m/>
    <m/>
    <m/>
    <m/>
    <m/>
    <d v="1899-12-30T11:00:00"/>
    <d v="1899-12-30T12:00:00"/>
    <n v="1.0000000000000004"/>
    <x v="1"/>
    <m/>
  </r>
  <r>
    <s v="Bay 4&amp;5 - _x000a_Pumps"/>
    <x v="19"/>
    <s v="Harish"/>
    <x v="0"/>
    <s v="CP150-844"/>
    <s v="Engine dismantle &amp; prepare for assemble"/>
    <d v="2025-12-23T00:00:00"/>
    <d v="2025-12-24T00:00:00"/>
    <d v="2025-12-24T00:00:00"/>
    <m/>
    <d v="1899-12-30T07:30:00"/>
    <d v="1899-12-30T18:30:00"/>
    <n v="11"/>
    <x v="0"/>
    <m/>
  </r>
  <r>
    <s v="Bay 4&amp;5 - _x000a_Pumps"/>
    <x v="19"/>
    <s v="Ismail"/>
    <x v="0"/>
    <s v="PT175-522/521/554"/>
    <s v="Fuel tank connections fixing, PDI &amp; flowfinity"/>
    <d v="2025-12-24T00:00:00"/>
    <d v="2025-12-24T00:00:00"/>
    <d v="2025-12-24T00:00:00"/>
    <m/>
    <d v="1899-12-30T07:30:00"/>
    <d v="1899-12-30T18:30:00"/>
    <n v="11"/>
    <x v="0"/>
    <m/>
  </r>
  <r>
    <s v="Bay 4&amp;5 - _x000a_Pumps"/>
    <x v="19"/>
    <s v="Shaji"/>
    <x v="1"/>
    <m/>
    <m/>
    <m/>
    <m/>
    <m/>
    <m/>
    <d v="1899-12-30T10:30:00"/>
    <d v="1899-12-30T11:00:00"/>
    <n v="0.49999999999999956"/>
    <x v="1"/>
    <m/>
  </r>
  <r>
    <s v="Bay 4&amp;5 - _x000a_Pumps"/>
    <x v="19"/>
    <s v="James"/>
    <x v="0"/>
    <s v="CP150-374"/>
    <s v="Float Reapir &amp; vaccum pump change."/>
    <d v="2025-12-24T00:00:00"/>
    <d v="2025-12-24T00:00:00"/>
    <d v="2025-12-24T00:00:00"/>
    <m/>
    <d v="1899-12-30T10:00:00"/>
    <d v="1899-12-30T19:00:00"/>
    <n v="8.9999999999999982"/>
    <x v="0"/>
    <m/>
  </r>
  <r>
    <s v="Bay 4&amp;5 - _x000a_Pumps"/>
    <x v="19"/>
    <s v="James"/>
    <x v="0"/>
    <s v="CP150-001"/>
    <s v="Pump minor repair &amp; water test"/>
    <d v="2025-12-24T00:00:00"/>
    <d v="2025-12-24T00:00:00"/>
    <d v="2025-12-24T00:00:00"/>
    <m/>
    <d v="1899-12-30T07:30:00"/>
    <d v="1899-12-30T11:30:00"/>
    <n v="4"/>
    <x v="0"/>
    <m/>
  </r>
  <r>
    <s v="Bay 4&amp;5 - _x000a_Pumps"/>
    <x v="19"/>
    <s v="Shaji"/>
    <x v="8"/>
    <s v="General work"/>
    <s v="MCS work &amp; general work"/>
    <d v="2025-12-24T00:00:00"/>
    <d v="2025-12-24T00:00:00"/>
    <d v="2025-12-24T00:00:00"/>
    <m/>
    <d v="1899-12-30T10:00:00"/>
    <d v="1899-12-30T12:00:00"/>
    <n v="1.9999999999999996"/>
    <x v="0"/>
    <m/>
  </r>
  <r>
    <s v="Bay 4&amp;5 - _x000a_Pumps"/>
    <x v="19"/>
    <s v="Bharathesha"/>
    <x v="0"/>
    <s v="CP150-633"/>
    <s v="Pump repair"/>
    <d v="2025-12-24T00:00:00"/>
    <d v="2025-12-24T00:00:00"/>
    <d v="2025-12-24T00:00:00"/>
    <m/>
    <d v="1899-12-30T11:00:00"/>
    <d v="1899-12-30T13:30:00"/>
    <n v="2.5000000000000004"/>
    <x v="0"/>
    <m/>
  </r>
  <r>
    <s v="Electrical"/>
    <x v="20"/>
    <s v="Fahad"/>
    <x v="3"/>
    <s v="CPB"/>
    <s v="5nos old CPB panels disposal"/>
    <d v="2025-12-25T00:00:00"/>
    <d v="2025-12-25T00:00:00"/>
    <d v="2025-12-25T00:00:00"/>
    <m/>
    <d v="1899-12-30T08:00:00"/>
    <d v="1899-12-30T17:00:00"/>
    <n v="9.0000000000000018"/>
    <x v="0"/>
    <m/>
  </r>
  <r>
    <s v="Electrical"/>
    <x v="20"/>
    <s v="Shahanawaz"/>
    <x v="3"/>
    <s v="SPB3.7-052"/>
    <s v="Sensors wiring, site task"/>
    <d v="2025-12-25T00:00:00"/>
    <d v="2025-12-25T00:00:00"/>
    <d v="2025-12-25T00:00:00"/>
    <m/>
    <d v="1899-12-30T07:30:00"/>
    <d v="1899-12-30T16:30:00"/>
    <n v="9"/>
    <x v="0"/>
    <m/>
  </r>
  <r>
    <s v="Electrical"/>
    <x v="20"/>
    <s v="Faisal"/>
    <x v="1"/>
    <m/>
    <m/>
    <m/>
    <m/>
    <m/>
    <m/>
    <d v="1899-12-30T07:30:00"/>
    <d v="1899-12-30T16:30:00"/>
    <n v="9"/>
    <x v="1"/>
    <m/>
  </r>
  <r>
    <s v="Electrical"/>
    <x v="20"/>
    <s v="Venu"/>
    <x v="4"/>
    <s v="SMSP3-023"/>
    <s v="Parts cleaning, service &amp; pump assembling"/>
    <d v="2025-12-24T00:00:00"/>
    <d v="2025-12-26T00:00:00"/>
    <m/>
    <m/>
    <d v="1899-12-30T07:30:00"/>
    <d v="1899-12-30T17:00:00"/>
    <n v="9.5"/>
    <x v="2"/>
    <m/>
  </r>
  <r>
    <s v="Electrical"/>
    <x v="20"/>
    <s v="Aman"/>
    <x v="1"/>
    <m/>
    <m/>
    <m/>
    <m/>
    <m/>
    <m/>
    <d v="1899-12-30T07:30:00"/>
    <d v="1899-12-30T17:00:00"/>
    <n v="9.5"/>
    <x v="1"/>
    <m/>
  </r>
  <r>
    <s v="Electrical"/>
    <x v="20"/>
    <s v="Gihan"/>
    <x v="2"/>
    <s v="GEN60-041"/>
    <s v="Ac alternator re- winding &amp; coils"/>
    <d v="2025-12-22T00:00:00"/>
    <d v="2025-12-26T00:00:00"/>
    <m/>
    <m/>
    <d v="1899-12-30T07:30:00"/>
    <d v="1899-12-30T13:00:00"/>
    <n v="5.4999999999999991"/>
    <x v="2"/>
    <m/>
  </r>
  <r>
    <s v="Electrical"/>
    <x v="20"/>
    <s v="Gulam"/>
    <x v="1"/>
    <m/>
    <m/>
    <m/>
    <m/>
    <m/>
    <m/>
    <d v="1899-12-30T07:30:00"/>
    <d v="1899-12-30T16:30:00"/>
    <n v="9"/>
    <x v="1"/>
    <m/>
  </r>
  <r>
    <s v="Electrical"/>
    <x v="20"/>
    <s v="Suhaib"/>
    <x v="5"/>
    <s v="New 2.2kw pump"/>
    <s v="10nos B:H pumps inspection &amp; fleet number tagging socket32a."/>
    <d v="2025-12-25T00:00:00"/>
    <d v="2025-12-25T00:00:00"/>
    <d v="2025-12-25T00:00:00"/>
    <m/>
    <d v="1899-12-30T07:30:00"/>
    <d v="1899-12-30T17:00:00"/>
    <n v="9.5"/>
    <x v="0"/>
    <m/>
  </r>
  <r>
    <s v="Electrical"/>
    <x v="20"/>
    <s v="Saqib"/>
    <x v="4"/>
    <s v="SGN-006"/>
    <s v="Pump inspection, repairing &amp; assemble"/>
    <d v="2025-12-24T00:00:00"/>
    <d v="2025-12-26T00:00:00"/>
    <m/>
    <m/>
    <d v="1899-12-30T07:30:00"/>
    <d v="1899-12-30T16:30:00"/>
    <n v="9"/>
    <x v="3"/>
    <m/>
  </r>
  <r>
    <s v="Electrical"/>
    <x v="20"/>
    <s v="Cherith"/>
    <x v="2"/>
    <s v="GENJ150-058"/>
    <s v="Ac alternator winding, stator washing &amp; service"/>
    <d v="2025-12-25T00:00:00"/>
    <d v="2025-12-25T00:00:00"/>
    <m/>
    <m/>
    <d v="1899-12-30T07:30:00"/>
    <d v="1899-12-30T13:00:00"/>
    <n v="5.4999999999999991"/>
    <x v="0"/>
    <m/>
  </r>
  <r>
    <s v="Electrical"/>
    <x v="20"/>
    <s v="Gihan"/>
    <x v="2"/>
    <s v="GEN200-009"/>
    <s v="Hose connections &amp; load test"/>
    <d v="2025-12-25T00:00:00"/>
    <d v="2025-12-25T00:00:00"/>
    <d v="2025-12-25T00:00:00"/>
    <m/>
    <d v="1899-12-30T13:00:00"/>
    <d v="1899-12-30T14:00:00"/>
    <n v="1.0000000000000018"/>
    <x v="0"/>
    <m/>
  </r>
  <r>
    <s v="Electrical"/>
    <x v="20"/>
    <s v="Gihan"/>
    <x v="2"/>
    <s v="GENJ135-002"/>
    <s v="Hose connections &amp; load test"/>
    <d v="2025-12-25T00:00:00"/>
    <d v="2025-12-25T00:00:00"/>
    <d v="2025-12-25T00:00:00"/>
    <m/>
    <d v="1899-12-30T14:00:00"/>
    <d v="1899-12-30T15:00:00"/>
    <n v="0.99999999999999911"/>
    <x v="0"/>
    <m/>
  </r>
  <r>
    <s v="Electrical"/>
    <x v="20"/>
    <s v="Gihan"/>
    <x v="2"/>
    <s v="GEN250-038"/>
    <s v="Hose connections &amp; load test"/>
    <d v="2025-12-25T00:00:00"/>
    <d v="2025-12-25T00:00:00"/>
    <d v="2025-12-25T00:00:00"/>
    <m/>
    <d v="1899-12-30T15:00:00"/>
    <d v="1899-12-30T16:00:00"/>
    <n v="0.99999999999999911"/>
    <x v="0"/>
    <m/>
  </r>
  <r>
    <s v="Bay 6 -_x000a_Generator"/>
    <x v="20"/>
    <s v="Jagdev"/>
    <x v="9"/>
    <s v="DR-20"/>
    <s v="Repair on site"/>
    <d v="2025-12-24T00:00:00"/>
    <d v="2025-12-25T00:00:00"/>
    <d v="2025-12-25T00:00:00"/>
    <m/>
    <d v="1899-12-30T07:30:00"/>
    <d v="1899-12-30T12:00:00"/>
    <n v="4.5"/>
    <x v="0"/>
    <m/>
  </r>
  <r>
    <s v="Bay 6 -_x000a_Generator"/>
    <x v="20"/>
    <s v="Suraj"/>
    <x v="2"/>
    <s v="GEN200-009"/>
    <s v="Final fitting, head test, coolant filling"/>
    <d v="2025-12-24T00:00:00"/>
    <d v="2025-12-25T00:00:00"/>
    <d v="2025-12-25T00:00:00"/>
    <m/>
    <d v="1899-12-30T07:30:00"/>
    <d v="1899-12-30T11:30:00"/>
    <n v="4"/>
    <x v="0"/>
    <m/>
  </r>
  <r>
    <s v="Bay 6 -_x000a_Generator"/>
    <x v="20"/>
    <s v="Anwar"/>
    <x v="2"/>
    <s v="GENJ135-002"/>
    <s v="Final fitting, head test, coolant filling"/>
    <d v="2025-12-03T00:00:00"/>
    <d v="2025-12-25T00:00:00"/>
    <d v="2025-12-25T00:00:00"/>
    <m/>
    <d v="1899-12-30T07:30:00"/>
    <d v="1899-12-30T11:30:00"/>
    <n v="4"/>
    <x v="0"/>
    <m/>
  </r>
  <r>
    <s v="Bay 6 -_x000a_Generator"/>
    <x v="20"/>
    <s v="Anwar"/>
    <x v="10"/>
    <s v="BFT3-319/331/336/342"/>
    <s v="Main &amp; return fuel line fixing"/>
    <d v="2025-12-25T00:00:00"/>
    <d v="2025-12-25T00:00:00"/>
    <d v="2025-12-25T00:00:00"/>
    <m/>
    <d v="1899-12-30T11:30:00"/>
    <d v="1899-12-30T16:30:00"/>
    <n v="5"/>
    <x v="0"/>
    <m/>
  </r>
  <r>
    <s v="Bay 6 -_x000a_Generator"/>
    <x v="20"/>
    <s v="Anwar"/>
    <x v="2"/>
    <s v="GEN250-038"/>
    <s v="General repair, heaed test"/>
    <d v="2025-12-25T00:00:00"/>
    <d v="2025-12-25T00:00:00"/>
    <m/>
    <m/>
    <d v="1899-12-30T11:30:00"/>
    <d v="1899-12-30T14:00:00"/>
    <n v="2.5000000000000004"/>
    <x v="3"/>
    <m/>
  </r>
  <r>
    <s v="Bay 6 -_x000a_Generator"/>
    <x v="20"/>
    <s v="Suraj"/>
    <x v="1"/>
    <m/>
    <m/>
    <m/>
    <m/>
    <m/>
    <m/>
    <d v="1899-12-30T11:30:00"/>
    <d v="1899-12-30T14:00:00"/>
    <n v="2.5000000000000004"/>
    <x v="1"/>
    <m/>
  </r>
  <r>
    <s v="Bay 6 -_x000a_Generator"/>
    <x v="20"/>
    <s v="Jagdev"/>
    <x v="8"/>
    <s v="TRAC-001"/>
    <s v="General repair, PDI, jack repair"/>
    <d v="2025-12-25T00:00:00"/>
    <d v="2025-12-25T00:00:00"/>
    <d v="2025-12-25T00:00:00"/>
    <m/>
    <d v="1899-12-30T16:00:00"/>
    <d v="1899-12-30T18:30:00"/>
    <n v="2.5000000000000018"/>
    <x v="0"/>
    <m/>
  </r>
  <r>
    <s v="Bay 4&amp;5 - _x000a_Pumps"/>
    <x v="20"/>
    <s v="Vinod"/>
    <x v="6"/>
    <s v="KV550-001"/>
    <s v="Final fitting"/>
    <d v="2025-12-25T00:00:00"/>
    <d v="2025-12-25T00:00:00"/>
    <d v="2025-12-25T00:00:00"/>
    <m/>
    <d v="1899-12-30T07:30:00"/>
    <d v="1899-12-30T12:00:00"/>
    <n v="4.5"/>
    <x v="0"/>
    <m/>
  </r>
  <r>
    <s v="Bay 4&amp;5 - _x000a_Pumps"/>
    <x v="20"/>
    <s v="Asif"/>
    <x v="6"/>
    <s v="SCT500-35"/>
    <s v="Modification as per site"/>
    <d v="2025-12-25T00:00:00"/>
    <d v="2025-12-25T00:00:00"/>
    <d v="2025-12-25T00:00:00"/>
    <m/>
    <d v="1899-12-30T07:30:00"/>
    <d v="1899-12-30T16:30:00"/>
    <n v="9"/>
    <x v="0"/>
    <m/>
  </r>
  <r>
    <s v="Bay 4&amp;5 - _x000a_Pumps"/>
    <x v="20"/>
    <s v="Asif"/>
    <x v="6"/>
    <s v="SCT500-022-023"/>
    <s v="Modification as per site"/>
    <d v="2025-12-25T00:00:00"/>
    <d v="2025-12-25T00:00:00"/>
    <d v="2025-12-25T00:00:00"/>
    <m/>
    <d v="1899-12-30T14:00:00"/>
    <d v="1899-12-30T16:30:00"/>
    <n v="2.4999999999999991"/>
    <x v="0"/>
    <m/>
  </r>
  <r>
    <s v="Bay 4&amp;5 - _x000a_Pumps"/>
    <x v="20"/>
    <s v="Vinod"/>
    <x v="1"/>
    <m/>
    <m/>
    <m/>
    <m/>
    <m/>
    <m/>
    <d v="1899-12-30T14:00:00"/>
    <d v="1899-12-30T16:30:00"/>
    <n v="2.4999999999999991"/>
    <x v="1"/>
    <m/>
  </r>
  <r>
    <s v="Bay 4&amp;5 - _x000a_Pumps"/>
    <x v="20"/>
    <s v="Jaheer"/>
    <x v="6"/>
    <s v="CD300M-14"/>
    <s v="Pump installation, Coupling replacement"/>
    <d v="2025-12-24T00:00:00"/>
    <d v="2025-12-30T00:00:00"/>
    <d v="2025-12-30T00:00:00"/>
    <m/>
    <d v="1899-12-30T08:00:00"/>
    <d v="1899-12-30T17:00:00"/>
    <n v="9.0000000000000018"/>
    <x v="0"/>
    <m/>
  </r>
  <r>
    <s v="Bay 4&amp;5 - _x000a_Pumps"/>
    <x v="20"/>
    <s v="Bilal"/>
    <x v="1"/>
    <m/>
    <m/>
    <m/>
    <m/>
    <m/>
    <m/>
    <d v="1899-12-30T08:00:00"/>
    <d v="1899-12-30T17:00:00"/>
    <n v="9.0000000000000018"/>
    <x v="1"/>
    <m/>
  </r>
  <r>
    <s v="Bay 4&amp;5 - _x000a_Pumps"/>
    <x v="20"/>
    <s v="Suresh S"/>
    <x v="0"/>
    <s v="CPX3"/>
    <s v="vaccum pump repair "/>
    <d v="2025-12-24T00:00:00"/>
    <d v="2025-12-25T00:00:00"/>
    <d v="2025-12-25T00:00:00"/>
    <m/>
    <d v="1899-12-30T08:00:00"/>
    <d v="1899-12-30T15:00:00"/>
    <n v="7"/>
    <x v="0"/>
    <m/>
  </r>
  <r>
    <s v="Bay 4&amp;5 - _x000a_Pumps"/>
    <x v="20"/>
    <s v="Mintu"/>
    <x v="0"/>
    <s v="PT175-531"/>
    <s v="Engine assembling ongoing"/>
    <d v="2025-12-20T00:00:00"/>
    <d v="2025-12-25T00:00:00"/>
    <d v="2025-12-25T00:00:00"/>
    <m/>
    <d v="1899-12-30T08:00:00"/>
    <d v="1899-12-30T13:00:00"/>
    <n v="5"/>
    <x v="0"/>
    <m/>
  </r>
  <r>
    <s v="Bay 4&amp;5 - _x000a_Pumps"/>
    <x v="20"/>
    <s v="Shaji"/>
    <x v="1"/>
    <m/>
    <m/>
    <m/>
    <m/>
    <m/>
    <m/>
    <d v="1899-12-30T10:30:00"/>
    <d v="1899-12-30T11:00:00"/>
    <n v="0.49999999999999956"/>
    <x v="1"/>
    <m/>
  </r>
  <r>
    <s v="Bay 4&amp;5 - _x000a_Pumps"/>
    <x v="20"/>
    <s v="Harish"/>
    <x v="0"/>
    <s v="CP150-844"/>
    <s v="Engine assembling"/>
    <d v="2025-12-20T00:00:00"/>
    <d v="2025-12-25T00:00:00"/>
    <d v="2025-12-25T00:00:00"/>
    <m/>
    <d v="1899-12-30T07:30:00"/>
    <d v="1899-12-30T18:30:00"/>
    <n v="11"/>
    <x v="0"/>
    <m/>
  </r>
  <r>
    <s v="Bay 4&amp;5 - _x000a_Pumps"/>
    <x v="20"/>
    <s v="Shaji"/>
    <x v="1"/>
    <m/>
    <m/>
    <m/>
    <m/>
    <m/>
    <m/>
    <d v="1899-12-30T11:00:00"/>
    <d v="1899-12-30T12:00:00"/>
    <n v="1.0000000000000004"/>
    <x v="1"/>
    <m/>
  </r>
  <r>
    <s v="Bay 4&amp;5 - _x000a_Pumps"/>
    <x v="20"/>
    <s v="Ismail"/>
    <x v="0"/>
    <s v="PT175-531"/>
    <s v="Pump prepare for assembling"/>
    <d v="2025-12-23T00:00:00"/>
    <d v="2025-12-25T00:00:00"/>
    <d v="2025-12-25T00:00:00"/>
    <m/>
    <d v="1899-12-30T07:30:00"/>
    <d v="1899-12-30T10:30:00"/>
    <n v="3"/>
    <x v="0"/>
    <m/>
  </r>
  <r>
    <s v="Bay 4&amp;5 - _x000a_Pumps"/>
    <x v="20"/>
    <s v="Shaji"/>
    <x v="1"/>
    <m/>
    <m/>
    <m/>
    <m/>
    <m/>
    <m/>
    <d v="1899-12-30T10:30:00"/>
    <d v="1899-12-30T11:00:00"/>
    <n v="0.49999999999999956"/>
    <x v="1"/>
    <m/>
  </r>
  <r>
    <s v="Bay 4&amp;5 - _x000a_Pumps"/>
    <x v="20"/>
    <s v="Ismail"/>
    <x v="0"/>
    <s v="JP-223"/>
    <s v="Pump water test failed, &amp; dismantling "/>
    <d v="2025-12-25T00:00:00"/>
    <d v="2025-12-25T00:00:00"/>
    <d v="2025-12-25T00:00:00"/>
    <m/>
    <d v="1899-12-30T10:30:00"/>
    <d v="1899-12-30T18:30:00"/>
    <n v="8"/>
    <x v="0"/>
    <m/>
  </r>
  <r>
    <s v="Bay 4&amp;5 - _x000a_Pumps"/>
    <x v="20"/>
    <s v="James"/>
    <x v="0"/>
    <s v="CP150-374"/>
    <s v="Float Reapir &amp; vaccum pump change."/>
    <d v="2025-12-24T00:00:00"/>
    <d v="2025-12-25T00:00:00"/>
    <m/>
    <m/>
    <d v="1899-12-30T10:00:00"/>
    <d v="1899-12-30T19:00:00"/>
    <n v="8.9999999999999982"/>
    <x v="3"/>
    <m/>
  </r>
  <r>
    <s v="Bay 4&amp;5 - _x000a_Pumps"/>
    <x v="20"/>
    <s v="Shaji"/>
    <x v="8"/>
    <s v="General work"/>
    <s v="MCS work &amp; general work"/>
    <d v="2025-12-25T00:00:00"/>
    <d v="2025-12-25T00:00:00"/>
    <d v="2025-12-25T00:00:00"/>
    <m/>
    <d v="1899-12-30T10:00:00"/>
    <d v="1899-12-30T12:00:00"/>
    <n v="1.9999999999999996"/>
    <x v="0"/>
    <m/>
  </r>
  <r>
    <s v="Bay 4&amp;5 - _x000a_Pumps"/>
    <x v="20"/>
    <s v="Bharathesha"/>
    <x v="0"/>
    <s v="CP150-633"/>
    <s v="Pump repair"/>
    <d v="2025-12-24T00:00:00"/>
    <d v="2025-12-25T00:00:00"/>
    <m/>
    <m/>
    <d v="1899-12-30T11:00:00"/>
    <d v="1899-12-30T13:30:00"/>
    <n v="2.5000000000000004"/>
    <x v="3"/>
    <m/>
  </r>
  <r>
    <s v="Electrical"/>
    <x v="21"/>
    <s v="Fahad"/>
    <x v="3"/>
    <s v="SPB3.7X8"/>
    <s v="Cable gland &amp; sensor cable cutting"/>
    <d v="2025-12-26T00:00:00"/>
    <d v="2025-12-26T00:00:00"/>
    <d v="2025-12-26T00:00:00"/>
    <m/>
    <d v="1899-12-30T08:00:00"/>
    <d v="1899-12-30T17:00:00"/>
    <n v="9.0000000000000018"/>
    <x v="0"/>
    <m/>
  </r>
  <r>
    <s v="Electrical"/>
    <x v="21"/>
    <s v="Shahanawaz"/>
    <x v="1"/>
    <m/>
    <m/>
    <m/>
    <m/>
    <m/>
    <m/>
    <d v="1899-12-30T07:30:00"/>
    <d v="1899-12-30T16:30:00"/>
    <n v="9"/>
    <x v="1"/>
    <m/>
  </r>
  <r>
    <s v="Electrical"/>
    <x v="21"/>
    <s v="Faisal"/>
    <x v="8"/>
    <s v="Site task"/>
    <s v="Site task"/>
    <d v="2025-12-26T00:00:00"/>
    <d v="2025-12-26T00:00:00"/>
    <d v="2025-12-26T00:00:00"/>
    <m/>
    <d v="1899-12-30T07:30:00"/>
    <d v="1899-12-30T16:30:00"/>
    <n v="9"/>
    <x v="0"/>
    <m/>
  </r>
  <r>
    <s v="Electrical"/>
    <x v="21"/>
    <s v="Venu"/>
    <x v="4"/>
    <s v="SM1002/60-276/14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Aman"/>
    <x v="4"/>
    <s v="SM1002/60-152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x v="0"/>
    <m/>
  </r>
  <r>
    <s v="Electrical"/>
    <x v="21"/>
    <s v="Gihan"/>
    <x v="4"/>
    <s v="SM1002/60-195/032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Gulam"/>
    <x v="4"/>
    <s v="SM1002/60-191/22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Saqib"/>
    <x v="4"/>
    <s v="SM1002/60-196/119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x v="0"/>
    <m/>
  </r>
  <r>
    <s v="Electrical"/>
    <x v="21"/>
    <s v="Cherith"/>
    <x v="4"/>
    <s v="SM1002/60-126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x v="0"/>
    <m/>
  </r>
  <r>
    <s v="Electrical"/>
    <x v="21"/>
    <s v="Cherith"/>
    <x v="4"/>
    <s v="SMSP3-021/SGN005/SF2250-005/SF300-002/SF300-001"/>
    <s v="Pump inspection, checked ok, sent to site"/>
    <d v="2025-12-26T00:00:00"/>
    <d v="2025-12-26T00:00:00"/>
    <d v="2025-12-26T00:00:00"/>
    <m/>
    <d v="1899-12-30T13:00:00"/>
    <d v="1899-12-30T17:00:00"/>
    <n v="4.0000000000000018"/>
    <x v="0"/>
    <m/>
  </r>
  <r>
    <s v="Electrical"/>
    <x v="21"/>
    <s v="Aman"/>
    <x v="1"/>
    <m/>
    <m/>
    <d v="2025-12-26T00:00:00"/>
    <d v="2025-12-26T00:00:00"/>
    <d v="2025-12-26T00:00:00"/>
    <m/>
    <d v="1899-12-30T13:00:00"/>
    <d v="1899-12-30T17:00:00"/>
    <n v="4.0000000000000018"/>
    <x v="1"/>
    <m/>
  </r>
  <r>
    <s v="Bay 6 -_x000a_Generator"/>
    <x v="21"/>
    <s v="Anwar"/>
    <x v="2"/>
    <s v="GEN200-007/009/GEN250-044/012/GEN135-002/250-48/GEN250-54"/>
    <s v="Final fitting, battery fixing, PDI &amp; flowfinity"/>
    <d v="2025-12-26T00:00:00"/>
    <d v="2025-12-26T00:00:00"/>
    <d v="2025-12-26T00:00:00"/>
    <m/>
    <d v="1899-12-30T07:30:00"/>
    <d v="1899-12-30T12:30:00"/>
    <n v="5.0000000000000009"/>
    <x v="0"/>
    <m/>
  </r>
  <r>
    <s v="Bay 6 -_x000a_Generator"/>
    <x v="21"/>
    <s v="Suraj"/>
    <x v="1"/>
    <m/>
    <m/>
    <m/>
    <m/>
    <m/>
    <m/>
    <d v="1899-12-30T07:30:00"/>
    <d v="1899-12-30T16:30:00"/>
    <n v="9"/>
    <x v="1"/>
    <m/>
  </r>
  <r>
    <s v="Bay 6 -_x000a_Generator"/>
    <x v="21"/>
    <s v="Jagdev"/>
    <x v="1"/>
    <m/>
    <m/>
    <m/>
    <m/>
    <m/>
    <m/>
    <d v="1899-12-30T07:30:00"/>
    <d v="1899-12-30T16:30:00"/>
    <n v="9"/>
    <x v="1"/>
    <m/>
  </r>
  <r>
    <s v="Bay 6 -_x000a_Generator"/>
    <x v="21"/>
    <s v="Anwar"/>
    <x v="10"/>
    <s v="BFT3-320/329/324/340"/>
    <s v="Hose fitting fix"/>
    <d v="2025-12-26T00:00:00"/>
    <d v="2025-12-26T00:00:00"/>
    <m/>
    <m/>
    <d v="1899-12-30T14:00:00"/>
    <d v="1899-12-30T17:30:00"/>
    <n v="3.4999999999999982"/>
    <x v="2"/>
    <m/>
  </r>
  <r>
    <s v="Bay 4&amp;5 - _x000a_Pumps"/>
    <x v="21"/>
    <s v="Asif"/>
    <x v="6"/>
    <s v="CD500M-008"/>
    <s v="Impeller &amp; wear plate replacement."/>
    <d v="2025-12-26T00:00:00"/>
    <d v="2025-12-26T00:00:00"/>
    <d v="2025-12-26T00:00:00"/>
    <m/>
    <d v="1899-12-30T07:30:00"/>
    <d v="1899-12-30T16:30:00"/>
    <n v="9"/>
    <x v="0"/>
    <m/>
  </r>
  <r>
    <s v="Bay 4&amp;5 - _x000a_Pumps"/>
    <x v="21"/>
    <s v="Vinod"/>
    <x v="1"/>
    <m/>
    <m/>
    <m/>
    <m/>
    <m/>
    <m/>
    <d v="1899-12-30T07:30:00"/>
    <d v="1899-12-30T16:30:00"/>
    <n v="9"/>
    <x v="1"/>
    <m/>
  </r>
  <r>
    <s v="Bay 4&amp;5 - _x000a_Pumps"/>
    <x v="21"/>
    <s v="Jaheer"/>
    <x v="6"/>
    <s v="CD300M-14"/>
    <s v="Radiator fan drive installation, pump end installing,"/>
    <d v="2025-12-26T00:00:00"/>
    <d v="2025-12-30T00:00:00"/>
    <d v="2025-12-30T00:00:00"/>
    <m/>
    <d v="1899-12-30T08:00:00"/>
    <d v="1899-12-30T17:00:00"/>
    <n v="9.0000000000000018"/>
    <x v="0"/>
    <m/>
  </r>
  <r>
    <s v="Bay 4&amp;5 - _x000a_Pumps"/>
    <x v="21"/>
    <s v="Bilal"/>
    <x v="1"/>
    <m/>
    <m/>
    <m/>
    <m/>
    <m/>
    <m/>
    <d v="1899-12-30T08:00:00"/>
    <d v="1899-12-30T17:00:00"/>
    <n v="9.0000000000000018"/>
    <x v="1"/>
    <m/>
  </r>
  <r>
    <s v="Bay 4&amp;5 - _x000a_Pumps"/>
    <x v="21"/>
    <s v="Suresh S"/>
    <x v="0"/>
    <s v="CPX2/CP001"/>
    <s v="vaccum pump repair &amp; final fitting"/>
    <d v="2025-12-25T00:00:00"/>
    <d v="2025-12-26T00:00:00"/>
    <d v="2025-12-26T00:00:00"/>
    <m/>
    <d v="1899-12-30T08:00:00"/>
    <d v="1899-12-30T19:00:00"/>
    <n v="11"/>
    <x v="0"/>
    <m/>
  </r>
  <r>
    <s v="Bay 4&amp;5 - _x000a_Pumps"/>
    <x v="21"/>
    <s v="Mintu"/>
    <x v="0"/>
    <s v="PT175-531"/>
    <s v="Engine assembling ongoing"/>
    <d v="2025-12-20T00:00:00"/>
    <d v="2025-12-26T00:00:00"/>
    <m/>
    <m/>
    <d v="1899-12-30T08:00:00"/>
    <d v="1899-12-30T12:00:00"/>
    <n v="4"/>
    <x v="2"/>
    <m/>
  </r>
  <r>
    <s v="Bay 4&amp;5 - _x000a_Pumps"/>
    <x v="21"/>
    <s v="Shaji"/>
    <x v="1"/>
    <m/>
    <m/>
    <m/>
    <m/>
    <m/>
    <m/>
    <d v="1899-12-30T10:30:00"/>
    <d v="1899-12-30T11:00:00"/>
    <n v="0.49999999999999956"/>
    <x v="1"/>
    <m/>
  </r>
  <r>
    <s v="Bay 4&amp;5 - _x000a_Pumps"/>
    <x v="21"/>
    <s v="Harish"/>
    <x v="0"/>
    <s v="CP150-844"/>
    <s v="Engine assembling ongoing"/>
    <d v="2025-12-20T00:00:00"/>
    <d v="2025-12-26T00:00:00"/>
    <m/>
    <m/>
    <d v="1899-12-30T07:30:00"/>
    <d v="1899-12-30T18:30:00"/>
    <n v="11"/>
    <x v="3"/>
    <m/>
  </r>
  <r>
    <s v="Bay 4&amp;5 - _x000a_Pumps"/>
    <x v="21"/>
    <s v="Shaji"/>
    <x v="1"/>
    <m/>
    <m/>
    <m/>
    <m/>
    <m/>
    <m/>
    <d v="1899-12-30T11:00:00"/>
    <d v="1899-12-30T12:00:00"/>
    <n v="1.0000000000000004"/>
    <x v="1"/>
    <m/>
  </r>
  <r>
    <s v="Bay 4&amp;5 - _x000a_Pumps"/>
    <x v="21"/>
    <s v="Ismail"/>
    <x v="0"/>
    <s v="PT175-521"/>
    <s v="Pump final fitting, PDI &amp; flowfinity"/>
    <d v="2025-12-23T00:00:00"/>
    <d v="2025-12-26T00:00:00"/>
    <d v="2025-12-26T00:00:00"/>
    <m/>
    <d v="1899-12-30T07:30:00"/>
    <d v="1899-12-30T11:30:00"/>
    <n v="4"/>
    <x v="0"/>
    <m/>
  </r>
  <r>
    <s v="Bay 4&amp;5 - _x000a_Pumps"/>
    <x v="21"/>
    <s v="Shaji"/>
    <x v="1"/>
    <m/>
    <m/>
    <m/>
    <m/>
    <m/>
    <m/>
    <d v="1899-12-30T10:30:00"/>
    <d v="1899-12-30T11:00:00"/>
    <n v="0.49999999999999956"/>
    <x v="1"/>
    <m/>
  </r>
  <r>
    <s v="Bay 4&amp;5 - _x000a_Pumps"/>
    <x v="21"/>
    <s v="Ismail"/>
    <x v="0"/>
    <s v="JP-223"/>
    <s v="Pump water test failed, &amp; dismantling "/>
    <d v="2025-12-25T00:00:00"/>
    <d v="2025-12-25T00:00:00"/>
    <m/>
    <m/>
    <d v="1899-12-30T10:30:00"/>
    <d v="1899-12-30T18:30:00"/>
    <n v="8"/>
    <x v="2"/>
    <m/>
  </r>
  <r>
    <s v="Bay 4&amp;5 - _x000a_Pumps"/>
    <x v="21"/>
    <s v="James"/>
    <x v="0"/>
    <s v="CP150-374"/>
    <s v="Float Reapir &amp; vaccum pump change. Water test"/>
    <d v="2025-12-24T00:00:00"/>
    <d v="2025-12-26T00:00:00"/>
    <d v="2025-12-26T00:00:00"/>
    <m/>
    <d v="1899-12-30T08:00:00"/>
    <d v="1899-12-30T12:00:00"/>
    <n v="4"/>
    <x v="0"/>
    <m/>
  </r>
  <r>
    <s v="Bay 4&amp;5 - _x000a_Pumps"/>
    <x v="21"/>
    <s v="James"/>
    <x v="0"/>
    <s v="CP150-001"/>
    <s v="Pump repair, final fitting, Pdi &amp; flowfinity"/>
    <d v="2025-12-26T00:00:00"/>
    <d v="2025-12-26T00:00:00"/>
    <d v="2025-12-26T00:00:00"/>
    <m/>
    <d v="1899-12-30T13:00:00"/>
    <d v="1899-12-30T15:00:00"/>
    <n v="2.0000000000000009"/>
    <x v="0"/>
    <m/>
  </r>
  <r>
    <s v="Bay 4&amp;5 - _x000a_Pumps"/>
    <x v="21"/>
    <s v="James"/>
    <x v="0"/>
    <s v="CP150-845"/>
    <s v="Priming tank pressure test"/>
    <d v="2025-12-26T00:00:00"/>
    <d v="2025-12-26T00:00:00"/>
    <d v="2025-12-26T00:00:00"/>
    <m/>
    <d v="1899-12-30T15:00:00"/>
    <d v="1899-12-30T17:00:00"/>
    <n v="2.0000000000000009"/>
    <x v="0"/>
    <m/>
  </r>
  <r>
    <s v="Bay 4&amp;5 - _x000a_Pumps"/>
    <x v="21"/>
    <s v="Shaji"/>
    <x v="8"/>
    <s v="General work"/>
    <s v="MCS work &amp; general work"/>
    <d v="2025-12-26T00:00:00"/>
    <d v="2025-12-26T00:00:00"/>
    <d v="2025-12-26T00:00:00"/>
    <m/>
    <d v="1899-12-30T10:00:00"/>
    <d v="1899-12-30T12:00:00"/>
    <n v="1.9999999999999996"/>
    <x v="0"/>
    <m/>
  </r>
  <r>
    <s v="Bay 4&amp;5 - _x000a_Pumps"/>
    <x v="21"/>
    <s v="Bharathesha"/>
    <x v="0"/>
    <s v="CP150-684"/>
    <s v="Pump repair &amp; engine repair"/>
    <d v="2025-12-26T00:00:00"/>
    <d v="2025-12-26T00:00:00"/>
    <d v="2025-12-26T00:00:00"/>
    <m/>
    <d v="1899-12-30T07:30:00"/>
    <d v="1899-12-30T16:30:00"/>
    <n v="9"/>
    <x v="0"/>
    <m/>
  </r>
  <r>
    <s v="Electrical"/>
    <x v="22"/>
    <s v="Fahad"/>
    <x v="3"/>
    <s v="ATS125-008"/>
    <s v="Test repair &amp; PDI"/>
    <d v="2025-12-27T00:00:00"/>
    <d v="2025-12-27T00:00:00"/>
    <d v="2025-12-27T00:00:00"/>
    <m/>
    <d v="1899-12-30T08:00:00"/>
    <d v="1899-12-30T17:00:00"/>
    <n v="9.0000000000000018"/>
    <x v="0"/>
    <m/>
  </r>
  <r>
    <s v="Electrical"/>
    <x v="22"/>
    <s v="Fahad"/>
    <x v="4"/>
    <s v="6XSM1002"/>
    <s v="Pump flange &amp; socket fixing"/>
    <d v="2025-12-27T00:00:00"/>
    <d v="2025-12-27T00:00:00"/>
    <d v="2025-12-27T00:00:00"/>
    <m/>
    <d v="1899-12-30T14:00:00"/>
    <d v="1899-12-30T17:00:00"/>
    <n v="3"/>
    <x v="0"/>
    <m/>
  </r>
  <r>
    <s v="Electrical"/>
    <x v="22"/>
    <s v="Shahanawaz"/>
    <x v="4"/>
    <s v="SCP226"/>
    <s v="Solar &amp; frame fixing"/>
    <d v="2025-12-27T00:00:00"/>
    <d v="2025-12-27T00:00:00"/>
    <d v="2025-12-27T00:00:00"/>
    <m/>
    <d v="1899-12-30T07:30:00"/>
    <d v="1899-12-30T16:30:00"/>
    <n v="9"/>
    <x v="0"/>
    <m/>
  </r>
  <r>
    <s v="Electrical"/>
    <x v="22"/>
    <s v="Faisal"/>
    <x v="8"/>
    <s v="Site task"/>
    <s v="Site task"/>
    <d v="2025-12-27T00:00:00"/>
    <d v="2025-12-27T00:00:00"/>
    <d v="2025-12-27T00:00:00"/>
    <m/>
    <d v="1899-12-30T07:30:00"/>
    <d v="1899-12-30T16:30:00"/>
    <n v="9"/>
    <x v="0"/>
    <m/>
  </r>
  <r>
    <s v="Electrical"/>
    <x v="22"/>
    <s v="Venu"/>
    <x v="4"/>
    <s v="SMSP3-023"/>
    <s v="Parts cleaning, service &amp; pump assembling"/>
    <d v="2025-12-24T00:00:00"/>
    <d v="2025-12-27T00:00:00"/>
    <m/>
    <m/>
    <d v="1899-12-30T07:30:00"/>
    <d v="1899-12-30T13:00:00"/>
    <n v="5.4999999999999991"/>
    <x v="3"/>
    <m/>
  </r>
  <r>
    <s v="Electrical"/>
    <x v="22"/>
    <s v="Aman"/>
    <x v="1"/>
    <m/>
    <m/>
    <m/>
    <m/>
    <m/>
    <m/>
    <d v="1899-12-30T07:30:00"/>
    <d v="1899-12-30T13:00:00"/>
    <n v="5.4999999999999991"/>
    <x v="1"/>
    <m/>
  </r>
  <r>
    <s v="Electrical"/>
    <x v="22"/>
    <s v="Gihan"/>
    <x v="2"/>
    <s v="GEN60-041"/>
    <s v="Ac alternator re- winding &amp; coils"/>
    <d v="2025-12-22T00:00:00"/>
    <d v="2025-12-27T00:00:00"/>
    <d v="2025-12-27T00:00:00"/>
    <m/>
    <d v="1899-12-30T07:30:00"/>
    <d v="1899-12-30T16:30:00"/>
    <n v="9"/>
    <x v="0"/>
    <m/>
  </r>
  <r>
    <s v="Electrical"/>
    <x v="22"/>
    <s v="Gulam"/>
    <x v="4"/>
    <s v="SM1002-058"/>
    <s v="Water testing"/>
    <d v="2025-12-27T00:00:00"/>
    <d v="2025-12-27T00:00:00"/>
    <d v="2025-12-27T00:00:00"/>
    <m/>
    <d v="1899-12-30T07:30:00"/>
    <d v="1899-12-30T12:00:00"/>
    <n v="4.5"/>
    <x v="0"/>
    <m/>
  </r>
  <r>
    <s v="Electrical"/>
    <x v="22"/>
    <s v="Suhaib"/>
    <x v="5"/>
    <s v="Old 2.2kw pump"/>
    <s v="Inspection&amp; repair"/>
    <d v="2025-12-27T00:00:00"/>
    <d v="2025-12-27T00:00:00"/>
    <d v="2025-12-27T00:00:00"/>
    <m/>
    <d v="1899-12-30T08:00:00"/>
    <d v="1899-12-30T17:00:00"/>
    <n v="9.0000000000000018"/>
    <x v="0"/>
    <m/>
  </r>
  <r>
    <s v="Electrical"/>
    <x v="22"/>
    <s v="Saqib"/>
    <x v="4"/>
    <s v="SM530-611"/>
    <s v="Pump inspection, repairing &amp; assemble"/>
    <d v="2025-12-27T00:00:00"/>
    <d v="2025-12-29T00:00:00"/>
    <m/>
    <m/>
    <d v="1899-12-30T07:30:00"/>
    <d v="1899-12-30T17:30:00"/>
    <n v="10"/>
    <x v="2"/>
    <m/>
  </r>
  <r>
    <s v="Electrical"/>
    <x v="22"/>
    <s v="Cherith"/>
    <x v="2"/>
    <s v="GEN250-051"/>
    <s v="Inspection &amp; assembling"/>
    <d v="2025-12-27T00:00:00"/>
    <d v="2025-12-27T00:00:00"/>
    <m/>
    <m/>
    <d v="1899-12-30T07:30:00"/>
    <d v="1899-12-30T13:00:00"/>
    <n v="5.4999999999999991"/>
    <x v="2"/>
    <m/>
  </r>
  <r>
    <s v="Electrical"/>
    <x v="22"/>
    <s v="Aman"/>
    <x v="8"/>
    <s v="SLT-027/17/30"/>
    <s v="Inspection &amp; PDI"/>
    <d v="2025-12-27T00:00:00"/>
    <d v="2025-12-27T00:00:00"/>
    <d v="2025-12-27T00:00:00"/>
    <m/>
    <d v="1899-12-30T13:00:00"/>
    <d v="1899-12-30T16:30:00"/>
    <n v="3.5000000000000009"/>
    <x v="0"/>
    <m/>
  </r>
  <r>
    <s v="Electrical"/>
    <x v="22"/>
    <s v="Cherith"/>
    <x v="1"/>
    <m/>
    <m/>
    <m/>
    <m/>
    <m/>
    <m/>
    <d v="1899-12-30T13:00:00"/>
    <d v="1899-12-30T16:30:00"/>
    <n v="3.5000000000000009"/>
    <x v="1"/>
    <m/>
  </r>
  <r>
    <s v="Bay 6 -_x000a_Generator"/>
    <x v="22"/>
    <s v="Suraj"/>
    <x v="2"/>
    <s v="GEN250-012"/>
    <s v="Starting problem, repair &amp; load test"/>
    <d v="2025-12-20T00:00:00"/>
    <d v="2025-12-27T00:00:00"/>
    <d v="2025-12-27T00:00:00"/>
    <m/>
    <d v="1899-12-30T07:30:00"/>
    <d v="1899-12-30T09:30:00"/>
    <n v="1.9999999999999996"/>
    <x v="0"/>
    <m/>
  </r>
  <r>
    <s v="Bay 6 -_x000a_Generator"/>
    <x v="22"/>
    <s v="Jagdev"/>
    <x v="1"/>
    <m/>
    <m/>
    <m/>
    <m/>
    <m/>
    <m/>
    <d v="1899-12-30T07:30:00"/>
    <d v="1899-12-30T09:30:00"/>
    <n v="1.9999999999999996"/>
    <x v="1"/>
    <m/>
  </r>
  <r>
    <s v="Bay 6 -_x000a_Generator"/>
    <x v="22"/>
    <s v="Suraj"/>
    <x v="2"/>
    <s v="GEN250-057"/>
    <s v="Final fitting &amp; load testing"/>
    <d v="2025-12-26T00:00:00"/>
    <d v="2025-12-27T00:00:00"/>
    <m/>
    <m/>
    <d v="1899-12-30T09:30:00"/>
    <d v="1899-12-30T11:30:00"/>
    <n v="2.0000000000000009"/>
    <x v="3"/>
    <m/>
  </r>
  <r>
    <s v="Bay 6 -_x000a_Generator"/>
    <x v="22"/>
    <s v="Jagdev"/>
    <x v="1"/>
    <m/>
    <m/>
    <m/>
    <m/>
    <m/>
    <m/>
    <d v="1899-12-30T09:30:00"/>
    <d v="1899-12-30T11:30:00"/>
    <n v="2.0000000000000009"/>
    <x v="1"/>
    <m/>
  </r>
  <r>
    <s v="Bay 6 -_x000a_Generator"/>
    <x v="22"/>
    <s v="Anwar"/>
    <x v="10"/>
    <s v="BFT3-320/329/324/340"/>
    <s v="Hose fixing"/>
    <d v="2025-12-27T00:00:00"/>
    <d v="2025-12-27T00:00:00"/>
    <d v="2025-12-27T00:00:00"/>
    <m/>
    <d v="1899-12-30T07:30:00"/>
    <d v="1899-12-30T12:00:00"/>
    <n v="4.5"/>
    <x v="0"/>
    <m/>
  </r>
  <r>
    <s v="Bay 6 -_x000a_Generator"/>
    <x v="22"/>
    <s v="Suraj"/>
    <x v="8"/>
    <s v="TRAC-003"/>
    <s v="General repair"/>
    <d v="2025-12-27T00:00:00"/>
    <d v="2025-12-27T00:00:00"/>
    <d v="2025-12-27T00:00:00"/>
    <m/>
    <d v="1899-12-30T02:00:00"/>
    <d v="1899-12-30T16:30:00"/>
    <n v="14.5"/>
    <x v="0"/>
    <m/>
  </r>
  <r>
    <s v="Bay 6 -_x000a_Generator"/>
    <x v="22"/>
    <s v="Jagdev"/>
    <x v="1"/>
    <m/>
    <m/>
    <m/>
    <m/>
    <m/>
    <m/>
    <d v="1899-12-30T02:00:00"/>
    <d v="1899-12-30T16:30:00"/>
    <n v="14.5"/>
    <x v="1"/>
    <m/>
  </r>
  <r>
    <s v="Bay 6 -_x000a_Generator"/>
    <x v="22"/>
    <s v="Anwar"/>
    <x v="1"/>
    <m/>
    <m/>
    <m/>
    <m/>
    <m/>
    <m/>
    <d v="1899-12-30T02:00:00"/>
    <d v="1899-12-30T16:30:00"/>
    <n v="14.5"/>
    <x v="1"/>
    <m/>
  </r>
  <r>
    <s v="Bay 4&amp;5 - _x000a_Pumps"/>
    <x v="22"/>
    <s v="Asif"/>
    <x v="6"/>
    <s v="HPP140-002"/>
    <s v="General repair, washing &amp; testing"/>
    <d v="2025-12-27T00:00:00"/>
    <d v="2025-12-30T00:00:00"/>
    <d v="2025-12-30T00:00:00"/>
    <m/>
    <d v="1899-12-30T07:30:00"/>
    <d v="1899-12-30T13:00:00"/>
    <n v="5.4999999999999991"/>
    <x v="0"/>
    <m/>
  </r>
  <r>
    <s v="Bay 4&amp;5 - _x000a_Pumps"/>
    <x v="22"/>
    <s v="Vinod"/>
    <x v="1"/>
    <m/>
    <m/>
    <m/>
    <m/>
    <m/>
    <m/>
    <d v="1899-12-30T07:30:00"/>
    <d v="1899-12-30T16:30:00"/>
    <n v="9"/>
    <x v="1"/>
    <m/>
  </r>
  <r>
    <s v="Bay 4&amp;5 - _x000a_Pumps"/>
    <x v="22"/>
    <s v="Jaheer"/>
    <x v="6"/>
    <s v="CD300M-14"/>
    <s v="Radiator fan drive installation, pump end installing,"/>
    <d v="2025-12-27T00:00:00"/>
    <d v="2025-12-30T00:00:00"/>
    <d v="2025-12-30T00:00:00"/>
    <m/>
    <d v="1899-12-30T08:00:00"/>
    <d v="1899-12-30T17:00:00"/>
    <n v="9.0000000000000018"/>
    <x v="0"/>
    <m/>
  </r>
  <r>
    <s v="Bay 4&amp;5 - _x000a_Pumps"/>
    <x v="22"/>
    <s v="Bilal"/>
    <x v="1"/>
    <m/>
    <m/>
    <m/>
    <m/>
    <m/>
    <m/>
    <d v="1899-12-30T08:00:00"/>
    <d v="1899-12-30T17:00:00"/>
    <n v="9.0000000000000018"/>
    <x v="1"/>
    <m/>
  </r>
  <r>
    <s v="Bay 4&amp;5 - _x000a_Pumps"/>
    <x v="22"/>
    <s v="Suresh S"/>
    <x v="0"/>
    <s v="CP150X3"/>
    <s v="3nos CP pumps vaccum repair"/>
    <d v="2025-12-27T00:00:00"/>
    <d v="2025-12-27T00:00:00"/>
    <d v="2025-12-27T00:00:00"/>
    <m/>
    <d v="1899-12-30T08:00:00"/>
    <d v="1899-12-30T19:00:00"/>
    <n v="11"/>
    <x v="0"/>
    <m/>
  </r>
  <r>
    <s v="Bay 4&amp;5 - _x000a_Pumps"/>
    <x v="22"/>
    <s v="Mintu"/>
    <x v="0"/>
    <s v="CP150-923"/>
    <s v="Pump repair &amp; final fitting"/>
    <d v="2025-12-27T00:00:00"/>
    <d v="2025-12-27T00:00:00"/>
    <d v="2025-12-27T00:00:00"/>
    <m/>
    <d v="1899-12-30T08:00:00"/>
    <d v="1899-12-30T10:00:00"/>
    <n v="2.0000000000000009"/>
    <x v="0"/>
    <m/>
  </r>
  <r>
    <s v="Bay 4&amp;5 - _x000a_Pumps"/>
    <x v="22"/>
    <s v="Shaji"/>
    <x v="1"/>
    <m/>
    <m/>
    <m/>
    <m/>
    <m/>
    <m/>
    <d v="1899-12-30T10:30:00"/>
    <d v="1899-12-30T11:00:00"/>
    <n v="0.49999999999999956"/>
    <x v="1"/>
    <m/>
  </r>
  <r>
    <s v="Bay 4&amp;5 - _x000a_Pumps"/>
    <x v="22"/>
    <s v="Mintu"/>
    <x v="0"/>
    <s v="CP150-749"/>
    <s v="Pump repair &amp; final fitting"/>
    <d v="2025-12-27T00:00:00"/>
    <d v="2025-12-27T00:00:00"/>
    <d v="2025-12-27T00:00:00"/>
    <m/>
    <d v="1899-12-30T10:00:00"/>
    <d v="1899-12-30T12:00:00"/>
    <n v="1.9999999999999996"/>
    <x v="0"/>
    <m/>
  </r>
  <r>
    <s v="Bay 4&amp;5 - _x000a_Pumps"/>
    <x v="22"/>
    <s v="Mintu"/>
    <x v="0"/>
    <s v="CP150-573"/>
    <s v="pump repair"/>
    <d v="2025-12-27T00:00:00"/>
    <d v="2025-12-27T00:00:00"/>
    <d v="2025-12-27T00:00:00"/>
    <m/>
    <d v="1899-12-30T13:00:00"/>
    <d v="1899-12-30T19:00:00"/>
    <n v="6"/>
    <x v="0"/>
    <m/>
  </r>
  <r>
    <s v="Bay 4&amp;5 - _x000a_Pumps"/>
    <x v="22"/>
    <s v="Harish"/>
    <x v="0"/>
    <s v="CP150-844"/>
    <s v="Engine assembling ongoing"/>
    <d v="2025-12-20T00:00:00"/>
    <d v="2025-12-27T00:00:00"/>
    <d v="2025-12-27T00:00:00"/>
    <m/>
    <d v="1899-12-30T07:30:00"/>
    <d v="1899-12-30T18:30:00"/>
    <n v="11"/>
    <x v="0"/>
    <m/>
  </r>
  <r>
    <s v="Bay 4&amp;5 - _x000a_Pumps"/>
    <x v="22"/>
    <s v="Shaji"/>
    <x v="1"/>
    <m/>
    <m/>
    <m/>
    <m/>
    <m/>
    <m/>
    <d v="1899-12-30T11:00:00"/>
    <d v="1899-12-30T12:00:00"/>
    <n v="1.0000000000000004"/>
    <x v="1"/>
    <m/>
  </r>
  <r>
    <s v="Bay 4&amp;5 - _x000a_Pumps"/>
    <x v="22"/>
    <s v="James"/>
    <x v="0"/>
    <s v="CP150-845"/>
    <s v="Pump repair"/>
    <d v="2025-12-26T00:00:00"/>
    <d v="2025-12-27T00:00:00"/>
    <d v="2025-12-27T00:00:00"/>
    <m/>
    <d v="1899-12-30T08:00:00"/>
    <d v="1899-12-30T19:00:00"/>
    <n v="11"/>
    <x v="0"/>
    <m/>
  </r>
  <r>
    <s v="Bay 4&amp;5 - _x000a_Pumps"/>
    <x v="22"/>
    <s v="Shaji"/>
    <x v="8"/>
    <s v="General work"/>
    <s v="MCS work &amp; general work"/>
    <d v="2025-12-27T00:00:00"/>
    <d v="2025-12-27T00:00:00"/>
    <d v="2025-12-27T00:00:00"/>
    <m/>
    <d v="1899-12-30T10:00:00"/>
    <d v="1899-12-30T12:00:00"/>
    <n v="1.9999999999999996"/>
    <x v="0"/>
    <m/>
  </r>
  <r>
    <s v="Bay 4&amp;5 - _x000a_Pumps"/>
    <x v="22"/>
    <s v="Bharathesha"/>
    <x v="0"/>
    <s v="CP150-684"/>
    <s v="Pump repair &amp; engine repair"/>
    <d v="2025-12-26T00:00:00"/>
    <d v="2025-12-27T00:00:00"/>
    <d v="2025-12-27T00:00:00"/>
    <m/>
    <d v="1899-12-30T07:30:00"/>
    <d v="1899-12-30T16:30:00"/>
    <n v="9"/>
    <x v="0"/>
    <m/>
  </r>
  <r>
    <s v="Electrical"/>
    <x v="23"/>
    <s v="Fahad"/>
    <x v="3"/>
    <s v="Old CPB"/>
    <s v="6X old cpb dismantling"/>
    <d v="2025-12-29T00:00:00"/>
    <d v="2025-12-29T00:00:00"/>
    <d v="2025-12-29T00:00:00"/>
    <m/>
    <d v="1899-12-30T08:00:00"/>
    <d v="1899-12-30T17:00:00"/>
    <n v="9.0000000000000018"/>
    <x v="0"/>
    <m/>
  </r>
  <r>
    <s v="Electrical"/>
    <x v="23"/>
    <s v="Shahanawaz"/>
    <x v="3"/>
    <s v="Old CPB"/>
    <s v="6X old cpb dismantling"/>
    <d v="2025-12-29T00:00:00"/>
    <d v="2025-12-29T00:00:00"/>
    <d v="2025-12-29T00:00:00"/>
    <m/>
    <d v="1899-12-30T07:30:00"/>
    <d v="1899-12-30T16:30:00"/>
    <n v="9"/>
    <x v="0"/>
    <m/>
  </r>
  <r>
    <s v="Electrical"/>
    <x v="23"/>
    <s v="Lijo"/>
    <x v="3"/>
    <s v="Old CPB"/>
    <s v="6X old cpb dismantling"/>
    <d v="2025-12-29T00:00:00"/>
    <d v="2025-12-29T00:00:00"/>
    <d v="2025-12-29T00:00:00"/>
    <m/>
    <d v="1899-12-30T08:00:00"/>
    <d v="1899-12-30T17:00:00"/>
    <n v="9.0000000000000018"/>
    <x v="0"/>
    <m/>
  </r>
  <r>
    <s v="Electrical"/>
    <x v="23"/>
    <s v="Cherith"/>
    <x v="4"/>
    <s v="SMSP3-023"/>
    <s v="75kw pump assembling"/>
    <d v="2025-12-24T00:00:00"/>
    <d v="2025-12-29T00:00:00"/>
    <m/>
    <m/>
    <d v="1899-12-30T07:30:00"/>
    <d v="1899-12-30T17:00:00"/>
    <n v="9.5"/>
    <x v="2"/>
    <m/>
  </r>
  <r>
    <s v="Electrical"/>
    <x v="23"/>
    <s v="Aman"/>
    <x v="1"/>
    <m/>
    <m/>
    <m/>
    <m/>
    <m/>
    <m/>
    <d v="1899-12-30T07:30:00"/>
    <d v="1899-12-30T17:00:00"/>
    <n v="9.5"/>
    <x v="1"/>
    <m/>
  </r>
  <r>
    <s v="Electrical"/>
    <x v="23"/>
    <s v="Gulam"/>
    <x v="4"/>
    <s v="SM530-624"/>
    <s v="Inspection &amp; dismantle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Suhaib"/>
    <x v="5"/>
    <s v="Old 2.2kw pump"/>
    <s v="Inspection&amp; repair"/>
    <d v="2025-12-29T00:00:00"/>
    <d v="2025-12-29T00:00:00"/>
    <m/>
    <m/>
    <d v="1899-12-30T08:00:00"/>
    <d v="1899-12-30T17:00:00"/>
    <n v="9.0000000000000018"/>
    <x v="2"/>
    <m/>
  </r>
  <r>
    <s v="Electrical"/>
    <x v="23"/>
    <s v="Saqib"/>
    <x v="4"/>
    <s v="SM530-611"/>
    <s v="Pump inspection, repairing &amp; assemble"/>
    <d v="2025-12-27T00:00:00"/>
    <d v="2025-12-29T00:00:00"/>
    <m/>
    <m/>
    <d v="1899-12-30T07:30:00"/>
    <d v="1899-12-30T17:30:00"/>
    <n v="10"/>
    <x v="2"/>
    <m/>
  </r>
  <r>
    <s v="Electrical"/>
    <x v="23"/>
    <s v="Gihan"/>
    <x v="8"/>
    <s v="SLT-021/24/18/29"/>
    <s v="Inspection &amp; PDI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Venu"/>
    <x v="4"/>
    <s v="SM530-388"/>
    <s v="Inspection &amp; dismantle"/>
    <d v="2025-12-29T00:00:00"/>
    <d v="2025-12-29T00:00:00"/>
    <d v="2025-12-29T00:00:00"/>
    <m/>
    <d v="1899-12-30T07:30:00"/>
    <d v="1899-12-30T12:00:00"/>
    <n v="4.5"/>
    <x v="0"/>
    <m/>
  </r>
  <r>
    <s v="Electrical"/>
    <x v="23"/>
    <s v="Venu"/>
    <x v="4"/>
    <s v="SM530-552/330-379"/>
    <s v="Rotor repair "/>
    <d v="2025-12-29T00:00:00"/>
    <d v="2025-12-30T00:00:00"/>
    <d v="2025-12-30T00:00:00"/>
    <m/>
    <d v="1899-12-30T13:00:00"/>
    <d v="1899-12-30T16:30:00"/>
    <n v="3.5000000000000009"/>
    <x v="0"/>
    <m/>
  </r>
  <r>
    <s v="Electrical"/>
    <x v="23"/>
    <s v="Gulam"/>
    <x v="1"/>
    <m/>
    <m/>
    <m/>
    <m/>
    <m/>
    <m/>
    <d v="1899-12-30T13:00:00"/>
    <d v="1899-12-30T16:30:00"/>
    <n v="3.5000000000000009"/>
    <x v="1"/>
    <m/>
  </r>
  <r>
    <s v="Electrical"/>
    <x v="23"/>
    <s v="Gihan"/>
    <x v="4"/>
    <s v="SM530X2"/>
    <s v="Stator rewinding"/>
    <d v="2025-12-29T00:00:00"/>
    <d v="2025-12-30T00:00:00"/>
    <d v="2025-12-30T00:00:00"/>
    <m/>
    <d v="1899-12-30T13:00:00"/>
    <d v="1899-12-30T17:30:00"/>
    <n v="4.5"/>
    <x v="0"/>
    <m/>
  </r>
  <r>
    <s v="Electrical"/>
    <x v="23"/>
    <s v="Saqib"/>
    <x v="1"/>
    <m/>
    <m/>
    <m/>
    <m/>
    <m/>
    <m/>
    <d v="1899-12-30T13:00:00"/>
    <d v="1899-12-30T17:30:00"/>
    <n v="4.5"/>
    <x v="1"/>
    <m/>
  </r>
  <r>
    <s v="Electrical"/>
    <x v="23"/>
    <s v="Gulam"/>
    <x v="8"/>
    <s v="SWD60AH-002"/>
    <s v="Inspection &amp; dismantle"/>
    <d v="2025-12-29T00:00:00"/>
    <d v="2025-12-29T00:00:00"/>
    <m/>
    <m/>
    <d v="1899-12-30T16:00:00"/>
    <d v="1899-12-30T18:30:00"/>
    <n v="2.5000000000000018"/>
    <x v="2"/>
    <m/>
  </r>
  <r>
    <s v="Electrical"/>
    <x v="23"/>
    <s v="Venu"/>
    <x v="8"/>
    <s v="SWD60AH-001"/>
    <s v="Inspection &amp; dismantle"/>
    <d v="2025-12-29T00:00:00"/>
    <d v="2025-12-29T00:00:00"/>
    <m/>
    <m/>
    <d v="1899-12-30T16:00:00"/>
    <d v="1899-12-30T18:30:00"/>
    <n v="2.5000000000000018"/>
    <x v="2"/>
    <m/>
  </r>
  <r>
    <s v="Bay 6 -_x000a_Generator"/>
    <x v="23"/>
    <s v="Suraj"/>
    <x v="2"/>
    <s v="GEN150-004"/>
    <s v="Canopy &amp; side doors fitting"/>
    <d v="2025-12-23T00:00:00"/>
    <d v="2025-12-29T00:00:00"/>
    <d v="2025-12-29T00:00:00"/>
    <m/>
    <d v="1899-12-30T07:30:00"/>
    <d v="1899-12-30T11:30:00"/>
    <n v="4"/>
    <x v="0"/>
    <m/>
  </r>
  <r>
    <s v="Bay 6 -_x000a_Generator"/>
    <x v="23"/>
    <s v="Anwar"/>
    <x v="1"/>
    <m/>
    <m/>
    <m/>
    <m/>
    <m/>
    <m/>
    <d v="1899-12-30T07:30:00"/>
    <d v="1899-12-30T11:30:00"/>
    <n v="4"/>
    <x v="1"/>
    <m/>
  </r>
  <r>
    <s v="Bay 6 -_x000a_Generator"/>
    <x v="23"/>
    <s v="Suraj"/>
    <x v="10"/>
    <s v="BFT3-337/333/332/328"/>
    <s v="Hose &amp; fittings fixing."/>
    <d v="2025-12-20T00:00:00"/>
    <d v="2025-12-29T00:00:00"/>
    <d v="2025-12-29T00:00:00"/>
    <m/>
    <d v="1899-12-30T07:30:00"/>
    <d v="1899-12-30T16:30:00"/>
    <n v="9"/>
    <x v="0"/>
    <m/>
  </r>
  <r>
    <s v="Bay 6 -_x000a_Generator"/>
    <x v="23"/>
    <s v="Jagdev"/>
    <x v="1"/>
    <m/>
    <m/>
    <m/>
    <m/>
    <m/>
    <m/>
    <d v="1899-12-30T07:30:00"/>
    <d v="1899-12-30T16:30:00"/>
    <n v="9"/>
    <x v="1"/>
    <m/>
  </r>
  <r>
    <s v="Bay 6 -_x000a_Generator"/>
    <x v="23"/>
    <s v="Anwar"/>
    <x v="1"/>
    <m/>
    <m/>
    <m/>
    <m/>
    <m/>
    <m/>
    <d v="1899-12-30T11:30:00"/>
    <d v="1899-12-30T16:30:00"/>
    <n v="5"/>
    <x v="1"/>
    <m/>
  </r>
  <r>
    <s v="Bay 4&amp;5 - _x000a_Pumps"/>
    <x v="23"/>
    <s v="Asif"/>
    <x v="6"/>
    <s v="HPP140-002"/>
    <s v="Hydraulic oil changing"/>
    <d v="2025-12-27T00:00:00"/>
    <d v="2025-12-29T00:00:00"/>
    <d v="2025-12-29T00:00:00"/>
    <m/>
    <d v="1899-12-30T07:30:00"/>
    <d v="1899-12-30T10:30:00"/>
    <n v="3"/>
    <x v="0"/>
    <m/>
  </r>
  <r>
    <s v="Bay 4&amp;5 - _x000a_Pumps"/>
    <x v="23"/>
    <s v="Vinod"/>
    <x v="1"/>
    <m/>
    <m/>
    <m/>
    <m/>
    <m/>
    <m/>
    <d v="1899-12-30T07:30:00"/>
    <d v="1899-12-30T10:30:00"/>
    <n v="3"/>
    <x v="1"/>
    <m/>
  </r>
  <r>
    <s v="Bay 4&amp;5 - _x000a_Pumps"/>
    <x v="23"/>
    <s v="Jaheer"/>
    <x v="6"/>
    <s v="CD300M-14"/>
    <s v="Installation on test bay."/>
    <d v="2025-12-27T00:00:00"/>
    <d v="2025-12-30T00:00:00"/>
    <d v="2025-12-29T00:00:00"/>
    <m/>
    <d v="1899-12-30T08:00:00"/>
    <d v="1899-12-30T17:00:00"/>
    <n v="9.0000000000000018"/>
    <x v="0"/>
    <m/>
  </r>
  <r>
    <s v="Bay 4&amp;5 - _x000a_Pumps"/>
    <x v="23"/>
    <s v="Bilal"/>
    <x v="1"/>
    <m/>
    <m/>
    <m/>
    <m/>
    <m/>
    <m/>
    <d v="1899-12-30T08:00:00"/>
    <d v="1899-12-30T17:00:00"/>
    <n v="9.0000000000000018"/>
    <x v="1"/>
    <m/>
  </r>
  <r>
    <s v="Bay 4&amp;5 - _x000a_Pumps"/>
    <x v="23"/>
    <s v="Suresh S"/>
    <x v="0"/>
    <s v="CP150X3"/>
    <s v="3nos CP pumps vaccum repair"/>
    <d v="2025-12-27T00:00:00"/>
    <d v="2025-12-27T00:00:00"/>
    <m/>
    <m/>
    <d v="1899-12-30T08:00:00"/>
    <d v="1899-12-30T19:00:00"/>
    <n v="11"/>
    <x v="0"/>
    <m/>
  </r>
  <r>
    <s v="Bay 4&amp;5 - _x000a_Pumps"/>
    <x v="23"/>
    <s v="Mintu"/>
    <x v="0"/>
    <s v="CP150-923"/>
    <s v="Pump repair &amp; final fitting"/>
    <d v="2025-12-27T00:00:00"/>
    <d v="2025-12-27T00:00:00"/>
    <m/>
    <m/>
    <d v="1899-12-30T08:00:00"/>
    <d v="1899-12-30T10:00:00"/>
    <n v="2.0000000000000009"/>
    <x v="2"/>
    <m/>
  </r>
  <r>
    <s v="Bay 4&amp;5 - _x000a_Pumps"/>
    <x v="23"/>
    <s v="Shaji"/>
    <x v="1"/>
    <m/>
    <m/>
    <m/>
    <m/>
    <m/>
    <m/>
    <d v="1899-12-30T10:30:00"/>
    <d v="1899-12-30T11:00:00"/>
    <n v="0.49999999999999956"/>
    <x v="1"/>
    <m/>
  </r>
  <r>
    <s v="Bay 4&amp;5 - _x000a_Pumps"/>
    <x v="23"/>
    <s v="Mintu"/>
    <x v="0"/>
    <s v="CP150-749"/>
    <s v="Pump repair &amp; final fitting"/>
    <d v="2025-12-27T00:00:00"/>
    <d v="2025-12-27T00:00:00"/>
    <m/>
    <m/>
    <d v="1899-12-30T10:00:00"/>
    <d v="1899-12-30T12:00:00"/>
    <n v="1.9999999999999996"/>
    <x v="2"/>
    <m/>
  </r>
  <r>
    <s v="Bay 4&amp;5 - _x000a_Pumps"/>
    <x v="23"/>
    <s v="Mintu"/>
    <x v="0"/>
    <s v="CP150-573"/>
    <s v="pump repair"/>
    <d v="2025-12-27T00:00:00"/>
    <d v="2025-12-27T00:00:00"/>
    <m/>
    <m/>
    <d v="1899-12-30T13:00:00"/>
    <d v="1899-12-30T19:00:00"/>
    <n v="6"/>
    <x v="2"/>
    <m/>
  </r>
  <r>
    <s v="Bay 4&amp;5 - _x000a_Pumps"/>
    <x v="23"/>
    <s v="Harish"/>
    <x v="0"/>
    <s v="CP150-844"/>
    <s v="Engine assembling ongoing"/>
    <d v="2025-12-20T00:00:00"/>
    <d v="2025-12-27T00:00:00"/>
    <m/>
    <m/>
    <d v="1899-12-30T07:30:00"/>
    <d v="1899-12-30T18:30:00"/>
    <n v="11"/>
    <x v="2"/>
    <m/>
  </r>
  <r>
    <s v="Bay 4&amp;5 - _x000a_Pumps"/>
    <x v="23"/>
    <s v="Shaji"/>
    <x v="1"/>
    <m/>
    <m/>
    <m/>
    <m/>
    <m/>
    <m/>
    <d v="1899-12-30T11:00:00"/>
    <d v="1899-12-30T12:00:00"/>
    <n v="1.0000000000000004"/>
    <x v="1"/>
    <m/>
  </r>
  <r>
    <s v="Bay 4&amp;5 - _x000a_Pumps"/>
    <x v="23"/>
    <s v="James"/>
    <x v="0"/>
    <s v="CP150-845"/>
    <s v="Pump repair"/>
    <d v="2025-12-26T00:00:00"/>
    <d v="2025-12-27T00:00:00"/>
    <m/>
    <m/>
    <d v="1899-12-30T08:00:00"/>
    <d v="1899-12-30T19:00:00"/>
    <n v="11"/>
    <x v="2"/>
    <m/>
  </r>
  <r>
    <s v="Bay 4&amp;5 - _x000a_Pumps"/>
    <x v="23"/>
    <s v="Shaji"/>
    <x v="8"/>
    <s v="General work"/>
    <s v="MCS work &amp; general work"/>
    <d v="2025-12-27T00:00:00"/>
    <d v="2025-12-27T00:00:00"/>
    <m/>
    <m/>
    <d v="1899-12-30T10:00:00"/>
    <d v="1899-12-30T12:00:00"/>
    <n v="1.9999999999999996"/>
    <x v="2"/>
    <m/>
  </r>
  <r>
    <s v="Bay 4&amp;5 - _x000a_Pumps"/>
    <x v="23"/>
    <s v="Bharathesha"/>
    <x v="0"/>
    <s v="CP150-684"/>
    <s v="Pump repair &amp; engine repair"/>
    <d v="2025-12-26T00:00:00"/>
    <d v="2025-12-27T00:00:00"/>
    <m/>
    <m/>
    <d v="1899-12-30T07:30:00"/>
    <d v="1899-12-30T16:30:00"/>
    <n v="9"/>
    <x v="2"/>
    <m/>
  </r>
  <r>
    <s v="Electrical"/>
    <x v="24"/>
    <s v="Fahad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Shahanawaz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Lijo"/>
    <x v="3"/>
    <s v="Old CPB"/>
    <s v="6X old cpb dismantling"/>
    <d v="2025-12-29T00:00:00"/>
    <d v="2025-12-29T00:00:00"/>
    <m/>
    <m/>
    <d v="1899-12-30T06:00:00"/>
    <d v="1899-12-30T10:00:00"/>
    <n v="4"/>
    <x v="0"/>
    <m/>
  </r>
  <r>
    <s v="Electrical"/>
    <x v="24"/>
    <s v="Cherith"/>
    <x v="4"/>
    <s v="SMSP3-023"/>
    <s v="75kw pump assembling"/>
    <d v="2025-12-24T00:00:00"/>
    <d v="2025-12-30T00:00:00"/>
    <m/>
    <m/>
    <d v="1899-12-30T06:00:00"/>
    <d v="1899-12-30T10:00:00"/>
    <n v="4"/>
    <x v="0"/>
    <m/>
  </r>
  <r>
    <s v="Electrical"/>
    <x v="24"/>
    <s v="Aman"/>
    <x v="1"/>
    <m/>
    <m/>
    <m/>
    <m/>
    <m/>
    <m/>
    <d v="1899-12-30T06:00:00"/>
    <d v="1899-12-30T10:00:00"/>
    <n v="4"/>
    <x v="1"/>
    <m/>
  </r>
  <r>
    <s v="Electrical"/>
    <x v="24"/>
    <s v="Gulam"/>
    <x v="8"/>
    <s v="SWD60N-002"/>
    <s v="Inspection &amp; dismantling"/>
    <d v="2025-12-29T00:00:00"/>
    <d v="2025-12-30T00:00:00"/>
    <m/>
    <m/>
    <d v="1899-12-30T06:00:00"/>
    <d v="1899-12-30T10:00:00"/>
    <n v="4"/>
    <x v="0"/>
    <m/>
  </r>
  <r>
    <s v="Electrical"/>
    <x v="24"/>
    <s v="Suhaib"/>
    <x v="5"/>
    <s v="Old 2.2kw pump"/>
    <s v="10nos Inspection &amp; repair"/>
    <d v="2025-12-29T00:00:00"/>
    <d v="2025-12-30T00:00:00"/>
    <m/>
    <m/>
    <d v="1899-12-30T06:00:00"/>
    <d v="1899-12-30T10:00:00"/>
    <n v="4"/>
    <x v="0"/>
    <m/>
  </r>
  <r>
    <s v="Electrical"/>
    <x v="24"/>
    <s v="Saqib"/>
    <x v="4"/>
    <s v="SM530X2"/>
    <s v="Stator rewinding"/>
    <d v="2025-12-29T00:00:00"/>
    <d v="2025-12-30T00:00:00"/>
    <m/>
    <m/>
    <d v="1899-12-30T06:00:00"/>
    <d v="1899-12-30T10:00:00"/>
    <n v="4"/>
    <x v="0"/>
    <m/>
  </r>
  <r>
    <s v="Electrical"/>
    <x v="24"/>
    <s v="Gihan"/>
    <x v="1"/>
    <m/>
    <m/>
    <m/>
    <m/>
    <m/>
    <m/>
    <d v="1899-12-30T06:00:00"/>
    <d v="1899-12-30T10:00:00"/>
    <n v="4"/>
    <x v="1"/>
    <m/>
  </r>
  <r>
    <s v="Electrical"/>
    <x v="24"/>
    <s v="Venu"/>
    <x v="8"/>
    <s v="SWD60N-002"/>
    <s v="Inspection &amp; dismantling"/>
    <d v="2025-12-29T00:00:00"/>
    <d v="2025-12-30T00:00:00"/>
    <m/>
    <m/>
    <d v="1899-12-30T06:00:00"/>
    <d v="1899-12-30T10:00:00"/>
    <n v="4"/>
    <x v="0"/>
    <m/>
  </r>
  <r>
    <s v="Bay 6 -_x000a_Generator"/>
    <x v="24"/>
    <s v="Suraj"/>
    <x v="10"/>
    <s v="BFT3-337/333/332/328/324/320/340/329"/>
    <s v="Hose &amp; fittings fixing."/>
    <d v="2025-12-20T00:00:00"/>
    <d v="2025-12-30T00:00:00"/>
    <m/>
    <m/>
    <d v="1899-12-30T06:00:00"/>
    <d v="1899-12-30T10:00:00"/>
    <n v="4"/>
    <x v="0"/>
    <m/>
  </r>
  <r>
    <s v="Bay 6 -_x000a_Generator"/>
    <x v="24"/>
    <s v="Jagdev"/>
    <x v="1"/>
    <m/>
    <m/>
    <m/>
    <m/>
    <m/>
    <m/>
    <d v="1899-12-30T06:00:00"/>
    <d v="1899-12-30T10:00:00"/>
    <n v="4"/>
    <x v="1"/>
    <m/>
  </r>
  <r>
    <s v="Bay 6 -_x000a_Generator"/>
    <x v="24"/>
    <s v="Anwar"/>
    <x v="1"/>
    <m/>
    <m/>
    <m/>
    <m/>
    <m/>
    <m/>
    <d v="1899-12-30T06:00:00"/>
    <d v="1899-12-30T10:00:00"/>
    <n v="4"/>
    <x v="1"/>
    <m/>
  </r>
  <r>
    <s v="Bay 4&amp;5 - _x000a_Pumps"/>
    <x v="24"/>
    <s v="Asif"/>
    <x v="6"/>
    <s v="CD150M-002"/>
    <s v="Pump end dismantling"/>
    <d v="2025-12-30T00:00:00"/>
    <d v="2026-01-05T00:00:00"/>
    <m/>
    <m/>
    <d v="1899-12-30T06:00:00"/>
    <d v="1899-12-30T10:00:00"/>
    <n v="4"/>
    <x v="0"/>
    <m/>
  </r>
  <r>
    <s v="Bay 4&amp;5 - _x000a_Pumps"/>
    <x v="24"/>
    <s v="Vinod"/>
    <x v="1"/>
    <m/>
    <m/>
    <m/>
    <m/>
    <m/>
    <m/>
    <d v="1899-12-30T06:00:00"/>
    <d v="1899-12-30T10:00:00"/>
    <n v="4"/>
    <x v="1"/>
    <m/>
  </r>
  <r>
    <s v="Bay 4&amp;5 - _x000a_Pumps"/>
    <x v="24"/>
    <s v="Jaheer"/>
    <x v="6"/>
    <s v="CD300M-14"/>
    <s v="Final fitting airline replacement"/>
    <d v="2025-12-30T00:00:00"/>
    <d v="2025-12-30T00:00:00"/>
    <m/>
    <m/>
    <d v="1899-12-30T06:00:00"/>
    <d v="1899-12-30T10:00:00"/>
    <n v="4"/>
    <x v="0"/>
    <m/>
  </r>
  <r>
    <s v="Bay 4&amp;5 - _x000a_Pumps"/>
    <x v="24"/>
    <s v="Bilal"/>
    <x v="1"/>
    <m/>
    <m/>
    <m/>
    <m/>
    <m/>
    <m/>
    <d v="1899-12-30T06:00:00"/>
    <d v="1899-12-30T10:00:00"/>
    <n v="4"/>
    <x v="1"/>
    <m/>
  </r>
  <r>
    <s v="Bay 4&amp;5 - _x000a_Pumps"/>
    <x v="24"/>
    <s v="Suresh S"/>
    <x v="0"/>
    <s v="CP150-844"/>
    <s v="Pump vaccum repair"/>
    <d v="2025-12-30T00:00:00"/>
    <d v="2025-12-30T00:00:00"/>
    <m/>
    <m/>
    <d v="1899-12-30T06:00:00"/>
    <d v="1899-12-30T10:00:00"/>
    <n v="4"/>
    <x v="0"/>
    <m/>
  </r>
  <r>
    <s v="Bay 4&amp;5 - _x000a_Pumps"/>
    <x v="24"/>
    <s v="Mintu"/>
    <x v="0"/>
    <s v="PT175-109"/>
    <s v="Engine prepare for assembling"/>
    <d v="2025-12-30T00:00:00"/>
    <d v="2025-12-30T00:00:00"/>
    <m/>
    <m/>
    <d v="1899-12-30T06:00:00"/>
    <d v="1899-12-30T10:00:00"/>
    <n v="4"/>
    <x v="0"/>
    <m/>
  </r>
  <r>
    <s v="Bay 4&amp;5 - _x000a_Pumps"/>
    <x v="24"/>
    <s v="Shaji"/>
    <x v="1"/>
    <m/>
    <m/>
    <m/>
    <m/>
    <m/>
    <m/>
    <d v="1899-12-30T07:00:00"/>
    <d v="1899-12-30T08:00:00"/>
    <n v="0.99999999999999911"/>
    <x v="1"/>
    <m/>
  </r>
  <r>
    <s v="Bay 4&amp;5 - _x000a_Pumps"/>
    <x v="24"/>
    <s v="Harish"/>
    <x v="0"/>
    <s v="CP150-844"/>
    <s v="Pump repair ongoing"/>
    <d v="2025-12-20T00:00:00"/>
    <d v="2025-12-30T00:00:00"/>
    <m/>
    <m/>
    <d v="1899-12-30T06:00:00"/>
    <d v="1899-12-30T10:00:00"/>
    <n v="4"/>
    <x v="0"/>
    <m/>
  </r>
  <r>
    <s v="Bay 4&amp;5 - _x000a_Pumps"/>
    <x v="24"/>
    <s v="Shaji"/>
    <x v="1"/>
    <m/>
    <m/>
    <m/>
    <m/>
    <m/>
    <m/>
    <d v="1899-12-30T06:00:00"/>
    <d v="1899-12-30T07:00:00"/>
    <n v="1.0000000000000004"/>
    <x v="1"/>
    <m/>
  </r>
  <r>
    <s v="Bay 4&amp;5 - _x000a_Pumps"/>
    <x v="24"/>
    <s v="James"/>
    <x v="0"/>
    <s v="CP150-775"/>
    <s v="Pump repair"/>
    <d v="2025-12-30T00:00:00"/>
    <d v="2025-12-30T00:00:00"/>
    <m/>
    <m/>
    <d v="1899-12-30T06:00:00"/>
    <d v="1899-12-30T10:00:00"/>
    <n v="4"/>
    <x v="0"/>
    <m/>
  </r>
  <r>
    <s v="Bay 4&amp;5 - _x000a_Pumps"/>
    <x v="24"/>
    <s v="Bharathesha"/>
    <x v="0"/>
    <s v="CP150-414"/>
    <s v="pump dismantling"/>
    <d v="2025-12-30T00:00:00"/>
    <d v="2025-12-30T00:00:00"/>
    <m/>
    <m/>
    <d v="1899-12-30T06:00:00"/>
    <d v="1899-12-30T10:00:00"/>
    <n v="4"/>
    <x v="0"/>
    <m/>
  </r>
  <r>
    <s v="Bay 4&amp;5 - _x000a_Pumps"/>
    <x v="24"/>
    <s v="Ismail"/>
    <x v="0"/>
    <s v="PT175-109"/>
    <s v="pump dismantling"/>
    <d v="2025-12-30T00:00:00"/>
    <d v="2025-12-30T00:00:00"/>
    <m/>
    <m/>
    <d v="1899-12-30T06:00:00"/>
    <d v="1899-12-30T10:00:00"/>
    <n v="4"/>
    <x v="0"/>
    <m/>
  </r>
  <r>
    <s v="Electrical"/>
    <x v="25"/>
    <s v="Fahad"/>
    <x v="8"/>
    <s v="flowmeter"/>
    <s v="10X flowmeter fleeting &amp; cabeling."/>
    <d v="2025-12-31T00:00:00"/>
    <d v="2025-12-31T00:00:00"/>
    <d v="2025-12-31T00:00:00"/>
    <m/>
    <d v="1899-12-30T08:00:00"/>
    <d v="1899-12-30T16:30:00"/>
    <n v="8.5"/>
    <x v="0"/>
    <m/>
  </r>
  <r>
    <s v="Electrical"/>
    <x v="25"/>
    <s v="Faisal"/>
    <x v="1"/>
    <m/>
    <m/>
    <m/>
    <m/>
    <m/>
    <m/>
    <d v="1899-12-30T08:00:00"/>
    <d v="1899-12-30T16:30:00"/>
    <n v="8.5"/>
    <x v="1"/>
    <m/>
  </r>
  <r>
    <s v="Electrical"/>
    <x v="25"/>
    <s v="Shahanawaz"/>
    <x v="3"/>
    <s v="DB-041"/>
    <s v="Service &amp; repair"/>
    <d v="2025-12-31T00:00:00"/>
    <d v="2025-12-31T00:00:00"/>
    <m/>
    <m/>
    <d v="1899-12-30T07:30:00"/>
    <d v="1899-12-30T16:30:00"/>
    <n v="9"/>
    <x v="3"/>
    <m/>
  </r>
  <r>
    <s v="Electrical"/>
    <x v="25"/>
    <s v="Lijo"/>
    <x v="3"/>
    <s v="SPB2.2-057"/>
    <s v="Inspection, repair &amp; test"/>
    <d v="2025-12-31T00:00:00"/>
    <d v="2025-12-31T00:00:00"/>
    <m/>
    <m/>
    <d v="1899-12-30T08:00:00"/>
    <d v="1899-12-30T16:30:00"/>
    <n v="8.5"/>
    <x v="2"/>
    <m/>
  </r>
  <r>
    <s v="Electrical"/>
    <x v="25"/>
    <s v="Cherith"/>
    <x v="4"/>
    <s v="SMSP3-023"/>
    <s v="Cable stand making &amp; water testing."/>
    <d v="2025-12-27T00:00:00"/>
    <d v="2025-12-31T00:00:00"/>
    <d v="2025-12-31T00:00:00"/>
    <m/>
    <d v="1899-12-30T07:30:00"/>
    <d v="1899-12-30T16:30:00"/>
    <n v="9"/>
    <x v="0"/>
    <m/>
  </r>
  <r>
    <s v="Electrical"/>
    <x v="25"/>
    <s v="Aman"/>
    <x v="1"/>
    <m/>
    <m/>
    <m/>
    <m/>
    <m/>
    <m/>
    <d v="1899-12-30T07:30:00"/>
    <d v="1899-12-30T16:30:00"/>
    <n v="9"/>
    <x v="1"/>
    <m/>
  </r>
  <r>
    <s v="Electrical"/>
    <x v="25"/>
    <s v="Gulam"/>
    <x v="1"/>
    <m/>
    <m/>
    <m/>
    <m/>
    <m/>
    <m/>
    <d v="1899-12-30T07:30:00"/>
    <d v="1899-12-30T16:30:00"/>
    <n v="9"/>
    <x v="1"/>
    <m/>
  </r>
  <r>
    <s v="Electrical"/>
    <x v="25"/>
    <s v="Suhaib"/>
    <x v="5"/>
    <s v="Old 2.2kw pump"/>
    <s v="10nos Inspection &amp; repair"/>
    <d v="2025-12-29T00:00:00"/>
    <d v="2025-12-31T00:00:00"/>
    <d v="2025-12-31T00:00:00"/>
    <m/>
    <d v="1899-12-30T08:00:00"/>
    <d v="1899-12-30T16:30:00"/>
    <n v="8.5"/>
    <x v="0"/>
    <m/>
  </r>
  <r>
    <s v="Electrical"/>
    <x v="25"/>
    <s v="Saqib"/>
    <x v="4"/>
    <s v="SM530"/>
    <s v="Stator rewinding"/>
    <d v="2025-12-29T00:00:00"/>
    <d v="2025-12-31T00:00:00"/>
    <d v="2025-12-31T00:00:00"/>
    <m/>
    <d v="1899-12-30T07:30:00"/>
    <d v="1899-12-30T16:30:00"/>
    <n v="9"/>
    <x v="0"/>
    <m/>
  </r>
  <r>
    <s v="Electrical"/>
    <x v="25"/>
    <s v="Venu"/>
    <x v="8"/>
    <s v="SWD60N-004"/>
    <s v="Inspection &amp; dismantling"/>
    <d v="2025-12-29T00:00:00"/>
    <d v="2025-12-31T00:00:00"/>
    <d v="2025-12-31T00:00:00"/>
    <m/>
    <d v="1899-12-30T07:30:00"/>
    <d v="1899-12-30T16:30:00"/>
    <n v="9"/>
    <x v="0"/>
    <m/>
  </r>
  <r>
    <s v="Bay 6 -_x000a_Generator"/>
    <x v="25"/>
    <s v="Suraj"/>
    <x v="2"/>
    <s v="GEN250-057"/>
    <s v="Silencer pipe modification, bellows changing &amp; load test."/>
    <d v="2025-12-26T00:00:00"/>
    <d v="2025-12-31T00:00:00"/>
    <d v="2025-12-31T00:00:00"/>
    <m/>
    <d v="1899-12-30T07:30:00"/>
    <d v="1899-12-30T11:30:00"/>
    <n v="4"/>
    <x v="0"/>
    <m/>
  </r>
  <r>
    <s v="Bay 6 -_x000a_Generator"/>
    <x v="25"/>
    <s v="Anwar"/>
    <x v="1"/>
    <m/>
    <m/>
    <m/>
    <m/>
    <m/>
    <m/>
    <d v="1899-12-30T07:30:00"/>
    <d v="1899-12-30T11:30:00"/>
    <n v="4"/>
    <x v="1"/>
    <m/>
  </r>
  <r>
    <s v="Bay 6 -_x000a_Generator"/>
    <x v="25"/>
    <s v="Suraj"/>
    <x v="2"/>
    <s v="GEN100-044"/>
    <s v="General inspection &amp; repair, fuel tank cleaning &amp; load test."/>
    <d v="2025-12-31T00:00:00"/>
    <d v="2025-12-31T00:00:00"/>
    <d v="2025-12-31T00:00:00"/>
    <m/>
    <d v="1899-12-30T11:30:00"/>
    <d v="1899-12-30T16:30:00"/>
    <n v="5"/>
    <x v="0"/>
    <m/>
  </r>
  <r>
    <s v="Bay 6 -_x000a_Generator"/>
    <x v="25"/>
    <s v="Anwar"/>
    <x v="1"/>
    <m/>
    <m/>
    <m/>
    <m/>
    <m/>
    <m/>
    <d v="1899-12-30T11:30:00"/>
    <d v="1899-12-30T16:30:00"/>
    <n v="5"/>
    <x v="1"/>
    <m/>
  </r>
  <r>
    <s v="Bay 4&amp;5 - _x000a_Pumps"/>
    <x v="25"/>
    <s v="Asif"/>
    <x v="6"/>
    <s v="Cp1818-20"/>
    <s v="Mid island site"/>
    <d v="2025-12-31T00:00:00"/>
    <d v="2025-12-31T00:00:00"/>
    <d v="2025-12-31T00:00:00"/>
    <m/>
    <d v="1899-12-30T07:30:00"/>
    <d v="1899-12-30T16:30:00"/>
    <n v="9"/>
    <x v="0"/>
    <m/>
  </r>
  <r>
    <s v="Bay 4&amp;5 - _x000a_Pumps"/>
    <x v="25"/>
    <s v="Jaheer"/>
    <x v="6"/>
    <s v="HL130M-07"/>
    <s v="General repair, tank cleaning, vaccum testing."/>
    <d v="2025-12-31T00:00:00"/>
    <d v="2025-12-31T00:00:00"/>
    <d v="2025-12-31T00:00:00"/>
    <m/>
    <d v="1899-12-30T08:00:00"/>
    <d v="1899-12-30T12:00:00"/>
    <n v="4"/>
    <x v="0"/>
    <m/>
  </r>
  <r>
    <s v="Bay 4&amp;5 - _x000a_Pumps"/>
    <x v="25"/>
    <s v="Bilal"/>
    <x v="1"/>
    <m/>
    <m/>
    <m/>
    <m/>
    <m/>
    <m/>
    <d v="1899-12-30T08:00:00"/>
    <d v="1899-12-30T12:00:00"/>
    <n v="4"/>
    <x v="1"/>
    <m/>
  </r>
  <r>
    <s v="Bay 4&amp;5 - _x000a_Pumps"/>
    <x v="25"/>
    <s v="Vinod"/>
    <x v="6"/>
    <s v="CD150M-002"/>
    <s v="Pump end dismantling"/>
    <d v="2025-12-31T00:00:00"/>
    <d v="2025-12-31T00:00:00"/>
    <d v="2025-12-31T00:00:00"/>
    <m/>
    <d v="1899-12-30T07:30:00"/>
    <d v="1899-12-30T16:30:00"/>
    <n v="9"/>
    <x v="0"/>
    <m/>
  </r>
  <r>
    <s v="Bay 4&amp;5 - _x000a_Pumps"/>
    <x v="25"/>
    <s v="Suresh S"/>
    <x v="0"/>
    <s v="CP150-844/CP150X3"/>
    <s v="Pump vaccum repair"/>
    <d v="2025-12-31T00:00:00"/>
    <d v="2025-12-31T00:00:00"/>
    <m/>
    <m/>
    <d v="1899-12-30T08:00:00"/>
    <d v="1899-12-30T16:30:00"/>
    <n v="8.5"/>
    <x v="3"/>
    <m/>
  </r>
  <r>
    <s v="Bay 4&amp;5 - _x000a_Pumps"/>
    <x v="25"/>
    <s v="Mintu"/>
    <x v="0"/>
    <s v="ACT-166"/>
    <s v="Outrigger dismantle &amp; hose repair"/>
    <d v="2025-12-30T00:00:00"/>
    <d v="2025-12-31T00:00:00"/>
    <m/>
    <m/>
    <d v="1899-12-30T07:30:00"/>
    <d v="1899-12-30T16:30:00"/>
    <n v="9"/>
    <x v="2"/>
    <m/>
  </r>
  <r>
    <s v="Bay 4&amp;5 - _x000a_Pumps"/>
    <x v="25"/>
    <s v="Shaji"/>
    <x v="1"/>
    <m/>
    <m/>
    <m/>
    <m/>
    <m/>
    <m/>
    <d v="1899-12-30T08:00:00"/>
    <d v="1899-12-30T10:00:00"/>
    <n v="2.0000000000000009"/>
    <x v="1"/>
    <m/>
  </r>
  <r>
    <s v="Bay 4&amp;5 - _x000a_Pumps"/>
    <x v="25"/>
    <s v="Harish"/>
    <x v="0"/>
    <s v="CP150-844"/>
    <s v="Pump repair ongoing"/>
    <d v="2025-12-20T00:00:00"/>
    <d v="2025-12-31T00:00:00"/>
    <m/>
    <m/>
    <d v="1899-12-30T07:30:00"/>
    <d v="1899-12-30T16:30:00"/>
    <n v="9"/>
    <x v="2"/>
    <m/>
  </r>
  <r>
    <s v="Bay 4&amp;5 - _x000a_Pumps"/>
    <x v="25"/>
    <s v="Shaji"/>
    <x v="1"/>
    <m/>
    <m/>
    <m/>
    <m/>
    <m/>
    <m/>
    <d v="1899-12-30T07:00:00"/>
    <d v="1899-12-30T08:00:00"/>
    <n v="0.99999999999999911"/>
    <x v="1"/>
    <m/>
  </r>
  <r>
    <s v="Bay 4&amp;5 - _x000a_Pumps"/>
    <x v="25"/>
    <s v="James"/>
    <x v="0"/>
    <s v="CP150-775"/>
    <s v="Pump repair"/>
    <d v="2025-12-30T00:00:00"/>
    <d v="2025-12-31T00:00:00"/>
    <m/>
    <m/>
    <d v="1899-12-30T08:00:00"/>
    <d v="1899-12-30T16:30:00"/>
    <n v="8.5"/>
    <x v="2"/>
    <m/>
  </r>
  <r>
    <s v="Bay 4&amp;5 - _x000a_Pumps"/>
    <x v="25"/>
    <s v="Bharathesha"/>
    <x v="0"/>
    <s v="CP150-414"/>
    <s v="pump dismantling"/>
    <d v="2025-12-30T00:00:00"/>
    <d v="2025-12-31T00:00:00"/>
    <m/>
    <m/>
    <d v="1899-12-30T07:30:00"/>
    <d v="1899-12-30T16:30:00"/>
    <n v="9"/>
    <x v="2"/>
    <m/>
  </r>
  <r>
    <s v="Bay 4&amp;5 - _x000a_Pumps"/>
    <x v="25"/>
    <s v="Ismail"/>
    <x v="0"/>
    <s v="PT175-109"/>
    <s v="pump dismantling"/>
    <d v="2025-12-30T00:00:00"/>
    <d v="2025-12-31T00:00:00"/>
    <m/>
    <m/>
    <d v="1899-12-30T07:30:00"/>
    <d v="1899-12-30T16:30:00"/>
    <n v="9"/>
    <x v="2"/>
    <m/>
  </r>
  <r>
    <s v="Electrical"/>
    <x v="26"/>
    <s v="Fahad"/>
    <x v="3"/>
    <s v="SPB3.7-057"/>
    <s v="10X flowmeter fleeting &amp; cabeling."/>
    <d v="2026-01-02T00:00:00"/>
    <d v="2026-01-02T00:00:00"/>
    <m/>
    <m/>
    <d v="1899-12-30T08:00:00"/>
    <d v="1899-12-30T17:00:00"/>
    <n v="9.0000000000000018"/>
    <x v="2"/>
    <m/>
  </r>
  <r>
    <s v="Electrical"/>
    <x v="26"/>
    <s v="Faisal"/>
    <x v="8"/>
    <s v="FMX3"/>
    <s v="6X150 new flowmeter, cable &amp; socket fixing."/>
    <d v="2026-01-02T00:00:00"/>
    <d v="2026-01-02T00:00:00"/>
    <m/>
    <m/>
    <d v="1899-12-30T07:30:00"/>
    <d v="1899-12-30T16:30:00"/>
    <n v="9"/>
    <x v="2"/>
    <m/>
  </r>
  <r>
    <s v="Electrical"/>
    <x v="26"/>
    <s v="Shahanawaz"/>
    <x v="1"/>
    <m/>
    <m/>
    <m/>
    <m/>
    <m/>
    <m/>
    <d v="1899-12-30T07:30:00"/>
    <d v="1899-12-30T16:30:00"/>
    <n v="9"/>
    <x v="1"/>
    <m/>
  </r>
  <r>
    <s v="Electrical"/>
    <x v="26"/>
    <s v="Cherith"/>
    <x v="4"/>
    <s v="SMSP3-023"/>
    <s v="Cable stand making &amp; water testing."/>
    <d v="2025-12-27T00:00:00"/>
    <d v="2026-01-02T00:00:00"/>
    <m/>
    <m/>
    <d v="1899-12-30T07:30:00"/>
    <d v="1899-12-30T12:00:00"/>
    <n v="4.5"/>
    <x v="0"/>
    <m/>
  </r>
  <r>
    <s v="Electrical"/>
    <x v="26"/>
    <s v="Aman"/>
    <x v="1"/>
    <m/>
    <m/>
    <m/>
    <m/>
    <m/>
    <m/>
    <d v="1899-12-30T07:30:00"/>
    <d v="1899-12-30T12:00:00"/>
    <n v="4.5"/>
    <x v="1"/>
    <m/>
  </r>
  <r>
    <s v="Electrical"/>
    <x v="26"/>
    <s v="Gulam"/>
    <x v="1"/>
    <m/>
    <m/>
    <m/>
    <m/>
    <m/>
    <m/>
    <d v="1899-12-30T07:30:00"/>
    <d v="1899-12-30T12:00:00"/>
    <n v="4.5"/>
    <x v="1"/>
    <m/>
  </r>
  <r>
    <s v="Electrical"/>
    <x v="26"/>
    <s v="Ghiyan"/>
    <x v="2"/>
    <s v="GEN250-051"/>
    <s v="Service &amp; assemble"/>
    <d v="2026-01-02T00:00:00"/>
    <d v="2026-01-02T00:00:00"/>
    <m/>
    <m/>
    <d v="1899-12-30T07:30:00"/>
    <d v="1899-12-30T16:30:00"/>
    <n v="9"/>
    <x v="2"/>
    <m/>
  </r>
  <r>
    <s v="Electrical"/>
    <x v="26"/>
    <s v="Suhaib"/>
    <x v="5"/>
    <s v="Old 2.2kw pump"/>
    <s v="10nos Inspection &amp; repair"/>
    <d v="2026-01-02T00:00:00"/>
    <d v="2026-01-02T00:00:00"/>
    <m/>
    <m/>
    <d v="1899-12-30T08:00:00"/>
    <d v="1899-12-30T17:00:00"/>
    <n v="9.0000000000000018"/>
    <x v="2"/>
    <m/>
  </r>
  <r>
    <s v="Electrical"/>
    <x v="26"/>
    <s v="Saqib"/>
    <x v="8"/>
    <s v="SWD60H-004"/>
    <s v="Stator rewinding &amp; copper removing"/>
    <d v="2026-01-02T00:00:00"/>
    <d v="2026-01-02T00:00:00"/>
    <m/>
    <m/>
    <d v="1899-12-30T07:30:00"/>
    <d v="1899-12-30T16:30:00"/>
    <n v="9"/>
    <x v="2"/>
    <m/>
  </r>
  <r>
    <s v="Electrical"/>
    <x v="26"/>
    <s v="Venu"/>
    <x v="8"/>
    <s v="SWD60H-002"/>
    <s v="pump parts cleaning"/>
    <d v="2026-01-02T00:00:00"/>
    <d v="2026-01-02T00:00:00"/>
    <m/>
    <m/>
    <d v="1899-12-30T07:30:00"/>
    <d v="1899-12-30T12:00:00"/>
    <n v="4.5"/>
    <x v="2"/>
    <m/>
  </r>
  <r>
    <s v="Bay 6 -_x000a_Generator"/>
    <x v="26"/>
    <s v="Jagdev"/>
    <x v="0"/>
    <s v="CP1212-009"/>
    <s v="Engine  dismantling."/>
    <d v="2026-01-02T00:00:00"/>
    <d v="2026-01-02T00:00:00"/>
    <m/>
    <m/>
    <d v="1899-12-30T07:30:00"/>
    <d v="1899-12-30T16:30:00"/>
    <n v="9"/>
    <x v="0"/>
    <m/>
  </r>
  <r>
    <s v="Bay 6 -_x000a_Generator"/>
    <x v="26"/>
    <s v="Anwar"/>
    <x v="1"/>
    <m/>
    <m/>
    <m/>
    <m/>
    <m/>
    <m/>
    <d v="1899-12-30T07:30:00"/>
    <d v="1899-12-30T16:30:00"/>
    <n v="9"/>
    <x v="1"/>
    <m/>
  </r>
  <r>
    <s v="Bay 6 -_x000a_Generator"/>
    <x v="26"/>
    <s v="Suraj"/>
    <x v="2"/>
    <s v="GEN100-044"/>
    <s v="Engine oil service, Engine mounting change"/>
    <d v="2026-01-02T00:00:00"/>
    <d v="2026-01-02T00:00:00"/>
    <m/>
    <m/>
    <d v="1899-12-30T07:30:00"/>
    <d v="1899-12-30T10:30:00"/>
    <n v="3"/>
    <x v="0"/>
    <m/>
  </r>
  <r>
    <s v="Bay 6 -_x000a_Generator"/>
    <x v="26"/>
    <s v="Suraj"/>
    <x v="2"/>
    <s v="GENG100-009"/>
    <s v="General inspection &amp; repair,  load test failed"/>
    <d v="2026-01-02T00:00:00"/>
    <d v="2026-01-02T00:00:00"/>
    <m/>
    <m/>
    <d v="1899-12-30T10:30:00"/>
    <d v="1899-12-30T14:30:00"/>
    <n v="3.9999999999999991"/>
    <x v="3"/>
    <m/>
  </r>
  <r>
    <s v="Bay 6 -_x000a_Generator"/>
    <x v="26"/>
    <s v="Suraj"/>
    <x v="10"/>
    <s v="BFT-015"/>
    <s v="Final fitting"/>
    <d v="2026-01-02T00:00:00"/>
    <d v="2026-01-02T00:00:00"/>
    <m/>
    <m/>
    <d v="1899-12-30T14:30:00"/>
    <d v="1899-12-30T16:30:00"/>
    <n v="2.0000000000000009"/>
    <x v="0"/>
    <m/>
  </r>
  <r>
    <s v="Bay 4&amp;5 - _x000a_Pumps"/>
    <x v="26"/>
    <s v="Vinod"/>
    <x v="6"/>
    <s v="CD150M-002"/>
    <s v="Pump end dismantling"/>
    <d v="2026-01-02T00:00:00"/>
    <d v="2026-01-02T00:00:00"/>
    <m/>
    <m/>
    <d v="1899-12-30T07:30:00"/>
    <d v="1899-12-30T16:30:00"/>
    <n v="9"/>
    <x v="0"/>
    <m/>
  </r>
  <r>
    <s v="Bay 4&amp;5 - _x000a_Pumps"/>
    <x v="26"/>
    <s v="Jaheer"/>
    <x v="6"/>
    <s v="CD300M-08"/>
    <s v="Clearance adjustment"/>
    <d v="2026-01-02T00:00:00"/>
    <d v="2026-01-02T00:00:00"/>
    <m/>
    <m/>
    <d v="1899-12-30T08:00:00"/>
    <d v="1899-12-30T17:00:00"/>
    <n v="9.0000000000000018"/>
    <x v="0"/>
    <m/>
  </r>
  <r>
    <s v="Bay 4&amp;5 - _x000a_Pumps"/>
    <x v="26"/>
    <s v="Bilal"/>
    <x v="1"/>
    <m/>
    <m/>
    <m/>
    <m/>
    <m/>
    <m/>
    <d v="1899-12-30T08:00:00"/>
    <d v="1899-12-30T17:00:00"/>
    <n v="9.0000000000000018"/>
    <x v="1"/>
    <m/>
  </r>
  <r>
    <s v="Bay 4&amp;5 - _x000a_Pumps"/>
    <x v="26"/>
    <s v="Asif"/>
    <x v="8"/>
    <s v="General work"/>
    <s v="General work"/>
    <d v="2026-01-02T00:00:00"/>
    <d v="2026-01-02T00:00:00"/>
    <m/>
    <m/>
    <d v="1899-12-30T07:30:00"/>
    <d v="1899-12-30T12:00:00"/>
    <n v="4.5"/>
    <x v="0"/>
    <m/>
  </r>
  <r>
    <s v="Bay 4&amp;5 - _x000a_Pumps"/>
    <x v="26"/>
    <s v="Asif"/>
    <x v="6"/>
    <s v="SCT500-32"/>
    <s v="Pump end swapping with new bareshaft"/>
    <d v="2026-01-02T00:00:00"/>
    <d v="2026-01-02T00:00:00"/>
    <m/>
    <m/>
    <d v="1899-12-30T14:00:00"/>
    <d v="1899-12-30T16:30:00"/>
    <n v="2.4999999999999991"/>
    <x v="0"/>
    <m/>
  </r>
  <r>
    <s v="Bay 4&amp;5 - _x000a_Pumps"/>
    <x v="26"/>
    <s v="Suresh S"/>
    <x v="0"/>
    <s v="CP150-297/660/865"/>
    <s v="Pump vaccum repair for AUH"/>
    <d v="2026-01-02T00:00:00"/>
    <d v="2026-01-02T00:00:00"/>
    <m/>
    <m/>
    <d v="1899-12-30T08:00:00"/>
    <d v="1899-12-30T19:00:00"/>
    <n v="11"/>
    <x v="2"/>
    <m/>
  </r>
  <r>
    <s v="Bay 4&amp;5 - _x000a_Pumps"/>
    <x v="26"/>
    <s v="Mintu"/>
    <x v="0"/>
    <s v="ACT-109"/>
    <s v="Engine prepapre for assembling"/>
    <d v="2026-01-02T00:00:00"/>
    <d v="2026-01-02T00:00:00"/>
    <m/>
    <m/>
    <d v="1899-12-30T07:30:00"/>
    <d v="1899-12-30T19:00:00"/>
    <n v="11.5"/>
    <x v="3"/>
    <m/>
  </r>
  <r>
    <s v="Bay 4&amp;5 - _x000a_Pumps"/>
    <x v="26"/>
    <s v="Shaji"/>
    <x v="1"/>
    <m/>
    <m/>
    <m/>
    <m/>
    <m/>
    <m/>
    <d v="1899-12-30T08:00:00"/>
    <d v="1899-12-30T10:00:00"/>
    <n v="2.0000000000000009"/>
    <x v="1"/>
    <m/>
  </r>
  <r>
    <s v="Bay 4&amp;5 - _x000a_Pumps"/>
    <x v="26"/>
    <s v="Mintu"/>
    <x v="0"/>
    <s v="ACT-166"/>
    <s v="Outrigger assemble &amp; hose fitting"/>
    <d v="2026-01-02T00:00:00"/>
    <d v="2026-01-02T00:00:00"/>
    <m/>
    <m/>
    <d v="1899-12-30T08:00:00"/>
    <d v="1899-12-30T17:00:00"/>
    <n v="9.0000000000000018"/>
    <x v="0"/>
    <m/>
  </r>
  <r>
    <s v="Bay 4&amp;5 - _x000a_Pumps"/>
    <x v="26"/>
    <s v="Harish"/>
    <x v="0"/>
    <s v="CP150-573"/>
    <s v="Pump repair, water test &amp; timing setting"/>
    <d v="2026-01-02T00:00:00"/>
    <d v="2026-01-02T00:00:00"/>
    <m/>
    <m/>
    <d v="1899-12-30T07:30:00"/>
    <d v="1899-12-30T16:30:00"/>
    <n v="9"/>
    <x v="0"/>
    <m/>
  </r>
  <r>
    <s v="Bay 4&amp;5 - _x000a_Pumps"/>
    <x v="26"/>
    <s v="Shaji"/>
    <x v="1"/>
    <m/>
    <m/>
    <m/>
    <m/>
    <m/>
    <m/>
    <d v="1899-12-30T07:00:00"/>
    <d v="1899-12-30T09:00:00"/>
    <n v="1.9999999999999996"/>
    <x v="1"/>
    <m/>
  </r>
  <r>
    <s v="Bay 4&amp;5 - _x000a_Pumps"/>
    <x v="26"/>
    <s v="Harish"/>
    <x v="0"/>
    <s v="CP150-175"/>
    <s v="Pump &amp; engine minor repair"/>
    <d v="2026-01-02T00:00:00"/>
    <d v="2026-01-02T00:00:00"/>
    <m/>
    <m/>
    <d v="1899-12-30T14:30:00"/>
    <d v="1899-12-30T18:30:00"/>
    <n v="4.0000000000000018"/>
    <x v="0"/>
    <m/>
  </r>
  <r>
    <s v="Bay 4&amp;5 - _x000a_Pumps"/>
    <x v="26"/>
    <s v="James"/>
    <x v="0"/>
    <s v="CP150-775"/>
    <s v="Pump repair"/>
    <d v="2026-01-02T00:00:00"/>
    <d v="2026-01-02T00:00:00"/>
    <m/>
    <m/>
    <d v="1899-12-30T08:00:00"/>
    <d v="1899-12-30T16:30:00"/>
    <n v="8.5"/>
    <x v="3"/>
    <m/>
  </r>
  <r>
    <s v="Bay 4&amp;5 - _x000a_Pumps"/>
    <x v="26"/>
    <s v="Bharathesha"/>
    <x v="0"/>
    <s v="CP150-414"/>
    <s v="pump assembling &amp; water test"/>
    <d v="2026-01-02T00:00:00"/>
    <d v="2026-01-02T00:00:00"/>
    <m/>
    <m/>
    <d v="1899-12-30T07:30:00"/>
    <d v="1899-12-30T18:30:00"/>
    <n v="11"/>
    <x v="0"/>
    <m/>
  </r>
  <r>
    <s v="Bay 4&amp;5 - _x000a_Pumps"/>
    <x v="26"/>
    <s v="Ismail"/>
    <x v="0"/>
    <s v="PT175-109"/>
    <s v="pump assembling."/>
    <d v="2026-01-02T00:00:00"/>
    <d v="2026-01-02T00:00:00"/>
    <m/>
    <m/>
    <d v="1899-12-30T07:30:00"/>
    <d v="1899-12-30T18:30:00"/>
    <n v="11"/>
    <x v="0"/>
    <m/>
  </r>
  <r>
    <s v="Electrical"/>
    <x v="27"/>
    <s v="Fahad"/>
    <x v="3"/>
    <s v="SPB3.7-057/DB041"/>
    <s v="Inspection repair &amp; PDI/Repai test &amp; PDI"/>
    <d v="2026-01-02T00:00:00"/>
    <d v="2026-01-03T00:00:00"/>
    <d v="2026-01-03T00:00:00"/>
    <m/>
    <d v="1899-12-30T08:00:00"/>
    <d v="1899-12-30T17:00:00"/>
    <n v="9.0000000000000018"/>
    <x v="0"/>
    <m/>
  </r>
  <r>
    <s v="Electrical"/>
    <x v="27"/>
    <s v="Faisal"/>
    <x v="3"/>
    <s v="SPB7.5-025"/>
    <s v="Modification, adding canopy &amp; safety glass"/>
    <d v="2026-01-03T00:00:00"/>
    <d v="2026-01-03T00:00:00"/>
    <m/>
    <m/>
    <d v="1899-12-30T07:30:00"/>
    <d v="1899-12-30T16:30:00"/>
    <n v="9"/>
    <x v="2"/>
    <m/>
  </r>
  <r>
    <s v="Electrical"/>
    <x v="27"/>
    <s v="Lijo"/>
    <x v="3"/>
    <s v="SPB7.5-077"/>
    <s v="Modification, adding canopy &amp; safety glass"/>
    <d v="2026-01-03T00:00:00"/>
    <d v="2026-01-03T00:00:00"/>
    <m/>
    <m/>
    <d v="1899-12-30T08:00:00"/>
    <d v="1899-12-30T17:00:00"/>
    <n v="9.0000000000000018"/>
    <x v="2"/>
    <m/>
  </r>
  <r>
    <s v="Electrical"/>
    <x v="27"/>
    <s v="Cherith"/>
    <x v="4"/>
    <s v="SWD-60N"/>
    <s v="pump rotor repiar"/>
    <d v="2026-01-03T00:00:00"/>
    <d v="2026-01-03T00:00:00"/>
    <d v="2026-01-03T00:00:00"/>
    <m/>
    <d v="1899-12-30T07:00:00"/>
    <d v="1899-12-30T12:00:00"/>
    <n v="5"/>
    <x v="0"/>
    <m/>
  </r>
  <r>
    <s v="Electrical"/>
    <x v="27"/>
    <s v="Aman"/>
    <x v="1"/>
    <m/>
    <m/>
    <m/>
    <m/>
    <m/>
    <m/>
    <d v="1899-12-30T07:00:00"/>
    <d v="1899-12-30T12:00:00"/>
    <n v="5"/>
    <x v="1"/>
    <m/>
  </r>
  <r>
    <s v="Electrical"/>
    <x v="27"/>
    <s v="Gulam"/>
    <x v="2"/>
    <s v="GEN250-051"/>
    <s v="Ac alternator assembling"/>
    <d v="2026-01-03T00:00:00"/>
    <d v="2026-01-03T00:00:00"/>
    <d v="2026-01-03T00:00:00"/>
    <m/>
    <d v="1899-12-30T08:00:00"/>
    <d v="1899-12-30T13:00:00"/>
    <n v="5"/>
    <x v="0"/>
    <m/>
  </r>
  <r>
    <s v="Electrical"/>
    <x v="27"/>
    <s v="Ghiyan"/>
    <x v="1"/>
    <m/>
    <m/>
    <m/>
    <m/>
    <m/>
    <m/>
    <d v="1899-12-30T08:00:00"/>
    <d v="1899-12-30T13:00:00"/>
    <n v="5"/>
    <x v="1"/>
    <m/>
  </r>
  <r>
    <s v="Electrical"/>
    <x v="27"/>
    <s v="Suhaib"/>
    <x v="5"/>
    <s v="Old 2.2kw pump"/>
    <s v="5nos water testing"/>
    <d v="2026-01-03T00:00:00"/>
    <d v="2026-01-03T00:00:00"/>
    <d v="2026-01-03T00:00:00"/>
    <m/>
    <d v="1899-12-30T08:00:00"/>
    <d v="1899-12-30T17:00:00"/>
    <n v="9.0000000000000018"/>
    <x v="0"/>
    <m/>
  </r>
  <r>
    <s v="Electrical"/>
    <x v="27"/>
    <s v="Saqib"/>
    <x v="4"/>
    <s v="SM530-624"/>
    <s v="Water testing"/>
    <d v="2026-01-03T00:00:00"/>
    <d v="2026-01-03T00:00:00"/>
    <d v="2026-01-03T00:00:00"/>
    <m/>
    <d v="1899-12-30T07:30:00"/>
    <d v="1899-12-30T18:30:00"/>
    <n v="11"/>
    <x v="0"/>
    <m/>
  </r>
  <r>
    <s v="Electrical"/>
    <x v="27"/>
    <s v="Saqib"/>
    <x v="4"/>
    <s v="SWD-60-002"/>
    <s v="assembling"/>
    <d v="2026-01-03T00:00:00"/>
    <d v="2026-01-03T00:00:00"/>
    <d v="2026-01-03T00:00:00"/>
    <m/>
    <d v="1899-12-30T09:00:00"/>
    <d v="1899-12-30T16:30:00"/>
    <n v="7.5"/>
    <x v="0"/>
    <m/>
  </r>
  <r>
    <s v="Electrical"/>
    <x v="27"/>
    <s v="Venu"/>
    <x v="8"/>
    <s v="KT22-48/23/026"/>
    <s v="General inspection &amp; water testing "/>
    <d v="2026-01-03T00:00:00"/>
    <d v="2026-01-03T00:00:00"/>
    <d v="2026-01-03T00:00:00"/>
    <m/>
    <d v="1899-12-30T07:30:00"/>
    <d v="1899-12-30T16:30:00"/>
    <n v="9"/>
    <x v="0"/>
    <m/>
  </r>
  <r>
    <s v="Bay 6 -_x000a_Generator"/>
    <x v="27"/>
    <s v="Jagdev"/>
    <x v="6"/>
    <s v="CP1212-009"/>
    <s v="Engine dismantling"/>
    <d v="2026-01-03T00:00:00"/>
    <d v="2026-01-03T00:00:00"/>
    <d v="2026-01-03T00:00:00"/>
    <m/>
    <d v="1899-12-30T07:30:00"/>
    <d v="1899-12-30T16:30:00"/>
    <n v="9"/>
    <x v="0"/>
    <m/>
  </r>
  <r>
    <s v="Bay 6 -_x000a_Generator"/>
    <x v="27"/>
    <s v="Shakeel"/>
    <x v="2"/>
    <s v="GENJ250-043"/>
    <s v="Radiator fitting,feul tank cleaning, general repair &amp; load test"/>
    <d v="2026-01-03T00:00:00"/>
    <d v="2026-01-03T00:00:00"/>
    <m/>
    <m/>
    <d v="1899-12-30T07:30:00"/>
    <d v="1899-12-30T16:30:00"/>
    <n v="9"/>
    <x v="3"/>
    <m/>
  </r>
  <r>
    <s v="Bay 6 -_x000a_Generator"/>
    <x v="27"/>
    <s v="Anwar"/>
    <x v="1"/>
    <m/>
    <m/>
    <m/>
    <m/>
    <m/>
    <m/>
    <d v="1899-12-30T07:30:00"/>
    <d v="1899-12-30T16:30:00"/>
    <n v="9"/>
    <x v="1"/>
    <m/>
  </r>
  <r>
    <s v="Bay 6 -_x000a_Generator"/>
    <x v="27"/>
    <s v="Suraj"/>
    <x v="2"/>
    <s v="GENG100-009"/>
    <s v="Fuel pump &amp; injector removing"/>
    <d v="2026-01-02T00:00:00"/>
    <d v="2026-01-03T00:00:00"/>
    <d v="2026-01-03T00:00:00"/>
    <m/>
    <d v="1899-12-30T07:30:00"/>
    <d v="1899-12-30T11:30:00"/>
    <n v="4"/>
    <x v="0"/>
    <m/>
  </r>
  <r>
    <s v="Bay 4&amp;5 - _x000a_Pumps"/>
    <x v="27"/>
    <s v="Vinod"/>
    <x v="6"/>
    <s v="CD150M-002"/>
    <s v="Pump end dismantling"/>
    <d v="2026-01-02T00:00:00"/>
    <d v="2026-01-02T00:00:00"/>
    <d v="2026-01-02T00:00:00"/>
    <m/>
    <d v="1899-12-30T07:30:00"/>
    <d v="1899-12-30T16:30:00"/>
    <n v="9"/>
    <x v="0"/>
    <m/>
  </r>
  <r>
    <s v="Bay 4&amp;5 - _x000a_Pumps"/>
    <x v="27"/>
    <s v="Jaheer"/>
    <x v="6"/>
    <s v="CD300M-08"/>
    <s v="Clearance adjustment"/>
    <d v="2026-01-02T00:00:00"/>
    <d v="2026-01-02T00:00:00"/>
    <d v="2026-01-02T00:00:00"/>
    <m/>
    <d v="1899-12-30T08:00:00"/>
    <d v="1899-12-30T17:00:00"/>
    <n v="9.0000000000000018"/>
    <x v="0"/>
    <m/>
  </r>
  <r>
    <s v="Bay 4&amp;5 - _x000a_Pumps"/>
    <x v="27"/>
    <s v="Bilal"/>
    <x v="1"/>
    <m/>
    <m/>
    <m/>
    <m/>
    <m/>
    <m/>
    <d v="1899-12-30T08:00:00"/>
    <d v="1899-12-30T17:00:00"/>
    <n v="9.0000000000000018"/>
    <x v="1"/>
    <m/>
  </r>
  <r>
    <s v="Bay 4&amp;5 - _x000a_Pumps"/>
    <x v="27"/>
    <s v="Asif"/>
    <x v="8"/>
    <s v="General work"/>
    <s v="General work"/>
    <d v="2026-01-02T00:00:00"/>
    <d v="2026-01-02T00:00:00"/>
    <d v="2026-01-02T00:00:00"/>
    <m/>
    <d v="1899-12-30T07:30:00"/>
    <d v="1899-12-30T12:00:00"/>
    <n v="4.5"/>
    <x v="0"/>
    <m/>
  </r>
  <r>
    <s v="Bay 4&amp;5 - _x000a_Pumps"/>
    <x v="27"/>
    <s v="Asif"/>
    <x v="6"/>
    <s v="SCT500-32"/>
    <s v="Pump end swapping with new bareshaft"/>
    <d v="2026-01-02T00:00:00"/>
    <d v="2026-01-02T00:00:00"/>
    <d v="2026-01-02T00:00:00"/>
    <m/>
    <d v="1899-12-30T14:00:00"/>
    <d v="1899-12-30T16:30:00"/>
    <n v="2.4999999999999991"/>
    <x v="0"/>
    <m/>
  </r>
  <r>
    <s v="Bay 4&amp;5 - _x000a_Pumps"/>
    <x v="27"/>
    <s v="Suresh S"/>
    <x v="0"/>
    <s v="CP150-297/660/865"/>
    <s v="Pump vaccum repair for AUH"/>
    <d v="2026-01-02T00:00:00"/>
    <d v="2026-01-03T00:00:00"/>
    <d v="2026-01-03T00:00:00"/>
    <m/>
    <d v="1899-12-30T08:00:00"/>
    <d v="1899-12-30T19:00:00"/>
    <n v="11"/>
    <x v="0"/>
    <m/>
  </r>
  <r>
    <s v="Bay 4&amp;5 - _x000a_Pumps"/>
    <x v="27"/>
    <s v="Mintu"/>
    <x v="0"/>
    <s v="PT175-109"/>
    <s v="Engine assembling"/>
    <d v="2026-01-02T00:00:00"/>
    <d v="2026-01-03T00:00:00"/>
    <d v="2026-01-03T00:00:00"/>
    <m/>
    <d v="1899-12-30T08:00:00"/>
    <d v="1899-12-30T17:00:00"/>
    <n v="9.0000000000000018"/>
    <x v="0"/>
    <m/>
  </r>
  <r>
    <s v="Bay 4&amp;5 - _x000a_Pumps"/>
    <x v="27"/>
    <s v="Shaji"/>
    <x v="1"/>
    <m/>
    <m/>
    <m/>
    <m/>
    <m/>
    <m/>
    <d v="1899-12-30T08:00:00"/>
    <d v="1899-12-30T10:00:00"/>
    <n v="2.0000000000000009"/>
    <x v="1"/>
    <m/>
  </r>
  <r>
    <s v="Bay 4&amp;5 - _x000a_Pumps"/>
    <x v="27"/>
    <s v="Harish"/>
    <x v="0"/>
    <s v="CP150-175"/>
    <s v="Pump &amp; engine repair ongoing"/>
    <d v="2026-01-02T00:00:00"/>
    <d v="2026-01-03T00:00:00"/>
    <d v="2026-01-03T00:00:00"/>
    <m/>
    <d v="1899-12-30T07:30:00"/>
    <d v="1899-12-30T12:30:00"/>
    <n v="5.0000000000000009"/>
    <x v="0"/>
    <m/>
  </r>
  <r>
    <s v="Bay 4&amp;5 - _x000a_Pumps"/>
    <x v="27"/>
    <s v="Shaji"/>
    <x v="1"/>
    <m/>
    <m/>
    <m/>
    <m/>
    <m/>
    <m/>
    <d v="1899-12-30T10:00:00"/>
    <d v="1899-12-30T12:00:00"/>
    <n v="1.9999999999999996"/>
    <x v="1"/>
    <m/>
  </r>
  <r>
    <s v="Bay 4&amp;5 - _x000a_Pumps"/>
    <x v="27"/>
    <s v="Harish"/>
    <x v="0"/>
    <s v="CP150-541"/>
    <s v="Pump dismantling"/>
    <d v="2026-01-03T00:00:00"/>
    <d v="2026-01-03T00:00:00"/>
    <d v="2026-01-03T00:00:00"/>
    <m/>
    <d v="1899-12-30T12:30:00"/>
    <d v="1899-12-30T16:30:00"/>
    <n v="3.9999999999999991"/>
    <x v="0"/>
    <m/>
  </r>
  <r>
    <s v="Bay 4&amp;5 - _x000a_Pumps"/>
    <x v="27"/>
    <s v="James"/>
    <x v="0"/>
    <s v="CP150-775"/>
    <s v="Engine top overhaul"/>
    <d v="2026-01-02T00:00:00"/>
    <d v="2026-01-03T00:00:00"/>
    <d v="2026-01-03T00:00:00"/>
    <m/>
    <d v="1899-12-30T08:00:00"/>
    <d v="1899-12-30T17:00:00"/>
    <n v="9.0000000000000018"/>
    <x v="0"/>
    <m/>
  </r>
  <r>
    <s v="Bay 4&amp;5 - _x000a_Pumps"/>
    <x v="27"/>
    <s v="Bharathesha"/>
    <x v="0"/>
    <s v="CP150-419"/>
    <s v="Engine &amp; pump repair"/>
    <d v="2026-01-03T00:00:00"/>
    <d v="2026-01-03T00:00:00"/>
    <d v="2026-01-03T00:00:00"/>
    <m/>
    <d v="1899-12-30T07:30:00"/>
    <d v="1899-12-30T16:30:00"/>
    <n v="9"/>
    <x v="0"/>
    <m/>
  </r>
  <r>
    <s v="Bay 4&amp;5 - _x000a_Pumps"/>
    <x v="27"/>
    <s v="Ismail"/>
    <x v="0"/>
    <s v="PT175-109"/>
    <s v="pump assembling ongoing"/>
    <d v="2026-01-02T00:00:00"/>
    <d v="2026-01-03T00:00:00"/>
    <d v="2026-01-03T00:00:00"/>
    <m/>
    <d v="1899-12-30T07:30:00"/>
    <d v="1899-12-30T16:30:00"/>
    <n v="9"/>
    <x v="0"/>
    <m/>
  </r>
  <r>
    <s v="Electrical"/>
    <x v="28"/>
    <s v="Fahad"/>
    <x v="8"/>
    <s v="BFM500-001"/>
    <s v="Power DB rewiring"/>
    <d v="2026-01-05T00:00:00"/>
    <d v="2026-01-05T00:00:00"/>
    <m/>
    <m/>
    <d v="1899-12-30T08:00:00"/>
    <d v="1899-12-30T17:00:00"/>
    <n v="9.0000000000000018"/>
    <x v="0"/>
    <m/>
  </r>
  <r>
    <s v="Electrical"/>
    <x v="28"/>
    <s v="Faisal"/>
    <x v="3"/>
    <s v="SPB7.5-025"/>
    <s v="Modification, adding canopy &amp; safety glass"/>
    <d v="2026-01-03T00:00:00"/>
    <d v="2026-01-05T00:00:00"/>
    <m/>
    <m/>
    <d v="1899-12-30T07:30:00"/>
    <d v="1899-12-30T16:30:00"/>
    <n v="9"/>
    <x v="2"/>
    <m/>
  </r>
  <r>
    <s v="Electrical"/>
    <x v="28"/>
    <s v="Lijo"/>
    <x v="3"/>
    <s v="SPB7.5-077"/>
    <s v="Modification, adding canopy &amp; safety glass"/>
    <d v="2026-01-03T00:00:00"/>
    <d v="2026-01-05T00:00:00"/>
    <m/>
    <m/>
    <d v="1899-12-30T08:00:00"/>
    <d v="1899-12-30T17:00:00"/>
    <n v="9.0000000000000018"/>
    <x v="2"/>
    <m/>
  </r>
  <r>
    <s v="Electrical"/>
    <x v="28"/>
    <s v="Cherith"/>
    <x v="8"/>
    <s v="BFM400-002"/>
    <s v="Inspection &amp; repair"/>
    <d v="2026-01-05T00:00:00"/>
    <d v="2026-01-05T00:00:00"/>
    <m/>
    <m/>
    <d v="1899-12-30T07:30:00"/>
    <d v="1899-12-30T12:00:00"/>
    <n v="4.5"/>
    <x v="2"/>
    <m/>
  </r>
  <r>
    <s v="Electrical"/>
    <x v="28"/>
    <s v="Aman"/>
    <x v="8"/>
    <s v="BFM355-008"/>
    <s v="Inspection &amp; repair"/>
    <d v="2026-01-05T00:00:00"/>
    <d v="2026-01-05T00:00:00"/>
    <m/>
    <m/>
    <d v="1899-12-30T08:30:00"/>
    <d v="1899-12-30T13:00:00"/>
    <n v="4.4999999999999982"/>
    <x v="3"/>
    <m/>
  </r>
  <r>
    <s v="Electrical"/>
    <x v="28"/>
    <s v="Cherith"/>
    <x v="2"/>
    <s v="GEN100-013"/>
    <s v="Ac laternator service ongoing"/>
    <d v="2026-01-05T00:00:00"/>
    <d v="2026-01-05T00:00:00"/>
    <m/>
    <m/>
    <d v="1899-12-30T13:00:00"/>
    <d v="1899-12-30T17:00:00"/>
    <n v="4.0000000000000018"/>
    <x v="0"/>
    <m/>
  </r>
  <r>
    <s v="Electrical"/>
    <x v="28"/>
    <s v="Aman"/>
    <x v="1"/>
    <m/>
    <m/>
    <m/>
    <m/>
    <m/>
    <m/>
    <d v="1899-12-30T13:00:00"/>
    <d v="1899-12-30T17:00:00"/>
    <n v="4.0000000000000018"/>
    <x v="1"/>
    <m/>
  </r>
  <r>
    <s v="Electrical"/>
    <x v="28"/>
    <s v="Gulam"/>
    <x v="4"/>
    <s v="SMSP3"/>
    <s v="75kw pump rewinding"/>
    <d v="2026-01-05T00:00:00"/>
    <d v="2026-01-05T00:00:00"/>
    <m/>
    <m/>
    <d v="1899-12-30T07:30:00"/>
    <d v="1899-12-30T16:30:00"/>
    <n v="9"/>
    <x v="2"/>
    <m/>
  </r>
  <r>
    <s v="Electrical"/>
    <x v="28"/>
    <s v="Ghiyan"/>
    <x v="1"/>
    <m/>
    <m/>
    <m/>
    <m/>
    <m/>
    <m/>
    <d v="1899-12-30T07:30:00"/>
    <d v="1899-12-30T16:30:00"/>
    <n v="9"/>
    <x v="1"/>
    <m/>
  </r>
  <r>
    <s v="Electrical"/>
    <x v="28"/>
    <s v="Suhaib"/>
    <x v="5"/>
    <s v="Old B:H pump"/>
    <s v="pump cable joint water testing"/>
    <d v="2026-01-03T00:00:00"/>
    <d v="2026-01-05T00:00:00"/>
    <m/>
    <m/>
    <d v="1899-12-30T07:30:00"/>
    <d v="1899-12-30T17:00:00"/>
    <n v="9.5"/>
    <x v="2"/>
    <m/>
  </r>
  <r>
    <s v="Electrical"/>
    <x v="28"/>
    <s v="Afsar"/>
    <x v="1"/>
    <m/>
    <m/>
    <m/>
    <m/>
    <m/>
    <m/>
    <d v="1899-12-30T07:30:00"/>
    <d v="1899-12-30T17:00:00"/>
    <n v="9.5"/>
    <x v="1"/>
    <m/>
  </r>
  <r>
    <s v="Electrical"/>
    <x v="28"/>
    <s v="Saqib"/>
    <x v="4"/>
    <s v="SWD-60-002"/>
    <s v="assembling"/>
    <d v="2026-01-03T00:00:00"/>
    <d v="2026-01-05T00:00:00"/>
    <m/>
    <m/>
    <d v="1899-12-30T07:30:00"/>
    <d v="1899-12-30T16:30:00"/>
    <n v="9"/>
    <x v="0"/>
    <m/>
  </r>
  <r>
    <s v="Electrical"/>
    <x v="28"/>
    <s v="Venu"/>
    <x v="4"/>
    <s v="SMSP3"/>
    <s v="115kw pump dismantling"/>
    <d v="2026-01-05T00:00:00"/>
    <d v="2026-01-05T00:00:00"/>
    <m/>
    <m/>
    <d v="1899-12-30T07:30:00"/>
    <d v="1899-12-30T16:30:00"/>
    <n v="9"/>
    <x v="2"/>
    <m/>
  </r>
  <r>
    <s v="Electrical"/>
    <x v="28"/>
    <s v="Doland"/>
    <x v="1"/>
    <m/>
    <m/>
    <m/>
    <m/>
    <m/>
    <m/>
    <d v="1899-12-30T07:30:00"/>
    <d v="1899-12-30T17:00:00"/>
    <n v="9.5"/>
    <x v="1"/>
    <m/>
  </r>
  <r>
    <s v="Bay 6 -_x000a_Generator"/>
    <x v="28"/>
    <s v="Suraj"/>
    <x v="6"/>
    <s v="GEN250-047"/>
    <s v="Engine parts cleaning"/>
    <d v="2026-01-05T00:00:00"/>
    <d v="2026-01-05T00:00:00"/>
    <m/>
    <m/>
    <d v="1899-12-30T07:30:00"/>
    <d v="1899-12-30T12:00:00"/>
    <n v="4.5"/>
    <x v="0"/>
    <m/>
  </r>
  <r>
    <s v="Bay 6 -_x000a_Generator"/>
    <x v="28"/>
    <s v="Shakeel"/>
    <x v="2"/>
    <s v="GENJ250-043"/>
    <s v="Radiator fitting,feul tank cleaning, general repair &amp; load test"/>
    <d v="2026-01-03T00:00:00"/>
    <d v="2026-01-05T00:00:00"/>
    <m/>
    <m/>
    <d v="1899-12-30T07:30:00"/>
    <d v="1899-12-30T16:30:00"/>
    <n v="9"/>
    <x v="0"/>
    <m/>
  </r>
  <r>
    <s v="Bay 6 -_x000a_Generator"/>
    <x v="28"/>
    <s v="Anwar"/>
    <x v="1"/>
    <m/>
    <m/>
    <m/>
    <m/>
    <m/>
    <m/>
    <d v="1899-12-30T07:30:00"/>
    <d v="1899-12-30T16:30:00"/>
    <n v="9"/>
    <x v="1"/>
    <m/>
  </r>
  <r>
    <s v="Bay 6 -_x000a_Generator"/>
    <x v="28"/>
    <s v="Shakeel"/>
    <x v="2"/>
    <s v="GEN250-038"/>
    <s v="Load testing &amp; general checkup, cable connection."/>
    <d v="2026-01-05T00:00:00"/>
    <d v="2026-01-05T00:00:00"/>
    <m/>
    <m/>
    <d v="1899-12-30T07:30:00"/>
    <d v="1899-12-30T10:30:00"/>
    <n v="3"/>
    <x v="0"/>
    <m/>
  </r>
  <r>
    <s v="Bay 6 -_x000a_Generator"/>
    <x v="28"/>
    <s v="Shakeel"/>
    <x v="8"/>
    <s v="General work"/>
    <s v="Generator shifting &amp; setting"/>
    <d v="2026-01-05T00:00:00"/>
    <d v="2026-01-05T00:00:00"/>
    <m/>
    <m/>
    <d v="1899-12-30T10:30:00"/>
    <d v="1899-12-30T01:00:00"/>
    <n v="14.500000000000002"/>
    <x v="0"/>
    <m/>
  </r>
  <r>
    <s v="Bay 4&amp;5 - _x000a_Pumps"/>
    <x v="28"/>
    <s v="Vinod"/>
    <x v="6"/>
    <s v="CD150M-002"/>
    <s v="Pump end dismantling"/>
    <d v="2026-01-02T00:00:00"/>
    <d v="2026-01-02T00:00:00"/>
    <m/>
    <m/>
    <d v="1899-12-30T07:30:00"/>
    <d v="1899-12-30T16:30:00"/>
    <n v="9"/>
    <x v="2"/>
    <m/>
  </r>
  <r>
    <s v="Bay 4&amp;5 - _x000a_Pumps"/>
    <x v="28"/>
    <s v="Asif"/>
    <x v="6"/>
    <s v="BA700-001"/>
    <s v="Engine repair on site midisland"/>
    <d v="2026-01-05T00:00:00"/>
    <d v="2026-01-05T00:00:00"/>
    <m/>
    <m/>
    <d v="1899-12-30T07:30:00"/>
    <d v="1899-12-30T12:00:00"/>
    <n v="4.5"/>
    <x v="2"/>
    <m/>
  </r>
  <r>
    <s v="Bay 4&amp;5 - _x000a_Pumps"/>
    <x v="28"/>
    <s v="jagdev"/>
    <x v="1"/>
    <m/>
    <m/>
    <m/>
    <m/>
    <m/>
    <m/>
    <d v="1899-12-30T07:30:00"/>
    <d v="1899-12-30T12:00:00"/>
    <n v="4.5"/>
    <x v="1"/>
    <m/>
  </r>
  <r>
    <s v="Bay 4&amp;5 - _x000a_Pumps"/>
    <x v="28"/>
    <s v="Bilal"/>
    <x v="6"/>
    <s v="HL130M-07"/>
    <s v="Final fitting"/>
    <d v="2026-01-02T00:00:00"/>
    <d v="2026-01-05T00:00:00"/>
    <m/>
    <m/>
    <d v="1899-12-30T07:30:00"/>
    <d v="1899-12-30T12:00:00"/>
    <n v="4.5"/>
    <x v="0"/>
    <m/>
  </r>
  <r>
    <s v="Bay 4&amp;5 - _x000a_Pumps"/>
    <x v="28"/>
    <s v="Bilal"/>
    <x v="6"/>
    <s v="CD150M-002"/>
    <s v="Pump firtting"/>
    <d v="2026-01-02T00:00:00"/>
    <d v="2026-01-05T00:00:00"/>
    <m/>
    <m/>
    <d v="1899-12-30T14:00:00"/>
    <d v="1899-12-30T16:30:00"/>
    <n v="2.4999999999999991"/>
    <x v="0"/>
    <m/>
  </r>
  <r>
    <s v="Bay 4&amp;5 - _x000a_Pumps"/>
    <x v="28"/>
    <s v="Jaheer"/>
    <x v="6"/>
    <s v="CD150M-002"/>
    <s v="Pump overhaul"/>
    <d v="2026-01-05T00:00:00"/>
    <d v="2026-01-05T00:00:00"/>
    <m/>
    <m/>
    <d v="1899-12-30T07:30:00"/>
    <d v="1899-12-30T16:30:00"/>
    <n v="9"/>
    <x v="0"/>
    <m/>
  </r>
  <r>
    <s v="Bay 4&amp;5 - _x000a_Pumps"/>
    <x v="28"/>
    <s v="Suresh S"/>
    <x v="0"/>
    <s v="CP150-844/414573"/>
    <s v="Final fitting, PDI &amp; flowfinity"/>
    <d v="2026-01-02T00:00:00"/>
    <d v="2026-01-05T00:00:00"/>
    <m/>
    <m/>
    <d v="1899-12-30T07:30:00"/>
    <d v="1899-12-30T16:30:00"/>
    <n v="9"/>
    <x v="0"/>
    <m/>
  </r>
  <r>
    <s v="Bay 4&amp;5 - _x000a_Pumps"/>
    <x v="28"/>
    <s v="Mintu"/>
    <x v="0"/>
    <s v="PT175-109"/>
    <s v="Engine assembling ongoing"/>
    <d v="2026-01-02T00:00:00"/>
    <d v="2026-01-05T00:00:00"/>
    <m/>
    <m/>
    <d v="1899-12-30T07:30:00"/>
    <d v="1899-12-30T16:30:00"/>
    <n v="9"/>
    <x v="0"/>
    <m/>
  </r>
  <r>
    <s v="Bay 4&amp;5 - _x000a_Pumps"/>
    <x v="28"/>
    <s v="Shaji"/>
    <x v="1"/>
    <m/>
    <m/>
    <m/>
    <m/>
    <m/>
    <m/>
    <d v="1899-12-30T08:00:00"/>
    <d v="1899-12-30T10:00:00"/>
    <n v="2.0000000000000009"/>
    <x v="1"/>
    <m/>
  </r>
  <r>
    <s v="Bay 4&amp;5 - _x000a_Pumps"/>
    <x v="28"/>
    <s v="Harish"/>
    <x v="0"/>
    <s v="CP150-541"/>
    <s v="Pump dismantling &amp; prepare for assembling"/>
    <d v="2026-01-02T00:00:00"/>
    <d v="2026-01-05T00:00:00"/>
    <m/>
    <m/>
    <d v="1899-12-30T07:30:00"/>
    <d v="1899-12-30T16:30:00"/>
    <n v="9"/>
    <x v="0"/>
    <m/>
  </r>
  <r>
    <s v="Bay 4&amp;5 - _x000a_Pumps"/>
    <x v="28"/>
    <s v="Shaji"/>
    <x v="1"/>
    <m/>
    <m/>
    <m/>
    <m/>
    <m/>
    <m/>
    <d v="1899-12-30T10:00:00"/>
    <d v="1899-12-30T12:00:00"/>
    <n v="1.9999999999999996"/>
    <x v="1"/>
    <m/>
  </r>
  <r>
    <s v="Bay 4&amp;5 - _x000a_Pumps"/>
    <x v="28"/>
    <s v="James"/>
    <x v="0"/>
    <s v="CP150-775"/>
    <s v="Engine &amp; pump repair"/>
    <d v="2026-01-02T00:00:00"/>
    <d v="2026-01-05T00:00:00"/>
    <m/>
    <m/>
    <d v="1899-12-30T07:30:00"/>
    <d v="1899-12-30T16:30:00"/>
    <n v="9"/>
    <x v="0"/>
    <m/>
  </r>
  <r>
    <s v="Bay 4&amp;5 - _x000a_Pumps"/>
    <x v="28"/>
    <s v="Bharathesha"/>
    <x v="0"/>
    <s v="CP150-419"/>
    <s v="Engine &amp; pump repair"/>
    <d v="2026-01-03T00:00:00"/>
    <d v="2026-01-05T00:00:00"/>
    <m/>
    <m/>
    <d v="1899-12-30T07:30:00"/>
    <d v="1899-12-30T16:30:00"/>
    <n v="9"/>
    <x v="0"/>
    <m/>
  </r>
  <r>
    <s v="Bay 4&amp;5 - _x000a_Pumps"/>
    <x v="28"/>
    <s v="Ismail"/>
    <x v="0"/>
    <s v="PT175-531"/>
    <s v="pump assembling ongoing"/>
    <d v="2026-01-02T00:00:00"/>
    <d v="2026-01-05T00:00:00"/>
    <m/>
    <m/>
    <d v="1899-12-30T07:30:00"/>
    <d v="1899-12-30T16:30:00"/>
    <n v="9"/>
    <x v="0"/>
    <m/>
  </r>
  <r>
    <s v="Electrical"/>
    <x v="29"/>
    <s v="Fahad"/>
    <x v="3"/>
    <m/>
    <m/>
    <d v="2026-01-06T00:00:00"/>
    <d v="2026-01-06T00:00:00"/>
    <m/>
    <m/>
    <d v="1899-12-30T08:00:00"/>
    <d v="1899-12-30T17:00:00"/>
    <n v="9.0000000000000018"/>
    <x v="0"/>
    <m/>
  </r>
  <r>
    <s v="Electrical"/>
    <x v="29"/>
    <s v="Faisal"/>
    <x v="3"/>
    <s v="SPB2.2-061"/>
    <s v="Dismantling &amp; replacing the damaged stand canopy"/>
    <d v="2026-01-06T00:00:00"/>
    <d v="2026-01-06T00:00:00"/>
    <m/>
    <m/>
    <d v="1899-12-30T08:00:00"/>
    <d v="1899-12-30T17:00:00"/>
    <n v="9.0000000000000018"/>
    <x v="2"/>
    <m/>
  </r>
  <r>
    <s v="Electrical"/>
    <x v="29"/>
    <s v="Lijo"/>
    <x v="3"/>
    <s v="SPB7.5-025"/>
    <s v="Modification, adding canopy &amp; safety glass"/>
    <d v="2026-01-06T00:00:00"/>
    <d v="2026-01-06T00:00:00"/>
    <m/>
    <m/>
    <d v="1899-12-30T07:30:00"/>
    <d v="1899-12-30T16:30:00"/>
    <n v="9"/>
    <x v="2"/>
    <m/>
  </r>
  <r>
    <s v="Electrical"/>
    <x v="29"/>
    <s v="Cherith"/>
    <x v="2"/>
    <s v="GEN100-013"/>
    <s v="Alternator dismantled"/>
    <d v="2026-01-06T00:00:00"/>
    <d v="2026-01-07T00:00:00"/>
    <m/>
    <m/>
    <d v="1899-12-30T06:30:00"/>
    <d v="1899-12-30T12:00:00"/>
    <n v="5.5"/>
    <x v="2"/>
    <m/>
  </r>
  <r>
    <s v="Electrical"/>
    <x v="29"/>
    <s v="Aman"/>
    <x v="1"/>
    <m/>
    <m/>
    <m/>
    <m/>
    <m/>
    <m/>
    <d v="1899-12-30T06:30:00"/>
    <d v="1899-12-30T12:00:00"/>
    <n v="5.5"/>
    <x v="1"/>
    <m/>
  </r>
  <r>
    <s v="Electrical"/>
    <x v="29"/>
    <s v="Cherith"/>
    <x v="8"/>
    <s v="FM600-002/004"/>
    <s v="Inspection &amp; PDI"/>
    <d v="2026-01-06T00:00:00"/>
    <d v="2026-01-06T00:00:00"/>
    <m/>
    <m/>
    <d v="1899-12-30T13:00:00"/>
    <d v="1899-12-30T17:00:00"/>
    <n v="4.0000000000000018"/>
    <x v="2"/>
    <m/>
  </r>
  <r>
    <s v="Electrical"/>
    <x v="29"/>
    <s v="Aman"/>
    <x v="1"/>
    <m/>
    <m/>
    <m/>
    <m/>
    <m/>
    <m/>
    <d v="1899-12-30T13:00:00"/>
    <d v="1899-12-30T17:00:00"/>
    <n v="4.0000000000000018"/>
    <x v="1"/>
    <m/>
  </r>
  <r>
    <s v="Electrical"/>
    <x v="29"/>
    <s v="Gulam"/>
    <x v="4"/>
    <s v="SMSP3"/>
    <s v="75kw pump rewinding"/>
    <d v="2026-01-05T00:00:00"/>
    <d v="2026-01-06T00:00:00"/>
    <m/>
    <m/>
    <d v="1899-12-30T06:30:00"/>
    <d v="1899-12-30T15:30:00"/>
    <n v="9.0000000000000018"/>
    <x v="2"/>
    <m/>
  </r>
  <r>
    <s v="Electrical"/>
    <x v="29"/>
    <s v="Ghiyan"/>
    <x v="1"/>
    <m/>
    <m/>
    <m/>
    <m/>
    <m/>
    <m/>
    <d v="1899-12-30T06:30:00"/>
    <d v="1899-12-30T15:30:00"/>
    <n v="9.0000000000000018"/>
    <x v="1"/>
    <m/>
  </r>
  <r>
    <s v="Electrical"/>
    <x v="29"/>
    <s v="Suhaib"/>
    <x v="5"/>
    <s v="Old B:H pump"/>
    <s v="20nos pumps inspection &amp; repair"/>
    <d v="2026-01-06T00:00:00"/>
    <d v="2026-01-06T00:00:00"/>
    <m/>
    <m/>
    <d v="1899-12-30T07:00:00"/>
    <d v="1899-12-30T17:00:00"/>
    <n v="10"/>
    <x v="2"/>
    <m/>
  </r>
  <r>
    <s v="Electrical"/>
    <x v="29"/>
    <s v="Afsar"/>
    <x v="1"/>
    <m/>
    <m/>
    <m/>
    <m/>
    <m/>
    <m/>
    <d v="1899-12-30T07:00:00"/>
    <d v="1899-12-30T17:00:00"/>
    <n v="10"/>
    <x v="1"/>
    <m/>
  </r>
  <r>
    <s v="Electrical"/>
    <x v="29"/>
    <s v="Saqib"/>
    <x v="4"/>
    <s v="SWD-60-002"/>
    <s v="Water testing"/>
    <d v="2026-01-06T00:00:00"/>
    <d v="2026-01-09T00:00:00"/>
    <m/>
    <m/>
    <d v="1899-12-30T06:30:00"/>
    <d v="1899-12-30T08:00:00"/>
    <n v="1.5"/>
    <x v="0"/>
    <m/>
  </r>
  <r>
    <s v="Electrical"/>
    <x v="29"/>
    <s v="Saqib"/>
    <x v="4"/>
    <s v="SM530-489"/>
    <s v="Dismantle pump"/>
    <d v="2026-01-06T00:00:00"/>
    <d v="2026-01-06T00:00:00"/>
    <m/>
    <m/>
    <d v="1899-12-30T08:00:00"/>
    <d v="1899-12-30T15:30:00"/>
    <n v="7.5000000000000018"/>
    <x v="0"/>
    <m/>
  </r>
  <r>
    <s v="Electrical"/>
    <x v="29"/>
    <s v="Venu"/>
    <x v="4"/>
    <s v="SWD60H-004"/>
    <s v="Assembling"/>
    <d v="2026-01-06T00:00:00"/>
    <d v="2026-01-07T00:00:00"/>
    <m/>
    <m/>
    <d v="1899-12-30T06:30:00"/>
    <d v="1899-12-30T15:30:00"/>
    <n v="9.0000000000000018"/>
    <x v="0"/>
    <m/>
  </r>
  <r>
    <s v="Bay 6 -_x000a_Generator"/>
    <x v="29"/>
    <s v="Suraj"/>
    <x v="2"/>
    <s v="GEN200-014"/>
    <s v="Engine oil service,water washing &amp; general repair"/>
    <d v="2026-01-06T00:00:00"/>
    <d v="2026-01-06T00:00:00"/>
    <m/>
    <m/>
    <d v="1899-12-30T06:30:00"/>
    <d v="1899-12-30T10:30:00"/>
    <n v="4"/>
    <x v="0"/>
    <m/>
  </r>
  <r>
    <s v="Bay 6 -_x000a_Generator"/>
    <x v="29"/>
    <s v="Suraj"/>
    <x v="2"/>
    <s v="GEN250-047"/>
    <s v="Engine parts cleaning"/>
    <d v="2026-01-05T00:00:00"/>
    <d v="2026-01-06T00:00:00"/>
    <m/>
    <m/>
    <d v="1899-12-30T10:30:00"/>
    <d v="1899-12-30T15:30:00"/>
    <n v="5.0000000000000009"/>
    <x v="0"/>
    <m/>
  </r>
  <r>
    <s v="Bay 6 -_x000a_Generator"/>
    <x v="29"/>
    <s v="Shakeel"/>
    <x v="2"/>
    <s v="GENJ250-051"/>
    <s v="Main alternator fixing &amp; general repair"/>
    <d v="2026-01-06T00:00:00"/>
    <d v="2026-01-06T00:00:00"/>
    <m/>
    <m/>
    <d v="1899-12-30T08:00:00"/>
    <d v="1899-12-30T13:00:00"/>
    <n v="5"/>
    <x v="0"/>
    <m/>
  </r>
  <r>
    <s v="Bay 6 -_x000a_Generator"/>
    <x v="29"/>
    <s v="Sayid"/>
    <x v="1"/>
    <m/>
    <m/>
    <m/>
    <m/>
    <m/>
    <m/>
    <d v="1899-12-30T08:00:00"/>
    <d v="1899-12-30T13:00:00"/>
    <n v="5"/>
    <x v="1"/>
    <m/>
  </r>
  <r>
    <s v="Bay 6 -_x000a_Generator"/>
    <x v="29"/>
    <s v="Shakeel"/>
    <x v="2"/>
    <s v="GEN45-005"/>
    <s v="Main alternator fixing &amp; general repair"/>
    <d v="2026-01-06T00:00:00"/>
    <d v="2026-01-06T00:00:00"/>
    <m/>
    <m/>
    <d v="1899-12-30T14:00:00"/>
    <d v="1899-12-30T17:00:00"/>
    <n v="3"/>
    <x v="0"/>
    <m/>
  </r>
  <r>
    <s v="Bay 6 -_x000a_Generator"/>
    <x v="29"/>
    <s v="Sayid"/>
    <x v="1"/>
    <m/>
    <m/>
    <m/>
    <m/>
    <m/>
    <m/>
    <d v="1899-12-30T14:00:00"/>
    <d v="1899-12-30T17:00:00"/>
    <n v="3"/>
    <x v="1"/>
    <m/>
  </r>
  <r>
    <s v="Bay 4&amp;5 - _x000a_Pumps"/>
    <x v="29"/>
    <s v="Vinod"/>
    <x v="6"/>
    <s v="CD150M-002"/>
    <s v="Pump end dismantling"/>
    <d v="2026-01-02T00:00:00"/>
    <d v="2026-01-02T00:00:00"/>
    <m/>
    <m/>
    <d v="1899-12-30T14:00:00"/>
    <d v="1899-12-30T16:30:00"/>
    <n v="2.4999999999999991"/>
    <x v="0"/>
    <m/>
  </r>
  <r>
    <s v="Bay 4&amp;5 - _x000a_Pumps"/>
    <x v="29"/>
    <s v="Asif"/>
    <x v="6"/>
    <s v="BA700-001"/>
    <s v="Engine repair on site midisland"/>
    <d v="2026-01-05T00:00:00"/>
    <d v="2026-01-06T00:00:00"/>
    <m/>
    <m/>
    <d v="1899-12-30T14:00:00"/>
    <d v="1899-12-30T12:00:00"/>
    <n v="22"/>
    <x v="2"/>
    <m/>
  </r>
  <r>
    <s v="Bay 4&amp;5 - _x000a_Pumps"/>
    <x v="29"/>
    <s v="jagdev"/>
    <x v="1"/>
    <m/>
    <m/>
    <m/>
    <m/>
    <m/>
    <m/>
    <d v="1899-12-30T14:00:00"/>
    <d v="1899-12-30T12:00:00"/>
    <n v="22"/>
    <x v="1"/>
    <m/>
  </r>
  <r>
    <s v="Bay 4&amp;5 - _x000a_Pumps"/>
    <x v="29"/>
    <s v="Bilal"/>
    <x v="6"/>
    <s v="CD150M-002"/>
    <s v="Pump firtting"/>
    <d v="2026-01-02T00:00:00"/>
    <d v="2026-01-06T00:00:00"/>
    <m/>
    <m/>
    <d v="1899-12-30T14:00:00"/>
    <d v="1899-12-30T16:30:00"/>
    <n v="2.4999999999999991"/>
    <x v="2"/>
    <m/>
  </r>
  <r>
    <s v="Bay 4&amp;5 - _x000a_Pumps"/>
    <x v="29"/>
    <s v="Vinod"/>
    <x v="6"/>
    <s v="CD300M-008"/>
    <s v="Radiator installation &amp; testing"/>
    <d v="2026-01-06T00:00:00"/>
    <d v="2026-01-06T00:00:00"/>
    <m/>
    <m/>
    <d v="1899-12-30T14:00:00"/>
    <d v="1899-12-30T14:00:00"/>
    <n v="0"/>
    <x v="0"/>
    <m/>
  </r>
  <r>
    <s v="Bay 4&amp;5 - _x000a_Pumps"/>
    <x v="29"/>
    <s v="Asif"/>
    <x v="1"/>
    <m/>
    <m/>
    <m/>
    <m/>
    <m/>
    <m/>
    <d v="1899-12-30T14:00:00"/>
    <d v="1899-12-30T14:00:00"/>
    <n v="0"/>
    <x v="1"/>
    <m/>
  </r>
  <r>
    <s v="Bay 4&amp;5 - _x000a_Pumps"/>
    <x v="29"/>
    <s v="Jaheer"/>
    <x v="6"/>
    <s v="CD150M-002"/>
    <s v="Pump overhaul"/>
    <d v="2026-01-05T00:00:00"/>
    <d v="2026-01-06T00:00:00"/>
    <m/>
    <m/>
    <d v="1899-12-30T14:00:00"/>
    <d v="1899-12-30T16:30:00"/>
    <n v="2.4999999999999991"/>
    <x v="2"/>
    <m/>
  </r>
  <r>
    <s v="Bay 4&amp;5 - _x000a_Pumps"/>
    <x v="29"/>
    <s v="Suresh S"/>
    <x v="0"/>
    <s v="CP150-175/CP150X2"/>
    <s v="Final fitting, PDI &amp; flowfinity/Vaccum repair"/>
    <d v="2026-01-06T00:00:00"/>
    <d v="2026-01-06T00:00:00"/>
    <m/>
    <m/>
    <d v="1899-12-30T14:00:00"/>
    <d v="1899-12-30T12:30:00"/>
    <n v="22.5"/>
    <x v="2"/>
    <m/>
  </r>
  <r>
    <s v="Bay 4&amp;5 - _x000a_Pumps"/>
    <x v="29"/>
    <s v="Mintu"/>
    <x v="0"/>
    <s v="PT175-109"/>
    <s v="Engine assembling ongoing"/>
    <d v="2026-01-03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0:00:00"/>
    <n v="20"/>
    <x v="1"/>
    <m/>
  </r>
  <r>
    <s v="Bay 4&amp;5 - _x000a_Pumps"/>
    <x v="29"/>
    <s v="Harish"/>
    <x v="0"/>
    <s v="CP150-541"/>
    <s v="Pump assembling"/>
    <d v="2026-01-06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2:00:00"/>
    <n v="22"/>
    <x v="1"/>
    <m/>
  </r>
  <r>
    <s v="Bay 4&amp;5 - _x000a_Pumps"/>
    <x v="29"/>
    <s v="James"/>
    <x v="0"/>
    <s v="CP150-775"/>
    <s v="Engine &amp; pump repair ongoing, load test failed."/>
    <d v="2025-12-29T00:00:00"/>
    <d v="2026-01-06T00:00:00"/>
    <m/>
    <m/>
    <d v="1899-12-30T14:00:00"/>
    <d v="1899-12-30T17:30:00"/>
    <n v="3.4999999999999982"/>
    <x v="2"/>
    <m/>
  </r>
  <r>
    <s v="Bay 4&amp;5 - _x000a_Pumps"/>
    <x v="29"/>
    <s v="Bharathesha"/>
    <x v="0"/>
    <s v="CP150-419"/>
    <s v="Pump prepare for water testing, load test failed."/>
    <d v="2026-01-03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2:00:00"/>
    <n v="22"/>
    <x v="1"/>
    <m/>
  </r>
  <r>
    <s v="Bay 4&amp;5 - _x000a_Pumps"/>
    <x v="29"/>
    <s v="Ismail"/>
    <x v="0"/>
    <s v="PT175-531"/>
    <s v="pump assembling ongoing"/>
    <d v="2025-12-29T00:00:00"/>
    <d v="2026-01-06T00:00:00"/>
    <m/>
    <m/>
    <d v="1899-12-30T14:00:00"/>
    <d v="1899-12-30T17:30:00"/>
    <n v="3.4999999999999982"/>
    <x v="2"/>
    <m/>
  </r>
  <r>
    <s v="Bay 4&amp;5 - _x000a_Pumps"/>
    <x v="29"/>
    <s v="Shaji"/>
    <x v="1"/>
    <m/>
    <m/>
    <m/>
    <m/>
    <m/>
    <m/>
    <d v="1899-12-30T14:00:00"/>
    <d v="1899-12-30T16:00:00"/>
    <n v="1.9999999999999982"/>
    <x v="1"/>
    <m/>
  </r>
  <r>
    <s v="Electrical"/>
    <x v="30"/>
    <s v="Fahad"/>
    <x v="3"/>
    <s v="SPB2.2-061"/>
    <s v="Damaged canopy &amp; stand Replaced, repair test &amp; PDI"/>
    <d v="2026-01-07T00:00:00"/>
    <d v="2026-01-07T00:00:00"/>
    <m/>
    <m/>
    <d v="1899-12-30T06:30:00"/>
    <d v="1899-12-30T15:30:00"/>
    <n v="9.0000000000000018"/>
    <x v="2"/>
    <m/>
  </r>
  <r>
    <s v="Electrical"/>
    <x v="30"/>
    <s v="Faisal"/>
    <x v="3"/>
    <s v="SPB7.5-025"/>
    <s v="Modification, adding canopy &amp; safety glass"/>
    <d v="2026-01-06T00:00:00"/>
    <d v="2026-01-07T00:00:00"/>
    <m/>
    <m/>
    <d v="1899-12-30T06:30:00"/>
    <d v="1899-12-30T15:30:00"/>
    <n v="9.0000000000000018"/>
    <x v="2"/>
    <m/>
  </r>
  <r>
    <s v="Electrical"/>
    <x v="30"/>
    <s v="Cherith"/>
    <x v="2"/>
    <s v="GEN100-013"/>
    <s v="Alternator dismantled"/>
    <d v="2026-01-06T00:00:00"/>
    <d v="2026-01-07T00:00:00"/>
    <m/>
    <m/>
    <d v="1899-12-30T06:30:00"/>
    <d v="1899-12-30T17:30:00"/>
    <n v="11"/>
    <x v="2"/>
    <m/>
  </r>
  <r>
    <s v="Electrical"/>
    <x v="30"/>
    <s v="Aman"/>
    <x v="1"/>
    <m/>
    <m/>
    <m/>
    <m/>
    <m/>
    <m/>
    <d v="1899-12-30T06:30:00"/>
    <d v="1899-12-30T17:30:00"/>
    <n v="11"/>
    <x v="1"/>
    <m/>
  </r>
  <r>
    <s v="Electrical"/>
    <x v="30"/>
    <s v="Gulam"/>
    <x v="2"/>
    <s v="GEN45-003"/>
    <s v="Power cable connection"/>
    <d v="2026-01-07T00:00:00"/>
    <d v="2026-01-07T00:00:00"/>
    <d v="2026-01-07T00:00:00"/>
    <m/>
    <d v="1899-12-30T06:30:00"/>
    <d v="1899-12-30T08:30:00"/>
    <n v="2.0000000000000009"/>
    <x v="0"/>
    <m/>
  </r>
  <r>
    <s v="Electrical"/>
    <x v="30"/>
    <s v="Ghiyan"/>
    <x v="4"/>
    <s v="SMSP3"/>
    <s v="75kw pump rewinding"/>
    <d v="2026-01-05T00:00:00"/>
    <d v="2026-01-07T00:00:00"/>
    <m/>
    <m/>
    <d v="1899-12-30T06:30:00"/>
    <d v="1899-12-30T15:30:00"/>
    <n v="9.0000000000000018"/>
    <x v="2"/>
    <m/>
  </r>
  <r>
    <s v="Electrical"/>
    <x v="30"/>
    <s v="Suhaib"/>
    <x v="5"/>
    <s v="Old B:H pump"/>
    <s v="20nos pumps inspection &amp; repair"/>
    <d v="2026-01-06T00:00:00"/>
    <d v="2026-01-07T00:00:00"/>
    <m/>
    <m/>
    <d v="1899-12-30T07:30:00"/>
    <d v="1899-12-30T17:30:00"/>
    <n v="10"/>
    <x v="2"/>
    <m/>
  </r>
  <r>
    <s v="Electrical"/>
    <x v="30"/>
    <s v="Afsar"/>
    <x v="1"/>
    <m/>
    <m/>
    <m/>
    <m/>
    <m/>
    <m/>
    <d v="1899-12-30T07:30:00"/>
    <d v="1899-12-30T17:30:00"/>
    <n v="10"/>
    <x v="1"/>
    <m/>
  </r>
  <r>
    <s v="Electrical"/>
    <x v="30"/>
    <s v="Saqib"/>
    <x v="4"/>
    <s v="SM530"/>
    <s v="Pump repair"/>
    <d v="2026-01-06T00:00:00"/>
    <d v="2026-01-07T00:00:00"/>
    <m/>
    <m/>
    <d v="1899-12-30T08:00:00"/>
    <d v="1899-12-30T15:30:00"/>
    <n v="7.5000000000000018"/>
    <x v="2"/>
    <m/>
  </r>
  <r>
    <s v="Electrical"/>
    <x v="30"/>
    <s v="Venu"/>
    <x v="4"/>
    <s v="SWD60H"/>
    <s v="Pump repair"/>
    <d v="2026-01-06T00:00:00"/>
    <d v="2026-01-07T00:00:00"/>
    <m/>
    <m/>
    <d v="1899-12-30T06:30:00"/>
    <d v="1899-12-30T15:30:00"/>
    <n v="9.0000000000000018"/>
    <x v="2"/>
    <m/>
  </r>
  <r>
    <s v="Bay 6 -_x000a_Generator"/>
    <x v="30"/>
    <s v="Jagdev"/>
    <x v="9"/>
    <s v="DR-020"/>
    <s v="Repair on site, Drive track repair"/>
    <d v="2026-01-07T00:00:00"/>
    <d v="2026-01-07T00:00:00"/>
    <d v="2026-01-07T00:00:00"/>
    <m/>
    <d v="1899-12-30T06:30:00"/>
    <d v="1899-12-30T10:30:00"/>
    <n v="4"/>
    <x v="0"/>
    <m/>
  </r>
  <r>
    <s v="Bay 6 -_x000a_Generator"/>
    <x v="30"/>
    <s v="Suraj"/>
    <x v="10"/>
    <s v="BFT3-329/324/326/342"/>
    <s v="Engine parts cleaning"/>
    <d v="2025-12-24T00:00:00"/>
    <d v="2026-01-07T00:00:00"/>
    <d v="2026-01-07T00:00:00"/>
    <m/>
    <d v="1899-12-30T06:30:00"/>
    <d v="1899-12-30T10:30:00"/>
    <n v="4"/>
    <x v="0"/>
    <m/>
  </r>
  <r>
    <s v="Bay 6 -_x000a_Generator"/>
    <x v="30"/>
    <s v="Suraj"/>
    <x v="10"/>
    <s v="BFT3-331/319/345"/>
    <s v="Hose &amp; fittings fixing."/>
    <d v="2026-01-07T00:00:00"/>
    <d v="2026-01-07T00:00:00"/>
    <m/>
    <m/>
    <d v="1899-12-30T10:00:00"/>
    <d v="1899-12-30T15:30:00"/>
    <n v="5.5"/>
    <x v="2"/>
    <m/>
  </r>
  <r>
    <s v="Bay 6 -_x000a_Generator"/>
    <x v="30"/>
    <s v="Shakeel"/>
    <x v="2"/>
    <s v="GENJ250-047"/>
    <s v="Ac alternator motor removing"/>
    <d v="2026-01-07T00:00:00"/>
    <d v="2026-01-07T00:00:00"/>
    <d v="2026-01-07T00:00:00"/>
    <m/>
    <d v="1899-12-30T08:00:00"/>
    <d v="1899-12-30T10:00:00"/>
    <n v="2.0000000000000009"/>
    <x v="0"/>
    <m/>
  </r>
  <r>
    <s v="Bay 6 -_x000a_Generator"/>
    <x v="30"/>
    <s v="Anwar"/>
    <x v="1"/>
    <m/>
    <m/>
    <m/>
    <m/>
    <m/>
    <m/>
    <d v="1899-12-30T08:00:00"/>
    <d v="1899-12-30T10:00:00"/>
    <n v="2.0000000000000009"/>
    <x v="1"/>
    <m/>
  </r>
  <r>
    <s v="Bay 6 -_x000a_Generator"/>
    <x v="30"/>
    <s v="Shakeel"/>
    <x v="10"/>
    <s v="BFT3-341/336/322"/>
    <s v="Hose &amp; fittings fixing."/>
    <d v="2026-01-07T00:00:00"/>
    <d v="2026-01-07T00:00:00"/>
    <m/>
    <m/>
    <d v="1899-12-30T10:30:00"/>
    <d v="1899-12-30T17:30:00"/>
    <n v="6.9999999999999991"/>
    <x v="2"/>
    <m/>
  </r>
  <r>
    <s v="Bay 6 -_x000a_Generator"/>
    <x v="30"/>
    <s v="Anwar"/>
    <x v="1"/>
    <m/>
    <m/>
    <m/>
    <m/>
    <m/>
    <m/>
    <d v="1899-12-30T10:30:00"/>
    <d v="1899-12-30T17:30:00"/>
    <n v="6.9999999999999991"/>
    <x v="1"/>
    <m/>
  </r>
  <r>
    <s v="Bay 6 -_x000a_Generator"/>
    <x v="30"/>
    <s v="Jagdev"/>
    <x v="6"/>
    <s v="CD150"/>
    <s v="Spare engine, general repair"/>
    <d v="2026-01-07T00:00:00"/>
    <d v="2026-01-07T00:00:00"/>
    <m/>
    <m/>
    <d v="1899-12-30T10:30:00"/>
    <d v="1899-12-30T15:30:00"/>
    <n v="5.0000000000000009"/>
    <x v="2"/>
    <m/>
  </r>
  <r>
    <s v="Bay 4&amp;5 - _x000a_Pumps"/>
    <x v="30"/>
    <s v="Bilal"/>
    <x v="6"/>
    <s v="CD150M-002"/>
    <s v="Installation test bay, wet testing"/>
    <d v="2026-01-07T00:00:00"/>
    <d v="2026-01-15T00:00:00"/>
    <d v="2026-01-15T00:00:00"/>
    <m/>
    <d v="1899-12-30T08:30:00"/>
    <d v="1899-12-30T17:30:00"/>
    <n v="8.9999999999999982"/>
    <x v="0"/>
    <m/>
  </r>
  <r>
    <s v="Bay 4&amp;5 - _x000a_Pumps"/>
    <x v="30"/>
    <s v="Vinod"/>
    <x v="1"/>
    <m/>
    <m/>
    <m/>
    <m/>
    <m/>
    <m/>
    <d v="1899-12-30T08:30:00"/>
    <d v="1899-12-30T17:30:00"/>
    <n v="8.9999999999999982"/>
    <x v="1"/>
    <m/>
  </r>
  <r>
    <s v="Bay 4&amp;5 - _x000a_Pumps"/>
    <x v="30"/>
    <s v="Asif"/>
    <x v="8"/>
    <s v="Other"/>
    <s v="General work"/>
    <d v="2026-01-07T00:00:00"/>
    <d v="2026-01-07T00:00:00"/>
    <d v="2026-01-07T00:00:00"/>
    <m/>
    <d v="1899-12-30T08:30:00"/>
    <d v="1899-12-30T17:30:00"/>
    <n v="8.9999999999999982"/>
    <x v="0"/>
    <m/>
  </r>
  <r>
    <s v="Bay 4&amp;5 - _x000a_Pumps"/>
    <x v="30"/>
    <s v="Asif"/>
    <x v="6"/>
    <s v="SCT600-01"/>
    <s v="Gearbox removing"/>
    <d v="2026-01-07T00:00:00"/>
    <d v="2026-01-07T00:00:00"/>
    <d v="2026-01-07T00:00:00"/>
    <m/>
    <d v="1899-12-30T10:00:00"/>
    <d v="1899-12-30T17:30:00"/>
    <n v="7.4999999999999982"/>
    <x v="0"/>
    <m/>
  </r>
  <r>
    <s v="Bay 4&amp;5 - _x000a_Pumps"/>
    <x v="30"/>
    <s v="Jaheer"/>
    <x v="8"/>
    <s v="Drydock"/>
    <s v="Site work"/>
    <d v="2026-01-07T00:00:00"/>
    <d v="2026-01-07T00:00:00"/>
    <d v="2026-01-07T00:00:00"/>
    <m/>
    <d v="1899-12-30T06:30:00"/>
    <d v="1899-12-30T16:30:00"/>
    <n v="10"/>
    <x v="0"/>
    <m/>
  </r>
  <r>
    <s v="Bay 4&amp;5 - _x000a_Pumps"/>
    <x v="30"/>
    <s v="Suresh S"/>
    <x v="0"/>
    <s v="PT175-515/CP150V074"/>
    <s v="Final assembling PDI, flowfinity/Vaccum repair"/>
    <d v="2026-01-07T00:00:00"/>
    <d v="2026-01-07T00:00:00"/>
    <d v="2026-01-07T00:00:00"/>
    <m/>
    <d v="1899-12-30T06:30:00"/>
    <d v="1899-12-30T17:30:00"/>
    <n v="11"/>
    <x v="0"/>
    <m/>
  </r>
  <r>
    <s v="Bay 4&amp;5 - _x000a_Pumps"/>
    <x v="30"/>
    <s v="Mintu"/>
    <x v="0"/>
    <s v="PT175-109"/>
    <s v="Engine assembling ongoing"/>
    <d v="2026-01-03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06:30:00"/>
    <d v="1899-12-30T08:30:00"/>
    <n v="2.0000000000000009"/>
    <x v="1"/>
    <m/>
  </r>
  <r>
    <s v="Bay 4&amp;5 - _x000a_Pumps"/>
    <x v="30"/>
    <s v="Harish"/>
    <x v="0"/>
    <s v="CP150-259"/>
    <s v="Pump assembling"/>
    <d v="2026-01-06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08:30:00"/>
    <d v="1899-12-30T10:30:00"/>
    <n v="1.9999999999999996"/>
    <x v="1"/>
    <m/>
  </r>
  <r>
    <s v="Bay 4&amp;5 - _x000a_Pumps"/>
    <x v="30"/>
    <s v="James"/>
    <x v="0"/>
    <s v="CP150-775"/>
    <s v="pump assembling &amp; water test"/>
    <d v="2025-12-29T00:00:00"/>
    <d v="2026-01-06T00:00:00"/>
    <d v="2026-01-06T00:00:00"/>
    <m/>
    <d v="1899-12-30T06:30:00"/>
    <d v="1899-12-30T17:30:00"/>
    <n v="11"/>
    <x v="0"/>
    <m/>
  </r>
  <r>
    <s v="Bay 4&amp;5 - _x000a_Pumps"/>
    <x v="30"/>
    <s v="Bharathesha"/>
    <x v="0"/>
    <s v="CP150-419"/>
    <s v="Pump prepare for water testing,"/>
    <d v="2026-01-03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10:30:00"/>
    <d v="1899-12-30T12:00:00"/>
    <n v="1.5"/>
    <x v="1"/>
    <m/>
  </r>
  <r>
    <s v="Bay 4&amp;5 - _x000a_Pumps"/>
    <x v="30"/>
    <s v="Bharathesha"/>
    <x v="0"/>
    <s v="CP150-845"/>
    <s v="Pump dismantled, prepare for assemble"/>
    <d v="2026-01-07T00:00:00"/>
    <d v="2026-01-07T00:00:00"/>
    <d v="2026-01-07T00:00:00"/>
    <m/>
    <d v="1899-12-30T10:00:00"/>
    <d v="1899-12-30T17:30:00"/>
    <n v="7.4999999999999982"/>
    <x v="0"/>
    <m/>
  </r>
  <r>
    <s v="Bay 4&amp;5 - _x000a_Pumps"/>
    <x v="30"/>
    <s v="Ismail"/>
    <x v="0"/>
    <s v="PT175-531"/>
    <s v="pump assembling ongoing"/>
    <d v="2025-12-29T00:00:00"/>
    <d v="2026-01-07T00:00:00"/>
    <d v="2026-01-07T00:00:00"/>
    <m/>
    <d v="1899-12-30T06:30:00"/>
    <d v="1899-12-30T17:30:00"/>
    <n v="11"/>
    <x v="0"/>
    <m/>
  </r>
  <r>
    <s v="Bay 4&amp;5 - _x000a_Pumps"/>
    <x v="30"/>
    <s v="Shaji"/>
    <x v="1"/>
    <m/>
    <m/>
    <m/>
    <m/>
    <m/>
    <m/>
    <d v="1899-12-30T14:00:00"/>
    <d v="1899-12-30T16:00:00"/>
    <n v="1.9999999999999982"/>
    <x v="1"/>
    <m/>
  </r>
  <r>
    <s v="Electrical"/>
    <x v="31"/>
    <s v="Fahad"/>
    <x v="8"/>
    <s v="DB-184"/>
    <s v="Repairing &amp; testing"/>
    <d v="2026-01-08T00:00:00"/>
    <d v="2026-01-08T00:00:00"/>
    <d v="2026-01-08T00:00:00"/>
    <m/>
    <d v="1899-12-30T06:30:00"/>
    <d v="1899-12-30T15:30:00"/>
    <n v="9.0000000000000018"/>
    <x v="0"/>
    <m/>
  </r>
  <r>
    <s v="Electrical"/>
    <x v="31"/>
    <s v="Lijo"/>
    <x v="3"/>
    <s v="SPB2.2-034"/>
    <s v="Repairing &amp; testing"/>
    <d v="2026-01-08T00:00:00"/>
    <d v="2026-01-08T00:00:00"/>
    <m/>
    <m/>
    <d v="1899-12-30T08:00:00"/>
    <d v="1899-12-30T17:00:00"/>
    <n v="9.0000000000000018"/>
    <x v="2"/>
    <m/>
  </r>
  <r>
    <s v="Electrical"/>
    <x v="31"/>
    <s v="Faisal"/>
    <x v="3"/>
    <s v="SPB7.5-025"/>
    <s v="Modification &amp; adding ELECB &amp; safety glass"/>
    <d v="2026-01-08T00:00:00"/>
    <d v="2026-01-08T00:00:00"/>
    <m/>
    <m/>
    <d v="1899-12-30T06:30:00"/>
    <d v="1899-12-30T15:30:00"/>
    <n v="9.0000000000000018"/>
    <x v="2"/>
    <m/>
  </r>
  <r>
    <s v="Electrical"/>
    <x v="31"/>
    <s v="Cherith"/>
    <x v="8"/>
    <s v="FM150-064/024/050"/>
    <s v="Inspection &amp; repair"/>
    <d v="2026-01-08T00:00:00"/>
    <d v="2026-01-08T00:00:00"/>
    <d v="2026-01-08T00:00:00"/>
    <m/>
    <d v="1899-12-30T13:00:00"/>
    <d v="1899-12-30T17:00:00"/>
    <n v="4.0000000000000018"/>
    <x v="0"/>
    <m/>
  </r>
  <r>
    <s v="Electrical"/>
    <x v="31"/>
    <s v="Aman"/>
    <x v="1"/>
    <m/>
    <m/>
    <m/>
    <m/>
    <m/>
    <m/>
    <d v="1899-12-30T13:00:00"/>
    <d v="1899-12-30T17:00:00"/>
    <n v="4.0000000000000018"/>
    <x v="1"/>
    <m/>
  </r>
  <r>
    <s v="Electrical"/>
    <x v="31"/>
    <s v="Gulam"/>
    <x v="4"/>
    <s v="SM530-379"/>
    <s v="Repair pump"/>
    <d v="2026-01-08T00:00:00"/>
    <d v="2026-01-08T00:00:00"/>
    <m/>
    <m/>
    <d v="1899-12-30T06:30:00"/>
    <d v="1899-12-30T15:30:00"/>
    <n v="9.0000000000000018"/>
    <x v="2"/>
    <m/>
  </r>
  <r>
    <s v="Electrical"/>
    <x v="31"/>
    <s v="Ghiyan"/>
    <x v="4"/>
    <s v="SMSP3"/>
    <s v="75kw pump rewinding"/>
    <d v="2026-01-05T00:00:00"/>
    <d v="2026-01-08T00:00:00"/>
    <m/>
    <m/>
    <d v="1899-12-30T06:30:00"/>
    <d v="1899-12-30T15:30:00"/>
    <n v="9.0000000000000018"/>
    <x v="2"/>
    <m/>
  </r>
  <r>
    <s v="Electrical"/>
    <x v="31"/>
    <s v="Suhaib"/>
    <x v="5"/>
    <s v="Old B:H pump"/>
    <s v="20nos pumps inspection &amp; repair"/>
    <d v="2026-01-06T00:00:00"/>
    <d v="2026-01-08T00:00:00"/>
    <m/>
    <m/>
    <d v="1899-12-30T07:30:00"/>
    <d v="1899-12-30T17:30:00"/>
    <n v="10"/>
    <x v="2"/>
    <m/>
  </r>
  <r>
    <s v="Electrical"/>
    <x v="31"/>
    <s v="Afsar"/>
    <x v="1"/>
    <m/>
    <m/>
    <m/>
    <m/>
    <m/>
    <m/>
    <d v="1899-12-30T07:30:00"/>
    <d v="1899-12-30T17:30:00"/>
    <n v="10"/>
    <x v="1"/>
    <m/>
  </r>
  <r>
    <s v="Electrical"/>
    <x v="31"/>
    <s v="Saqib"/>
    <x v="4"/>
    <s v="SM530-552"/>
    <s v="Pump repair"/>
    <d v="2026-01-06T00:00:00"/>
    <d v="2026-01-08T00:00:00"/>
    <m/>
    <m/>
    <d v="1899-12-30T06:30:00"/>
    <d v="1899-12-30T15:30:00"/>
    <n v="9.0000000000000018"/>
    <x v="2"/>
    <m/>
  </r>
  <r>
    <s v="Electrical"/>
    <x v="31"/>
    <s v="Venu"/>
    <x v="4"/>
    <s v="SWD60H-002"/>
    <s v="Pump repair"/>
    <d v="2026-01-06T00:00:00"/>
    <d v="2026-01-08T00:00:00"/>
    <d v="2026-01-08T00:00:00"/>
    <m/>
    <d v="1899-12-30T06:30:00"/>
    <d v="1899-12-30T15:30:00"/>
    <n v="9.0000000000000018"/>
    <x v="0"/>
    <m/>
  </r>
  <r>
    <s v="Electrical"/>
    <x v="31"/>
    <s v="Venu"/>
    <x v="8"/>
    <s v="SSD22-022"/>
    <s v="inspection &amp; dismantling"/>
    <d v="2026-01-08T00:00:00"/>
    <d v="2026-01-08T00:00:00"/>
    <d v="2026-01-08T00:00:00"/>
    <m/>
    <d v="1899-12-30T08:30:00"/>
    <d v="1899-12-30T17:30:00"/>
    <n v="8.9999999999999982"/>
    <x v="0"/>
    <m/>
  </r>
  <r>
    <s v="Bay 6 -_x000a_Generator"/>
    <x v="31"/>
    <s v="Jagdev"/>
    <x v="0"/>
    <s v="CD150"/>
    <s v="Spare engine starting &amp; general repair"/>
    <d v="2026-01-07T00:00:00"/>
    <d v="2026-01-08T00:00:00"/>
    <d v="2026-01-08T00:00:00"/>
    <m/>
    <d v="1899-12-30T06:30:00"/>
    <d v="1899-12-30T08:30:00"/>
    <n v="2.0000000000000009"/>
    <x v="0"/>
    <m/>
  </r>
  <r>
    <s v="Bay 6 -_x000a_Generator"/>
    <x v="31"/>
    <s v="Suraj"/>
    <x v="10"/>
    <s v="BFT3-338/323/336"/>
    <s v="Main Cover removing, suction pipe tighten, hose &amp; fittings fixing."/>
    <d v="2026-01-08T00:00:00"/>
    <d v="2026-01-08T00:00:00"/>
    <d v="2026-01-08T00:00:00"/>
    <m/>
    <d v="1899-12-30T06:30:00"/>
    <d v="1899-12-30T11:00:00"/>
    <n v="4.5"/>
    <x v="0"/>
    <m/>
  </r>
  <r>
    <s v="Bay 6 -_x000a_Generator"/>
    <x v="31"/>
    <s v="Shakeel"/>
    <x v="2"/>
    <s v="GEN45-005"/>
    <s v="Canopy fitting, Load test &amp; final fitting"/>
    <d v="2026-01-06T00:00:00"/>
    <d v="2026-01-08T00:00:00"/>
    <d v="2026-01-08T00:00:00"/>
    <m/>
    <d v="1899-12-30T08:30:00"/>
    <d v="1899-12-30T11:30:00"/>
    <n v="3"/>
    <x v="0"/>
    <m/>
  </r>
  <r>
    <s v="Bay 6 -_x000a_Generator"/>
    <x v="31"/>
    <s v="Anwar"/>
    <x v="1"/>
    <m/>
    <m/>
    <m/>
    <m/>
    <m/>
    <m/>
    <d v="1899-12-30T08:30:00"/>
    <d v="1899-12-30T11:30:00"/>
    <n v="3"/>
    <x v="1"/>
    <m/>
  </r>
  <r>
    <s v="Bay 6 -_x000a_Generator"/>
    <x v="31"/>
    <s v="Shakeel"/>
    <x v="2"/>
    <s v="GEN250-047"/>
    <s v="Parts cleaning, washing &amp; General work"/>
    <d v="2026-01-08T00:00:00"/>
    <d v="2026-01-08T00:00:00"/>
    <d v="2026-01-08T00:00:00"/>
    <m/>
    <d v="1899-12-30T15:30:00"/>
    <d v="1899-12-30T17:30:00"/>
    <n v="1.9999999999999982"/>
    <x v="0"/>
    <m/>
  </r>
  <r>
    <s v="Bay 6 -_x000a_Generator"/>
    <x v="31"/>
    <s v="Anwar"/>
    <x v="1"/>
    <m/>
    <m/>
    <m/>
    <m/>
    <m/>
    <m/>
    <d v="1899-12-30T15:30:00"/>
    <d v="1899-12-30T17:30:00"/>
    <n v="1.9999999999999982"/>
    <x v="1"/>
    <m/>
  </r>
  <r>
    <s v="Bay 6 -_x000a_Generator"/>
    <x v="31"/>
    <s v="Jagdev"/>
    <x v="0"/>
    <s v="DR-20/CP150-190/v022/V006"/>
    <s v="Repair on site"/>
    <d v="2026-01-08T00:00:00"/>
    <d v="2026-01-08T00:00:00"/>
    <d v="2026-01-08T00:00:00"/>
    <m/>
    <d v="1899-12-30T08:30:00"/>
    <d v="1899-12-30T14:00:00"/>
    <n v="5.5"/>
    <x v="0"/>
    <m/>
  </r>
  <r>
    <s v="Bay 6 -_x000a_Generator"/>
    <x v="31"/>
    <s v="Anwar"/>
    <x v="2"/>
    <s v="GEN250-047"/>
    <s v="Engine parts cleaning."/>
    <d v="2026-01-06T00:00:00"/>
    <d v="2026-01-08T00:00:00"/>
    <d v="2026-01-08T00:00:00"/>
    <m/>
    <d v="1899-12-30T13:00:00"/>
    <d v="1899-12-30T15:30:00"/>
    <n v="2.5000000000000018"/>
    <x v="0"/>
    <m/>
  </r>
  <r>
    <s v="Bay 6 -_x000a_Generator"/>
    <x v="31"/>
    <s v="Suraj"/>
    <x v="1"/>
    <m/>
    <m/>
    <m/>
    <m/>
    <m/>
    <m/>
    <d v="1899-12-30T13:00:00"/>
    <d v="1899-12-30T15:30:00"/>
    <n v="2.5000000000000018"/>
    <x v="1"/>
    <m/>
  </r>
  <r>
    <s v="Bay 4&amp;5 - _x000a_Pumps"/>
    <x v="31"/>
    <s v="Asif"/>
    <x v="6"/>
    <s v="CD300M-008"/>
    <s v="Coolant leakage repairing, PDI"/>
    <d v="2026-01-07T00:00:00"/>
    <d v="2026-01-15T00:00:00"/>
    <d v="2026-01-15T00:00:00"/>
    <m/>
    <d v="1899-12-30T06:30:00"/>
    <d v="1899-12-30T08:30:00"/>
    <n v="2.0000000000000009"/>
    <x v="0"/>
    <m/>
  </r>
  <r>
    <s v="Bay 4&amp;5 - _x000a_Pumps"/>
    <x v="31"/>
    <s v="Vinod"/>
    <x v="1"/>
    <m/>
    <m/>
    <m/>
    <m/>
    <m/>
    <m/>
    <d v="1899-12-30T08:30:00"/>
    <d v="1899-12-30T17:30:00"/>
    <n v="8.9999999999999982"/>
    <x v="1"/>
    <m/>
  </r>
  <r>
    <s v="Bay 4&amp;5 - _x000a_Pumps"/>
    <x v="31"/>
    <s v="Asif"/>
    <x v="6"/>
    <s v="SCT600-02"/>
    <s v="Gearbox removing"/>
    <d v="2026-01-07T00:00:00"/>
    <d v="2026-01-08T00:00:00"/>
    <d v="2026-01-08T00:00:00"/>
    <m/>
    <d v="1899-12-30T08:30:00"/>
    <d v="1899-12-30T13:00:00"/>
    <n v="4.4999999999999982"/>
    <x v="0"/>
    <m/>
  </r>
  <r>
    <s v="Bay 4&amp;5 - _x000a_Pumps"/>
    <x v="31"/>
    <s v="Vinod"/>
    <x v="1"/>
    <m/>
    <m/>
    <m/>
    <m/>
    <m/>
    <m/>
    <d v="1899-12-30T08:30:00"/>
    <d v="1899-12-30T13:00:00"/>
    <n v="4.4999999999999982"/>
    <x v="1"/>
    <m/>
  </r>
  <r>
    <s v="Bay 4&amp;5 - _x000a_Pumps"/>
    <x v="31"/>
    <s v="Bilal"/>
    <x v="6"/>
    <s v="CD150M-002"/>
    <s v="Discharge manifold &amp; fuel connection installation."/>
    <d v="2026-01-08T00:00:00"/>
    <d v="2026-01-08T00:00:00"/>
    <d v="2026-01-08T00:00:00"/>
    <m/>
    <d v="1899-12-30T08:30:00"/>
    <d v="1899-12-30T10:30:00"/>
    <n v="1.9999999999999996"/>
    <x v="0"/>
    <m/>
  </r>
  <r>
    <s v="Bay 4&amp;5 - _x000a_Pumps"/>
    <x v="31"/>
    <s v="Jaheer"/>
    <x v="6"/>
    <s v="KV550"/>
    <s v="Impeller removing"/>
    <d v="2026-01-08T00:00:00"/>
    <d v="2026-01-08T00:00:00"/>
    <m/>
    <m/>
    <d v="1899-12-30T10:30:00"/>
    <d v="1899-12-30T17:30:00"/>
    <n v="6.9999999999999991"/>
    <x v="2"/>
    <m/>
  </r>
  <r>
    <s v="Bay 4&amp;5 - _x000a_Pumps"/>
    <x v="31"/>
    <s v="Bilal"/>
    <x v="1"/>
    <m/>
    <m/>
    <m/>
    <m/>
    <m/>
    <m/>
    <d v="1899-12-30T10:30:00"/>
    <d v="1899-12-30T17:30:00"/>
    <n v="6.9999999999999991"/>
    <x v="1"/>
    <m/>
  </r>
  <r>
    <s v="Bay 4&amp;5 - _x000a_Pumps"/>
    <x v="31"/>
    <s v="Suresh S"/>
    <x v="0"/>
    <s v="CP150X3"/>
    <s v="Vaccum pump repair"/>
    <d v="2026-01-08T00:00:00"/>
    <d v="2026-01-08T00:00:00"/>
    <d v="2026-01-08T00:00:00"/>
    <m/>
    <d v="1899-12-30T06:30:00"/>
    <d v="1899-12-30T17:00:00"/>
    <n v="10.500000000000002"/>
    <x v="0"/>
    <m/>
  </r>
  <r>
    <s v="Bay 4&amp;5 - _x000a_Pumps"/>
    <x v="31"/>
    <s v="Mintu"/>
    <x v="0"/>
    <s v="PT175-541"/>
    <s v="Engine dismantling ongoing"/>
    <d v="2026-01-08T00:00:00"/>
    <d v="2026-01-08T00:00:00"/>
    <d v="2026-01-08T00:00:00"/>
    <m/>
    <d v="1899-12-30T06:30:00"/>
    <d v="1899-12-30T17:30:00"/>
    <n v="11"/>
    <x v="0"/>
    <m/>
  </r>
  <r>
    <s v="Bay 4&amp;5 - _x000a_Pumps"/>
    <x v="31"/>
    <s v="Shaji"/>
    <x v="1"/>
    <m/>
    <m/>
    <m/>
    <m/>
    <m/>
    <m/>
    <d v="1899-12-30T06:30:00"/>
    <d v="1899-12-30T08:30:00"/>
    <n v="2.0000000000000009"/>
    <x v="1"/>
    <m/>
  </r>
  <r>
    <s v="Bay 4&amp;5 - _x000a_Pumps"/>
    <x v="31"/>
    <s v="Harish"/>
    <x v="0"/>
    <s v="CP150-259"/>
    <s v="Pump assembling"/>
    <d v="2026-01-06T00:00:00"/>
    <d v="2026-01-08T00:00:00"/>
    <d v="2026-01-08T00:00:00"/>
    <m/>
    <d v="1899-12-30T06:30:00"/>
    <d v="1899-12-30T08:30:00"/>
    <n v="2.0000000000000009"/>
    <x v="0"/>
    <m/>
  </r>
  <r>
    <s v="Bay 4&amp;5 - _x000a_Pumps"/>
    <x v="31"/>
    <s v="Shaji"/>
    <x v="1"/>
    <m/>
    <m/>
    <m/>
    <m/>
    <m/>
    <m/>
    <d v="1899-12-30T08:30:00"/>
    <d v="1899-12-30T10:30:00"/>
    <n v="1.9999999999999996"/>
    <x v="1"/>
    <m/>
  </r>
  <r>
    <s v="Bay 4&amp;5 - _x000a_Pumps"/>
    <x v="31"/>
    <s v="James"/>
    <x v="0"/>
    <s v="CP150-775"/>
    <s v="pump minor repair"/>
    <d v="2025-12-29T00:00:00"/>
    <d v="2026-01-08T00:00:00"/>
    <d v="2026-01-08T00:00:00"/>
    <m/>
    <d v="1899-12-30T06:30:00"/>
    <d v="1899-12-30T09:30:00"/>
    <n v="3"/>
    <x v="0"/>
    <m/>
  </r>
  <r>
    <s v="Bay 4&amp;5 - _x000a_Pumps"/>
    <x v="31"/>
    <s v="Harish"/>
    <x v="0"/>
    <s v="JP232"/>
    <s v="Pump &amp; engine repair ongoing"/>
    <d v="2026-01-08T00:00:00"/>
    <d v="2026-01-08T00:00:00"/>
    <d v="2026-01-08T00:00:00"/>
    <m/>
    <d v="1899-12-30T08:30:00"/>
    <d v="1899-12-30T17:30:00"/>
    <n v="8.9999999999999982"/>
    <x v="0"/>
    <m/>
  </r>
  <r>
    <s v="Bay 4&amp;5 - _x000a_Pumps"/>
    <x v="31"/>
    <s v="Bharathesha"/>
    <x v="0"/>
    <s v="CP150-845"/>
    <s v="Pump assembling"/>
    <d v="2026-01-07T00:00:00"/>
    <d v="2026-01-08T00:00:00"/>
    <d v="2026-01-08T00:00:00"/>
    <m/>
    <d v="1899-12-30T10:00:00"/>
    <d v="1899-12-30T17:30:00"/>
    <n v="7.4999999999999982"/>
    <x v="0"/>
    <m/>
  </r>
  <r>
    <s v="Bay 4&amp;5 - _x000a_Pumps"/>
    <x v="31"/>
    <s v="Shaji"/>
    <x v="1"/>
    <m/>
    <m/>
    <m/>
    <m/>
    <m/>
    <m/>
    <d v="1899-12-30T10:30:00"/>
    <d v="1899-12-30T12:00:00"/>
    <n v="1.5"/>
    <x v="1"/>
    <m/>
  </r>
  <r>
    <s v="Bay 4&amp;5 - _x000a_Pumps"/>
    <x v="31"/>
    <s v="Ismail"/>
    <x v="0"/>
    <s v="PT175-109"/>
    <s v="pump assembling &amp;water test"/>
    <d v="2026-01-04T00:00:00"/>
    <d v="2026-01-08T00:00:00"/>
    <d v="2026-01-08T00:00:00"/>
    <m/>
    <d v="1899-12-30T06:30:00"/>
    <d v="1899-12-30T17:30:00"/>
    <n v="11"/>
    <x v="0"/>
    <m/>
  </r>
  <r>
    <s v="Bay 4&amp;5 - _x000a_Pumps"/>
    <x v="31"/>
    <s v="Shaji"/>
    <x v="1"/>
    <m/>
    <m/>
    <m/>
    <m/>
    <m/>
    <m/>
    <d v="1899-12-30T14:00:00"/>
    <d v="1899-12-30T16:00:00"/>
    <n v="1.9999999999999982"/>
    <x v="1"/>
    <m/>
  </r>
  <r>
    <s v="Electrical"/>
    <x v="32"/>
    <s v="Fahad"/>
    <x v="3"/>
    <s v="ATS400-021"/>
    <s v="Repairing &amp; testing"/>
    <d v="2026-01-09T00:00:00"/>
    <d v="2026-01-09T00:00:00"/>
    <m/>
    <m/>
    <d v="1899-12-30T06:30:00"/>
    <d v="1899-12-30T15:30:00"/>
    <n v="9.0000000000000018"/>
    <x v="2"/>
    <m/>
  </r>
  <r>
    <s v="Electrical"/>
    <x v="32"/>
    <s v="Lijo"/>
    <x v="3"/>
    <s v="SPB2.2-034"/>
    <s v="Repairing &amp; testing"/>
    <d v="2026-01-08T00:00:00"/>
    <d v="2026-01-09T00:00:00"/>
    <m/>
    <m/>
    <d v="1899-12-30T08:00:00"/>
    <d v="1899-12-30T17:00:00"/>
    <n v="9.0000000000000018"/>
    <x v="2"/>
    <m/>
  </r>
  <r>
    <s v="Electrical"/>
    <x v="32"/>
    <s v="Faisal"/>
    <x v="3"/>
    <s v="SPB7.5-025"/>
    <s v="Modification &amp; adding ELECB &amp; safety glass"/>
    <d v="2026-01-08T00:00:00"/>
    <d v="2026-01-09T00:00:00"/>
    <m/>
    <m/>
    <d v="1899-12-30T06:30:00"/>
    <d v="1899-12-30T15:30:00"/>
    <n v="9.0000000000000018"/>
    <x v="2"/>
    <m/>
  </r>
  <r>
    <s v="Electrical"/>
    <x v="32"/>
    <s v="Cherith"/>
    <x v="2"/>
    <s v="GEN250-047"/>
    <s v="inspection &amp; dismantling"/>
    <d v="2026-01-09T00:00:00"/>
    <d v="2026-01-09T00:00:00"/>
    <m/>
    <m/>
    <d v="1899-12-30T06:30:00"/>
    <d v="1899-12-30T17:30:00"/>
    <n v="11"/>
    <x v="2"/>
    <m/>
  </r>
  <r>
    <s v="Electrical"/>
    <x v="32"/>
    <s v="Aman"/>
    <x v="1"/>
    <m/>
    <m/>
    <m/>
    <m/>
    <m/>
    <m/>
    <d v="1899-12-30T06:30:00"/>
    <d v="1899-12-30T17:30:00"/>
    <n v="11"/>
    <x v="1"/>
    <m/>
  </r>
  <r>
    <s v="Electrical"/>
    <x v="32"/>
    <s v="Gulam"/>
    <x v="4"/>
    <s v="SM530-379"/>
    <s v="Repair &amp; assembling"/>
    <d v="2026-01-08T00:00:00"/>
    <d v="2026-01-10T00:00:00"/>
    <m/>
    <m/>
    <d v="1899-12-30T06:30:00"/>
    <d v="1899-12-30T15:30:00"/>
    <n v="9.0000000000000018"/>
    <x v="0"/>
    <m/>
  </r>
  <r>
    <s v="Electrical"/>
    <x v="32"/>
    <s v="Ghiyan"/>
    <x v="2"/>
    <s v="GEN60-041"/>
    <s v="Inspection &amp; assembling"/>
    <d v="2026-01-09T00:00:00"/>
    <d v="2026-01-09T00:00:00"/>
    <m/>
    <m/>
    <d v="1899-12-30T06:30:00"/>
    <d v="1899-12-30T15:30:00"/>
    <n v="9.0000000000000018"/>
    <x v="2"/>
    <m/>
  </r>
  <r>
    <s v="Electrical"/>
    <x v="32"/>
    <s v="Donald"/>
    <x v="4"/>
    <s v="SM530-286"/>
    <s v="Repairing &amp; assemble"/>
    <d v="2026-01-09T00:00:00"/>
    <d v="2026-01-10T00:00:00"/>
    <m/>
    <m/>
    <d v="1899-12-30T08:30:00"/>
    <d v="1899-12-30T17:30:00"/>
    <n v="8.9999999999999982"/>
    <x v="2"/>
    <m/>
  </r>
  <r>
    <s v="Electrical"/>
    <x v="32"/>
    <s v="Suhaib"/>
    <x v="5"/>
    <s v="Old B:H pump"/>
    <s v="20nos pumps inspection &amp; repair"/>
    <d v="2026-01-06T00:00:00"/>
    <d v="2026-01-09T00:00:00"/>
    <m/>
    <m/>
    <d v="1899-12-30T08:30:00"/>
    <d v="1899-12-30T17:30:00"/>
    <n v="8.9999999999999982"/>
    <x v="2"/>
    <m/>
  </r>
  <r>
    <s v="Electrical"/>
    <x v="32"/>
    <s v="Afsar"/>
    <x v="1"/>
    <m/>
    <m/>
    <m/>
    <m/>
    <m/>
    <m/>
    <d v="1899-12-30T08:30:00"/>
    <d v="1899-12-30T17:30:00"/>
    <n v="8.9999999999999982"/>
    <x v="1"/>
    <m/>
  </r>
  <r>
    <s v="Electrical"/>
    <x v="32"/>
    <s v="Saqib"/>
    <x v="4"/>
    <s v="SM530-334"/>
    <s v="Re-Winding"/>
    <d v="2026-01-09T00:00:00"/>
    <d v="2026-01-12T00:00:00"/>
    <m/>
    <m/>
    <d v="1899-12-30T06:30:00"/>
    <d v="1899-12-30T15:30:00"/>
    <n v="9.0000000000000018"/>
    <x v="2"/>
    <m/>
  </r>
  <r>
    <s v="Electrical"/>
    <x v="32"/>
    <s v="Venu"/>
    <x v="4"/>
    <s v="SM530-552"/>
    <s v="Repairing &amp; assemble"/>
    <d v="2026-01-09T00:00:00"/>
    <d v="2026-01-10T00:00:00"/>
    <m/>
    <m/>
    <d v="1899-12-30T06:30:00"/>
    <d v="1899-12-30T15:30:00"/>
    <n v="9.0000000000000018"/>
    <x v="0"/>
    <m/>
  </r>
  <r>
    <s v="Bay 6 -_x000a_Generator"/>
    <x v="32"/>
    <s v="Jagdev"/>
    <x v="2"/>
    <s v="GEN250-047"/>
    <s v="Engine parts cleaning"/>
    <d v="2026-01-06T00:00:00"/>
    <d v="2026-01-09T00:00:00"/>
    <m/>
    <m/>
    <d v="1899-12-30T06:30:00"/>
    <d v="1899-12-30T15:30:00"/>
    <n v="9.0000000000000018"/>
    <x v="3"/>
    <m/>
  </r>
  <r>
    <s v="Bay 6 -_x000a_Generator"/>
    <x v="32"/>
    <s v="Suraj"/>
    <x v="1"/>
    <m/>
    <m/>
    <m/>
    <m/>
    <m/>
    <m/>
    <d v="1899-12-30T06:30:00"/>
    <d v="1899-12-30T15:30:00"/>
    <n v="9.0000000000000018"/>
    <x v="1"/>
    <m/>
  </r>
  <r>
    <s v="Bay 6 -_x000a_Generator"/>
    <x v="32"/>
    <s v="Jagdev"/>
    <x v="9"/>
    <s v="DR-20"/>
    <s v="Repair on site"/>
    <d v="2026-01-09T00:00:00"/>
    <d v="2026-01-09T00:00:00"/>
    <m/>
    <m/>
    <d v="1899-12-30T09:00:00"/>
    <d v="1899-12-30T12:00:00"/>
    <n v="3"/>
    <x v="0"/>
    <m/>
  </r>
  <r>
    <s v="Bay 6 -_x000a_Generator"/>
    <x v="32"/>
    <s v="Shakeel"/>
    <x v="8"/>
    <s v="General work"/>
    <s v="general work"/>
    <d v="2026-01-09T00:00:00"/>
    <d v="2026-01-09T00:00:00"/>
    <m/>
    <m/>
    <d v="1899-12-30T08:30:00"/>
    <d v="1899-12-30T12:30:00"/>
    <n v="4"/>
    <x v="0"/>
    <m/>
  </r>
  <r>
    <s v="Bay 6 -_x000a_Generator"/>
    <x v="32"/>
    <s v="Anwar"/>
    <x v="1"/>
    <m/>
    <m/>
    <m/>
    <m/>
    <m/>
    <m/>
    <d v="1899-12-30T08:30:00"/>
    <d v="1899-12-30T12:30:00"/>
    <n v="4"/>
    <x v="1"/>
    <m/>
  </r>
  <r>
    <s v="Bay 6 -_x000a_Generator"/>
    <x v="32"/>
    <s v="Shakeel"/>
    <x v="2"/>
    <s v="GENS100-066"/>
    <s v="Genera repair, fuel tank cleaning, cable connection &amp; water test"/>
    <d v="2026-01-09T00:00:00"/>
    <d v="2026-01-09T00:00:00"/>
    <m/>
    <m/>
    <d v="1899-12-30T13:30:00"/>
    <d v="1899-12-30T17:30:00"/>
    <n v="3.9999999999999991"/>
    <x v="0"/>
    <m/>
  </r>
  <r>
    <s v="Bay 6 -_x000a_Generator"/>
    <x v="32"/>
    <s v="Anwar"/>
    <x v="1"/>
    <m/>
    <m/>
    <m/>
    <m/>
    <m/>
    <m/>
    <d v="1899-12-30T13:30:00"/>
    <d v="1899-12-30T17:30:00"/>
    <n v="3.9999999999999991"/>
    <x v="1"/>
    <m/>
  </r>
  <r>
    <s v="Bay 6 -_x000a_Generator"/>
    <x v="32"/>
    <s v="Ghiyan"/>
    <x v="1"/>
    <m/>
    <m/>
    <m/>
    <m/>
    <m/>
    <m/>
    <d v="1899-12-30T13:30:00"/>
    <d v="1899-12-30T17:30:00"/>
    <n v="3.9999999999999991"/>
    <x v="1"/>
    <m/>
  </r>
  <r>
    <s v="Bay 4&amp;5 - _x000a_Pumps"/>
    <x v="32"/>
    <s v="Asif"/>
    <x v="8"/>
    <s v="0il seperator/01/02/03"/>
    <s v="Inspection &amp; filter replacement"/>
    <d v="2026-01-09T00:00:00"/>
    <d v="2026-01-09T00:00:00"/>
    <m/>
    <m/>
    <d v="1899-12-30T06:30:00"/>
    <d v="1899-12-30T12:00:00"/>
    <n v="5.5"/>
    <x v="0"/>
    <m/>
  </r>
  <r>
    <s v="Bay 4&amp;5 - _x000a_Pumps"/>
    <x v="32"/>
    <s v="Vinod"/>
    <x v="1"/>
    <m/>
    <m/>
    <m/>
    <m/>
    <m/>
    <m/>
    <d v="1899-12-30T06:30:00"/>
    <d v="1899-12-30T12:00:00"/>
    <n v="5.5"/>
    <x v="1"/>
    <m/>
  </r>
  <r>
    <s v="Bay 4&amp;5 - _x000a_Pumps"/>
    <x v="32"/>
    <s v="Asif"/>
    <x v="6"/>
    <s v="KV550"/>
    <s v="Impeller removing"/>
    <d v="2026-01-09T00:00:00"/>
    <d v="2026-01-09T00:00:00"/>
    <m/>
    <m/>
    <d v="1899-12-30T12:00:00"/>
    <d v="1899-12-30T15:30:00"/>
    <n v="3.5000000000000009"/>
    <x v="2"/>
    <m/>
  </r>
  <r>
    <s v="Bay 4&amp;5 - _x000a_Pumps"/>
    <x v="32"/>
    <s v="Vinod"/>
    <x v="1"/>
    <m/>
    <m/>
    <m/>
    <m/>
    <m/>
    <m/>
    <d v="1899-12-30T12:00:00"/>
    <d v="1899-12-30T15:30:00"/>
    <n v="3.5000000000000009"/>
    <x v="1"/>
    <m/>
  </r>
  <r>
    <s v="Bay 4&amp;5 - _x000a_Pumps"/>
    <x v="32"/>
    <s v="Jaheer"/>
    <x v="6"/>
    <s v="Vaccum pump"/>
    <s v="Vaccum pump repairing"/>
    <d v="2026-01-09T00:00:00"/>
    <d v="2026-01-09T00:00:00"/>
    <m/>
    <m/>
    <d v="1899-12-30T08:30:00"/>
    <d v="1899-12-30T10:30:00"/>
    <n v="1.9999999999999996"/>
    <x v="0"/>
    <m/>
  </r>
  <r>
    <s v="Bay 4&amp;5 - _x000a_Pumps"/>
    <x v="32"/>
    <s v="Bilal"/>
    <x v="1"/>
    <m/>
    <m/>
    <m/>
    <m/>
    <m/>
    <m/>
    <d v="1899-12-30T08:30:00"/>
    <d v="1899-12-30T10:30:00"/>
    <n v="1.9999999999999996"/>
    <x v="1"/>
    <m/>
  </r>
  <r>
    <s v="Bay 4&amp;5 - _x000a_Pumps"/>
    <x v="32"/>
    <s v="Jaheer"/>
    <x v="6"/>
    <s v="CP108-04"/>
    <s v="Washing &amp; oil sump removing"/>
    <d v="2026-01-09T00:00:00"/>
    <d v="2026-01-09T00:00:00"/>
    <m/>
    <m/>
    <d v="1899-12-30T10:30:00"/>
    <d v="1899-12-30T17:30:00"/>
    <n v="6.9999999999999991"/>
    <x v="2"/>
    <m/>
  </r>
  <r>
    <s v="Bay 4&amp;5 - _x000a_Pumps"/>
    <x v="32"/>
    <s v="Bilal"/>
    <x v="1"/>
    <m/>
    <m/>
    <m/>
    <m/>
    <m/>
    <m/>
    <d v="1899-12-30T10:30:00"/>
    <d v="1899-12-30T17:30:00"/>
    <n v="6.9999999999999991"/>
    <x v="1"/>
    <m/>
  </r>
  <r>
    <s v="Bay 4&amp;5 - _x000a_Pumps"/>
    <x v="32"/>
    <s v="Suresh S"/>
    <x v="0"/>
    <s v="CP150X4"/>
    <s v="Vaccum pump repair"/>
    <d v="2026-01-09T00:00:00"/>
    <d v="2026-01-09T00:00:00"/>
    <m/>
    <m/>
    <d v="1899-12-30T06:30:00"/>
    <d v="1899-12-30T17:30:00"/>
    <n v="11"/>
    <x v="0"/>
    <m/>
  </r>
  <r>
    <s v="Bay 4&amp;5 - _x000a_Pumps"/>
    <x v="32"/>
    <s v="Mintu"/>
    <x v="0"/>
    <s v="PT175-541"/>
    <s v="Engine assemblingg ongoing"/>
    <d v="2026-01-08T00:00:00"/>
    <d v="2026-01-09T00:00:00"/>
    <m/>
    <m/>
    <d v="1899-12-30T06:30:00"/>
    <d v="1899-12-30T17:30:00"/>
    <n v="11"/>
    <x v="0"/>
    <m/>
  </r>
  <r>
    <s v="Bay 4&amp;5 - _x000a_Pumps"/>
    <x v="32"/>
    <s v="Shaji"/>
    <x v="1"/>
    <m/>
    <m/>
    <m/>
    <m/>
    <m/>
    <m/>
    <d v="1899-12-30T06:30:00"/>
    <d v="1899-12-30T08:30:00"/>
    <n v="2.0000000000000009"/>
    <x v="1"/>
    <m/>
  </r>
  <r>
    <s v="Bay 4&amp;5 - _x000a_Pumps"/>
    <x v="32"/>
    <s v="Harish"/>
    <x v="0"/>
    <s v="CP150-614"/>
    <s v="Engine cylinder head removing &amp; dismantling"/>
    <d v="2026-01-09T00:00:00"/>
    <d v="2026-01-09T00:00:00"/>
    <m/>
    <m/>
    <d v="1899-12-30T10:30:00"/>
    <d v="1899-12-30T17:30:00"/>
    <n v="6.9999999999999991"/>
    <x v="0"/>
    <m/>
  </r>
  <r>
    <s v="Bay 4&amp;5 - _x000a_Pumps"/>
    <x v="32"/>
    <s v="Shaji"/>
    <x v="1"/>
    <m/>
    <m/>
    <m/>
    <m/>
    <m/>
    <m/>
    <d v="1899-12-30T08:30:00"/>
    <d v="1899-12-30T10:30:00"/>
    <n v="1.9999999999999996"/>
    <x v="1"/>
    <m/>
  </r>
  <r>
    <s v="Bay 4&amp;5 - _x000a_Pumps"/>
    <x v="32"/>
    <s v="James"/>
    <x v="0"/>
    <s v="CP150-856"/>
    <s v="pump prepare for assembling"/>
    <d v="2026-01-08T00:00:00"/>
    <d v="2026-01-09T00:00:00"/>
    <m/>
    <m/>
    <d v="1899-12-30T06:30:00"/>
    <d v="1899-12-30T09:30:00"/>
    <n v="3"/>
    <x v="2"/>
    <m/>
  </r>
  <r>
    <s v="Bay 4&amp;5 - _x000a_Pumps"/>
    <x v="32"/>
    <s v="Harish"/>
    <x v="0"/>
    <s v="JP232"/>
    <s v="Pump &amp; engine repair ongoing"/>
    <d v="2026-01-08T00:00:00"/>
    <d v="2026-01-09T00:00:00"/>
    <m/>
    <m/>
    <d v="1899-12-30T06:30:00"/>
    <d v="1899-12-30T17:30:00"/>
    <n v="11"/>
    <x v="0"/>
    <m/>
  </r>
  <r>
    <s v="Bay 4&amp;5 - _x000a_Pumps"/>
    <x v="32"/>
    <s v="Bharathesha"/>
    <x v="0"/>
    <s v="CP150-184"/>
    <s v="Engine assembling"/>
    <d v="2026-01-07T00:00:00"/>
    <d v="2026-01-09T00:00:00"/>
    <m/>
    <m/>
    <d v="1899-12-30T06:30:00"/>
    <d v="1899-12-30T17:30:00"/>
    <n v="11"/>
    <x v="0"/>
    <m/>
  </r>
  <r>
    <s v="Bay 4&amp;5 - _x000a_Pumps"/>
    <x v="32"/>
    <s v="Shaji"/>
    <x v="1"/>
    <m/>
    <m/>
    <m/>
    <m/>
    <m/>
    <m/>
    <d v="1899-12-30T10:30:00"/>
    <d v="1899-12-30T12:00:00"/>
    <n v="1.5"/>
    <x v="1"/>
    <m/>
  </r>
  <r>
    <s v="Bay 4&amp;5 - _x000a_Pumps"/>
    <x v="32"/>
    <s v="Ismail"/>
    <x v="0"/>
    <s v="PT175-531"/>
    <s v="pump repair &amp;water test"/>
    <d v="2026-01-04T00:00:00"/>
    <d v="2026-01-09T00:00:00"/>
    <m/>
    <m/>
    <d v="1899-12-30T06:30:00"/>
    <d v="1899-12-30T15:30:00"/>
    <n v="9.0000000000000018"/>
    <x v="0"/>
    <m/>
  </r>
  <r>
    <s v="Bay 4&amp;5 - _x000a_Pumps"/>
    <x v="32"/>
    <s v="Shaji"/>
    <x v="1"/>
    <m/>
    <m/>
    <m/>
    <m/>
    <m/>
    <m/>
    <d v="1899-12-30T14:00:00"/>
    <d v="1899-12-30T16:00:00"/>
    <n v="1.9999999999999982"/>
    <x v="1"/>
    <m/>
  </r>
  <r>
    <s v="Bay 4&amp;5 - _x000a_Pumps"/>
    <x v="32"/>
    <s v="Ismail"/>
    <x v="0"/>
    <s v="PT175-541"/>
    <s v="Pump repair &amp; engine testing"/>
    <d v="2026-01-09T00:00:00"/>
    <d v="2026-01-09T00:00:00"/>
    <m/>
    <m/>
    <d v="1899-12-30T15:30:00"/>
    <d v="1899-12-30T17:30:00"/>
    <n v="1.9999999999999982"/>
    <x v="0"/>
    <m/>
  </r>
  <r>
    <s v="Electrical"/>
    <x v="33"/>
    <s v="Fahad"/>
    <x v="3"/>
    <s v="SPB-022"/>
    <s v="Repairing &amp; testing"/>
    <d v="2026-01-09T00:00:00"/>
    <d v="2026-01-10T00:00:00"/>
    <m/>
    <m/>
    <d v="1899-12-30T06:30:00"/>
    <d v="1899-12-30T15:30:00"/>
    <n v="9.0000000000000018"/>
    <x v="2"/>
    <m/>
  </r>
  <r>
    <s v="Electrical"/>
    <x v="33"/>
    <s v="Lijo"/>
    <x v="3"/>
    <s v="SPB2.2-034"/>
    <s v="Repairing &amp; testing"/>
    <d v="2026-01-08T00:00:00"/>
    <d v="2026-01-10T00:00:00"/>
    <m/>
    <m/>
    <d v="1899-12-30T08:00:00"/>
    <d v="1899-12-30T17:00:00"/>
    <n v="9.0000000000000018"/>
    <x v="2"/>
    <m/>
  </r>
  <r>
    <s v="Electrical"/>
    <x v="33"/>
    <s v="Faisal"/>
    <x v="3"/>
    <s v="SPB7.5-025"/>
    <s v="Modification &amp; adding ELECB &amp; safety glass"/>
    <d v="2026-01-08T00:00:00"/>
    <d v="2026-01-10T00:00:00"/>
    <m/>
    <m/>
    <d v="1899-12-30T06:30:00"/>
    <d v="1899-12-30T15:30:00"/>
    <n v="9.0000000000000018"/>
    <x v="2"/>
    <m/>
  </r>
  <r>
    <s v="Electrical"/>
    <x v="33"/>
    <s v="Cherith"/>
    <x v="2"/>
    <s v="GEN150-013"/>
    <s v="inspection &amp; assemble"/>
    <d v="2026-01-09T00:00:00"/>
    <d v="2026-01-10T00:00:00"/>
    <d v="2026-01-10T00:00:00"/>
    <m/>
    <d v="1899-12-30T06:30:00"/>
    <d v="1899-12-30T12:00:00"/>
    <n v="5.5"/>
    <x v="0"/>
    <m/>
  </r>
  <r>
    <s v="Electrical"/>
    <x v="33"/>
    <s v="Aman"/>
    <x v="1"/>
    <m/>
    <m/>
    <m/>
    <m/>
    <m/>
    <m/>
    <d v="1899-12-30T06:30:00"/>
    <d v="1899-12-30T12:00:00"/>
    <n v="5.5"/>
    <x v="1"/>
    <m/>
  </r>
  <r>
    <s v="Electrical"/>
    <x v="33"/>
    <s v="Gulam"/>
    <x v="4"/>
    <s v="SM530-286"/>
    <s v="Repair &amp; assemble"/>
    <d v="2026-01-10T00:00:00"/>
    <d v="2026-01-10T00:00:00"/>
    <m/>
    <m/>
    <d v="1899-12-30T06:30:00"/>
    <d v="1899-12-30T15:30:00"/>
    <n v="9.0000000000000018"/>
    <x v="2"/>
    <m/>
  </r>
  <r>
    <s v="Electrical"/>
    <x v="33"/>
    <s v="Ghiyan"/>
    <x v="2"/>
    <s v="GEN60-041"/>
    <s v="Inspection &amp; assembling"/>
    <d v="2026-01-09T00:00:00"/>
    <d v="2026-01-10T00:00:00"/>
    <d v="2026-01-10T00:00:00"/>
    <m/>
    <d v="1899-12-30T06:30:00"/>
    <d v="1899-12-30T12:00:00"/>
    <n v="5.5"/>
    <x v="0"/>
    <m/>
  </r>
  <r>
    <s v="Electrical"/>
    <x v="33"/>
    <s v="Donald"/>
    <x v="4"/>
    <s v="SM1002-146"/>
    <s v="Repairing &amp; assemble"/>
    <d v="2026-01-09T00:00:00"/>
    <d v="2026-01-10T00:00:00"/>
    <m/>
    <m/>
    <d v="1899-12-30T08:30:00"/>
    <d v="1899-12-30T17:30:00"/>
    <n v="8.9999999999999982"/>
    <x v="2"/>
    <m/>
  </r>
  <r>
    <s v="Electrical"/>
    <x v="33"/>
    <s v="Suhaib"/>
    <x v="5"/>
    <s v="Old B:H pump"/>
    <s v="8nos B:H pumps water testing"/>
    <d v="2026-01-10T00:00:00"/>
    <d v="2026-01-10T00:00:00"/>
    <d v="2026-01-10T00:00:00"/>
    <m/>
    <d v="1899-12-30T08:30:00"/>
    <d v="1899-12-30T17:30:00"/>
    <n v="8.9999999999999982"/>
    <x v="0"/>
    <m/>
  </r>
  <r>
    <s v="Electrical"/>
    <x v="33"/>
    <s v="Afsar"/>
    <x v="1"/>
    <m/>
    <m/>
    <m/>
    <m/>
    <m/>
    <m/>
    <d v="1899-12-30T08:30:00"/>
    <d v="1899-12-30T17:30:00"/>
    <n v="8.9999999999999982"/>
    <x v="1"/>
    <m/>
  </r>
  <r>
    <s v="Electrical"/>
    <x v="33"/>
    <s v="Saqib"/>
    <x v="4"/>
    <s v="SM530-334"/>
    <s v="Re-Winding"/>
    <d v="2026-01-09T00:00:00"/>
    <d v="2026-01-12T00:00:00"/>
    <d v="2026-01-12T00:00:00"/>
    <m/>
    <d v="1899-12-30T06:30:00"/>
    <d v="1899-12-30T15:30:00"/>
    <n v="9.0000000000000018"/>
    <x v="0"/>
    <m/>
  </r>
  <r>
    <s v="Electrical"/>
    <x v="33"/>
    <s v="Venu"/>
    <x v="8"/>
    <s v="KTZ2-62-74"/>
    <s v="13nos new pumps inspection &amp; 16amp socket fixing"/>
    <d v="2026-01-10T00:00:00"/>
    <d v="2026-01-10T00:00:00"/>
    <m/>
    <m/>
    <d v="1899-12-30T06:30:00"/>
    <d v="1899-12-30T15:30:00"/>
    <n v="9.0000000000000018"/>
    <x v="2"/>
    <m/>
  </r>
  <r>
    <s v="Bay 6 -_x000a_Generator"/>
    <x v="33"/>
    <s v="Jagdev"/>
    <x v="2"/>
    <s v="GEN250-047"/>
    <s v="Engine assembling, cylinder head &amp; block cleaning"/>
    <d v="2026-01-06T00:00:00"/>
    <d v="2026-01-09T00:00:00"/>
    <m/>
    <m/>
    <d v="1899-12-30T06:30:00"/>
    <d v="1899-12-30T15:30:00"/>
    <n v="9.0000000000000018"/>
    <x v="2"/>
    <m/>
  </r>
  <r>
    <s v="Bay 6 -_x000a_Generator"/>
    <x v="33"/>
    <s v="Suraj"/>
    <x v="1"/>
    <m/>
    <m/>
    <m/>
    <m/>
    <m/>
    <m/>
    <d v="1899-12-30T07:30:00"/>
    <d v="1899-12-30T15:30:00"/>
    <n v="8"/>
    <x v="1"/>
    <m/>
  </r>
  <r>
    <s v="Bay 6 -_x000a_Generator"/>
    <x v="33"/>
    <s v="Suraj"/>
    <x v="10"/>
    <s v="BFT3-332"/>
    <s v="Flowfintity"/>
    <d v="2026-01-10T00:00:00"/>
    <d v="2026-01-10T00:00:00"/>
    <d v="2026-01-10T00:00:00"/>
    <m/>
    <d v="1899-12-30T06:30:00"/>
    <d v="1899-12-30T07:00:00"/>
    <n v="0.50000000000000089"/>
    <x v="0"/>
    <m/>
  </r>
  <r>
    <s v="Bay 6 -_x000a_Generator"/>
    <x v="33"/>
    <s v="Shakeel"/>
    <x v="2"/>
    <s v="GEN100-066"/>
    <s v="Water pump &amp; belt fixed, load test failed."/>
    <d v="2026-01-10T00:00:00"/>
    <d v="2026-01-10T00:00:00"/>
    <m/>
    <m/>
    <d v="1899-12-30T08:30:00"/>
    <d v="1899-12-30T13:00:00"/>
    <n v="4.4999999999999982"/>
    <x v="2"/>
    <m/>
  </r>
  <r>
    <s v="Bay 6 -_x000a_Generator"/>
    <x v="33"/>
    <s v="Anwar"/>
    <x v="1"/>
    <m/>
    <m/>
    <m/>
    <m/>
    <m/>
    <m/>
    <d v="1899-12-30T08:30:00"/>
    <d v="1899-12-30T13:00:00"/>
    <n v="4.4999999999999982"/>
    <x v="1"/>
    <m/>
  </r>
  <r>
    <s v="Bay 6 -_x000a_Generator"/>
    <x v="33"/>
    <s v="Shakeel"/>
    <x v="8"/>
    <s v="General work"/>
    <s v="General work"/>
    <d v="2026-01-10T00:00:00"/>
    <d v="2026-01-10T00:00:00"/>
    <m/>
    <m/>
    <d v="1899-12-30T14:00:00"/>
    <d v="1899-12-30T17:30:00"/>
    <n v="3.4999999999999982"/>
    <x v="2"/>
    <m/>
  </r>
  <r>
    <s v="Bay 4&amp;5 - _x000a_Pumps"/>
    <x v="33"/>
    <s v="Asif"/>
    <x v="6"/>
    <s v="KV550"/>
    <s v="Impeller removing, defuser installation."/>
    <d v="2026-01-09T00:00:00"/>
    <d v="2026-01-10T00:00:00"/>
    <d v="2026-01-10T00:00:00"/>
    <m/>
    <d v="1899-12-30T06:30:00"/>
    <d v="1899-12-30T15:30:00"/>
    <n v="9.0000000000000018"/>
    <x v="0"/>
    <m/>
  </r>
  <r>
    <s v="Bay 4&amp;5 - _x000a_Pumps"/>
    <x v="33"/>
    <s v="Vinod"/>
    <x v="1"/>
    <m/>
    <m/>
    <m/>
    <m/>
    <m/>
    <m/>
    <d v="1899-12-30T06:30:00"/>
    <d v="1899-12-30T15:30:00"/>
    <n v="9.0000000000000018"/>
    <x v="1"/>
    <m/>
  </r>
  <r>
    <s v="Bay 4&amp;5 - _x000a_Pumps"/>
    <x v="33"/>
    <s v="Jaheer"/>
    <x v="6"/>
    <s v="CD225M-03"/>
    <s v="Pump end overhauling"/>
    <d v="2026-01-09T00:00:00"/>
    <d v="2026-01-10T00:00:00"/>
    <d v="2026-01-10T00:00:00"/>
    <m/>
    <d v="1899-12-30T15:30:00"/>
    <d v="1899-12-30T17:30:00"/>
    <n v="1.9999999999999982"/>
    <x v="0"/>
    <m/>
  </r>
  <r>
    <s v="Bay 4&amp;5 - _x000a_Pumps"/>
    <x v="33"/>
    <s v="Bilal"/>
    <x v="1"/>
    <m/>
    <m/>
    <m/>
    <m/>
    <m/>
    <m/>
    <d v="1899-12-30T15:30:00"/>
    <d v="1899-12-30T17:30:00"/>
    <n v="1.9999999999999982"/>
    <x v="1"/>
    <m/>
  </r>
  <r>
    <s v="Bay 4&amp;5 - _x000a_Pumps"/>
    <x v="33"/>
    <s v="Suresh S"/>
    <x v="0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3"/>
    <s v="Mintu"/>
    <x v="0"/>
    <s v="PT175-541"/>
    <s v="Engine assemblingg ongoing"/>
    <d v="2026-01-08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06:30:00"/>
    <d v="1899-12-30T08:30:00"/>
    <n v="2.0000000000000009"/>
    <x v="1"/>
    <m/>
  </r>
  <r>
    <s v="Bay 4&amp;5 - _x000a_Pumps"/>
    <x v="33"/>
    <s v="Harish"/>
    <x v="0"/>
    <s v="CP150-614"/>
    <s v="Engine prepare for top overhaul"/>
    <d v="2026-01-09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08:30:00"/>
    <d v="1899-12-30T10:30:00"/>
    <n v="1.9999999999999996"/>
    <x v="1"/>
    <m/>
  </r>
  <r>
    <s v="Bay 4&amp;5 - _x000a_Pumps"/>
    <x v="33"/>
    <s v="Bharathesha"/>
    <x v="0"/>
    <s v="CP150-184"/>
    <s v="Engine assembling"/>
    <d v="2026-01-07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10:30:00"/>
    <d v="1899-12-30T12:00:00"/>
    <n v="1.5"/>
    <x v="1"/>
    <m/>
  </r>
  <r>
    <s v="Bay 4&amp;5 - _x000a_Pumps"/>
    <x v="33"/>
    <s v="Ismail"/>
    <x v="0"/>
    <s v="PT175-541"/>
    <s v="Engine fitting &amp; water test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3"/>
    <s v="Shaji"/>
    <x v="1"/>
    <m/>
    <m/>
    <m/>
    <m/>
    <m/>
    <m/>
    <d v="1899-12-30T14:00:00"/>
    <d v="1899-12-30T16:00:00"/>
    <n v="1.9999999999999982"/>
    <x v="1"/>
    <m/>
  </r>
  <r>
    <s v="Bay 4&amp;5 - _x000a_Pumps"/>
    <x v="33"/>
    <s v="James"/>
    <x v="0"/>
    <s v="CP150-856"/>
    <s v="Pump assembling"/>
    <d v="2026-01-10T00:00:00"/>
    <d v="2026-01-10T00:00:00"/>
    <d v="2026-01-10T00:00:00"/>
    <m/>
    <d v="1899-12-30T06:30:00"/>
    <d v="1899-12-30T17:30:00"/>
    <n v="11"/>
    <x v="0"/>
    <m/>
  </r>
  <r>
    <s v="Electrical"/>
    <x v="34"/>
    <s v="Fahad"/>
    <x v="3"/>
    <s v="SPB-022"/>
    <s v="Repairing &amp; testing"/>
    <d v="2026-01-09T00:00:00"/>
    <d v="2026-01-12T00:00:00"/>
    <d v="2026-01-12T00:00:00"/>
    <m/>
    <d v="1899-12-30T06:30:00"/>
    <d v="1899-12-30T15:30:00"/>
    <n v="9.0000000000000018"/>
    <x v="0"/>
    <m/>
  </r>
  <r>
    <s v="Electrical"/>
    <x v="34"/>
    <s v="Lijo"/>
    <x v="3"/>
    <s v="SPB2.2-034"/>
    <s v="Repairing &amp; testing"/>
    <d v="2026-01-08T00:00:00"/>
    <d v="2026-01-10T00:00:00"/>
    <m/>
    <m/>
    <d v="1899-12-30T08:00:00"/>
    <d v="1899-12-30T17:00:00"/>
    <n v="9.0000000000000018"/>
    <x v="2"/>
    <m/>
  </r>
  <r>
    <s v="Electrical"/>
    <x v="34"/>
    <s v="Faisal"/>
    <x v="3"/>
    <s v="SPB7.5-025"/>
    <s v="Modification &amp; adding ELECB &amp; safety glass fixing"/>
    <d v="2026-01-08T00:00:00"/>
    <d v="2026-01-10T00:00:00"/>
    <d v="2026-01-10T00:00:00"/>
    <m/>
    <d v="1899-12-30T06:30:00"/>
    <d v="1899-12-30T15:30:00"/>
    <n v="9.0000000000000018"/>
    <x v="0"/>
    <m/>
  </r>
  <r>
    <s v="Electrical"/>
    <x v="34"/>
    <s v="Cherith"/>
    <x v="2"/>
    <s v="GENJ150-058"/>
    <s v="inspection &amp; assemble"/>
    <d v="2026-01-12T00:00:00"/>
    <d v="2026-01-12T00:00:00"/>
    <m/>
    <m/>
    <d v="1899-12-30T06:30:00"/>
    <d v="1899-12-30T13:00:00"/>
    <n v="6.5"/>
    <x v="2"/>
    <m/>
  </r>
  <r>
    <s v="Electrical"/>
    <x v="34"/>
    <s v="Aman"/>
    <x v="1"/>
    <m/>
    <m/>
    <m/>
    <m/>
    <m/>
    <m/>
    <d v="1899-12-30T06:30:00"/>
    <d v="1899-12-30T13:00:00"/>
    <n v="6.5"/>
    <x v="1"/>
    <m/>
  </r>
  <r>
    <s v="Electrical"/>
    <x v="34"/>
    <s v="Gulam"/>
    <x v="4"/>
    <s v="SM530-286"/>
    <s v="Repair &amp; assemble"/>
    <d v="2026-01-10T00:00:00"/>
    <d v="2026-01-10T00:00:00"/>
    <d v="2026-01-10T00:00:00"/>
    <m/>
    <d v="1899-12-30T06:30:00"/>
    <d v="1899-12-30T15:30:00"/>
    <n v="9.0000000000000018"/>
    <x v="0"/>
    <m/>
  </r>
  <r>
    <s v="Electrical"/>
    <x v="34"/>
    <s v="Ghiyan"/>
    <x v="4"/>
    <s v="SMSP3"/>
    <s v="75kw pump rewinding &amp; connection"/>
    <d v="2026-01-12T00:00:00"/>
    <d v="2026-01-14T00:00:00"/>
    <m/>
    <m/>
    <d v="1899-12-30T06:30:00"/>
    <d v="1899-12-30T15:30:00"/>
    <n v="9.0000000000000018"/>
    <x v="2"/>
    <m/>
  </r>
  <r>
    <s v="Electrical"/>
    <x v="34"/>
    <s v="Donald"/>
    <x v="4"/>
    <s v="SM1002-146"/>
    <s v="Repairing &amp; assemble"/>
    <d v="2026-01-12T00:00:00"/>
    <d v="2026-01-12T00:00:00"/>
    <m/>
    <m/>
    <d v="1899-12-30T08:30:00"/>
    <d v="1899-12-30T17:30:00"/>
    <n v="8.9999999999999982"/>
    <x v="2"/>
    <m/>
  </r>
  <r>
    <s v="Electrical"/>
    <x v="34"/>
    <s v="Suhaib"/>
    <x v="5"/>
    <s v="Old B:H pump"/>
    <s v="15nos B:H pumps inspection &amp; repair"/>
    <d v="2026-01-12T00:00:00"/>
    <d v="2026-01-12T00:00:00"/>
    <d v="2026-01-12T00:00:00"/>
    <m/>
    <d v="1899-12-30T08:30:00"/>
    <d v="1899-12-30T17:30:00"/>
    <n v="8.9999999999999982"/>
    <x v="0"/>
    <m/>
  </r>
  <r>
    <s v="Electrical"/>
    <x v="34"/>
    <s v="Afsar"/>
    <x v="1"/>
    <m/>
    <m/>
    <m/>
    <m/>
    <m/>
    <m/>
    <d v="1899-12-30T08:30:00"/>
    <d v="1899-12-30T17:30:00"/>
    <n v="8.9999999999999982"/>
    <x v="1"/>
    <m/>
  </r>
  <r>
    <s v="Electrical"/>
    <x v="34"/>
    <s v="Saqib"/>
    <x v="4"/>
    <s v="SM530-429"/>
    <s v="Re-Winding"/>
    <d v="2026-01-12T00:00:00"/>
    <d v="2026-01-13T00:00:00"/>
    <m/>
    <m/>
    <d v="1899-12-30T06:30:00"/>
    <d v="1899-12-30T15:30:00"/>
    <n v="9.0000000000000018"/>
    <x v="2"/>
    <m/>
  </r>
  <r>
    <s v="Electrical"/>
    <x v="34"/>
    <s v="Venu"/>
    <x v="4"/>
    <s v="SM530-334"/>
    <s v="Repair &amp; assemble"/>
    <d v="2026-01-12T00:00:00"/>
    <d v="2026-01-12T00:00:00"/>
    <m/>
    <m/>
    <d v="1899-12-30T06:30:00"/>
    <d v="1899-12-30T15:30:00"/>
    <n v="9.0000000000000018"/>
    <x v="2"/>
    <m/>
  </r>
  <r>
    <s v="Bay 6 -_x000a_Generator"/>
    <x v="34"/>
    <s v="Jagdev"/>
    <x v="2"/>
    <s v="GEN250-047"/>
    <s v="Engine assembling onging"/>
    <d v="2026-01-06T00:00:00"/>
    <d v="2026-01-12T00:00:00"/>
    <m/>
    <m/>
    <d v="1899-12-30T06:30:00"/>
    <d v="1899-12-30T15:30:00"/>
    <n v="9.0000000000000018"/>
    <x v="2"/>
    <m/>
  </r>
  <r>
    <s v="Bay 6 -_x000a_Generator"/>
    <x v="34"/>
    <s v="Suraj"/>
    <x v="2"/>
    <s v="GEN100-13"/>
    <s v="Ac alternator fixing"/>
    <d v="2026-01-12T00:00:00"/>
    <d v="2026-01-12T00:00:00"/>
    <m/>
    <m/>
    <d v="1899-12-30T06:30:00"/>
    <d v="1899-12-30T09:30:00"/>
    <n v="3"/>
    <x v="2"/>
    <m/>
  </r>
  <r>
    <s v="Bay 6 -_x000a_Generator"/>
    <x v="34"/>
    <s v="Suraj"/>
    <x v="10"/>
    <s v="BFT3-332"/>
    <s v="Flowfintity"/>
    <d v="2026-01-10T00:00:00"/>
    <d v="2026-01-10T00:00:00"/>
    <m/>
    <m/>
    <d v="1899-12-30T06:30:00"/>
    <d v="1899-12-30T07:00:00"/>
    <n v="0.50000000000000089"/>
    <x v="2"/>
    <m/>
  </r>
  <r>
    <s v="Bay 6 -_x000a_Generator"/>
    <x v="34"/>
    <s v="Shakeel"/>
    <x v="2"/>
    <s v="GEN100-013"/>
    <s v="Ac alternator final fitting."/>
    <d v="2026-01-12T00:00:00"/>
    <d v="2026-01-12T00:00:00"/>
    <d v="2026-01-12T00:00:00"/>
    <m/>
    <d v="1899-12-30T08:30:00"/>
    <d v="1899-12-30T13:00:00"/>
    <n v="4.4999999999999982"/>
    <x v="0"/>
    <m/>
  </r>
  <r>
    <s v="Bay 6 -_x000a_Generator"/>
    <x v="34"/>
    <s v="Anwar"/>
    <x v="1"/>
    <m/>
    <m/>
    <m/>
    <m/>
    <m/>
    <m/>
    <d v="1899-12-30T08:30:00"/>
    <d v="1899-12-30T13:00:00"/>
    <n v="4.4999999999999982"/>
    <x v="1"/>
    <m/>
  </r>
  <r>
    <s v="Bay 6 -_x000a_Generator"/>
    <x v="34"/>
    <s v="Shakeel"/>
    <x v="2"/>
    <s v="GEN60-041"/>
    <s v="Ac alternator fix, fuel tank cleaning."/>
    <d v="2026-01-12T00:00:00"/>
    <d v="2026-01-12T00:00:00"/>
    <d v="2026-01-12T00:00:00"/>
    <m/>
    <d v="1899-12-30T14:00:00"/>
    <d v="1899-12-30T17:30:00"/>
    <n v="3.4999999999999982"/>
    <x v="0"/>
    <m/>
  </r>
  <r>
    <s v="Bay 6 -_x000a_Generator"/>
    <x v="34"/>
    <s v="Anwar"/>
    <x v="1"/>
    <m/>
    <m/>
    <m/>
    <m/>
    <m/>
    <m/>
    <d v="1899-12-30T14:00:00"/>
    <d v="1899-12-30T17:30:00"/>
    <n v="3.4999999999999982"/>
    <x v="1"/>
    <m/>
  </r>
  <r>
    <s v="Bay 4&amp;5 - _x000a_Pumps"/>
    <x v="34"/>
    <s v="Asif"/>
    <x v="6"/>
    <s v="CD300M-029"/>
    <s v="Coupling fixing, vaccum testing"/>
    <d v="2026-01-12T00:00:00"/>
    <d v="2026-01-12T00:00:00"/>
    <d v="2026-01-12T00:00:00"/>
    <m/>
    <d v="1899-12-30T06:30:00"/>
    <d v="1899-12-30T09:00:00"/>
    <n v="2.5000000000000004"/>
    <x v="0"/>
    <m/>
  </r>
  <r>
    <s v="Bay 4&amp;5 - _x000a_Pumps"/>
    <x v="34"/>
    <s v="Vinod"/>
    <x v="1"/>
    <m/>
    <m/>
    <m/>
    <m/>
    <m/>
    <m/>
    <d v="1899-12-30T06:30:00"/>
    <d v="1899-12-30T09:00:00"/>
    <n v="2.5000000000000004"/>
    <x v="1"/>
    <m/>
  </r>
  <r>
    <s v="Bay 4&amp;5 - _x000a_Pumps"/>
    <x v="34"/>
    <s v="Asif"/>
    <x v="6"/>
    <s v="CP108-001"/>
    <s v="Coupling fan replacement, vaccum testing"/>
    <d v="2026-01-12T00:00:00"/>
    <d v="2026-01-12T00:00:00"/>
    <d v="2026-01-12T00:00:00"/>
    <m/>
    <d v="1899-12-30T09:00:00"/>
    <d v="1899-12-30T13:00:00"/>
    <n v="3.9999999999999991"/>
    <x v="0"/>
    <m/>
  </r>
  <r>
    <s v="Bay 4&amp;5 - _x000a_Pumps"/>
    <x v="34"/>
    <s v="Vinod"/>
    <x v="1"/>
    <m/>
    <m/>
    <m/>
    <m/>
    <m/>
    <m/>
    <d v="1899-12-30T09:00:00"/>
    <d v="1899-12-30T13:00:00"/>
    <n v="3.9999999999999991"/>
    <x v="1"/>
    <m/>
  </r>
  <r>
    <s v="Bay 4&amp;5 - _x000a_Pumps"/>
    <x v="34"/>
    <s v="Jaheer"/>
    <x v="6"/>
    <s v="CD225M-03"/>
    <s v="Pump end overhauling"/>
    <d v="2026-01-09T00:00:00"/>
    <d v="2026-01-15T00:00:00"/>
    <d v="2026-01-15T00:00:00"/>
    <m/>
    <d v="1899-12-30T08:30:00"/>
    <d v="1899-12-30T17:30:00"/>
    <n v="8.9999999999999982"/>
    <x v="0"/>
    <m/>
  </r>
  <r>
    <s v="Bay 4&amp;5 - _x000a_Pumps"/>
    <x v="34"/>
    <s v="Bilal"/>
    <x v="1"/>
    <m/>
    <m/>
    <m/>
    <m/>
    <m/>
    <m/>
    <d v="1899-12-30T08:30:00"/>
    <d v="1899-12-30T17:30:00"/>
    <n v="8.9999999999999982"/>
    <x v="1"/>
    <m/>
  </r>
  <r>
    <s v="Bay 4&amp;5 - _x000a_Pumps"/>
    <x v="34"/>
    <s v="Suresh S"/>
    <x v="0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x v="0"/>
    <m/>
  </r>
  <r>
    <s v="Bay 4&amp;5 - _x000a_Pumps"/>
    <x v="34"/>
    <s v="Mintu"/>
    <x v="0"/>
    <s v="PT175-541"/>
    <s v="Engine assemblingg ongoing"/>
    <d v="2026-01-08T00:00:00"/>
    <d v="2026-01-10T00:00:00"/>
    <d v="2026-01-10T00:00:00"/>
    <m/>
    <d v="1899-12-30T06:30:00"/>
    <d v="1899-12-30T17:30:00"/>
    <n v="11"/>
    <x v="0"/>
    <m/>
  </r>
  <r>
    <s v="Bay 4&amp;5 - _x000a_Pumps"/>
    <x v="34"/>
    <s v="Shaji"/>
    <x v="1"/>
    <m/>
    <m/>
    <m/>
    <m/>
    <m/>
    <m/>
    <d v="1899-12-30T06:30:00"/>
    <d v="1899-12-30T08:30:00"/>
    <n v="2.0000000000000009"/>
    <x v="1"/>
    <m/>
  </r>
  <r>
    <s v="Bay 4&amp;5 - _x000a_Pumps"/>
    <x v="34"/>
    <s v="Harish"/>
    <x v="0"/>
    <s v="CP150-614"/>
    <s v="Engine prepare for top overhaul"/>
    <d v="2026-01-09T00:00:00"/>
    <d v="2026-01-10T00:00:00"/>
    <d v="2026-01-10T00:00:00"/>
    <m/>
    <d v="1899-12-30T06:30:00"/>
    <d v="1899-12-30T17:30:00"/>
    <n v="11"/>
    <x v="0"/>
    <m/>
  </r>
  <r>
    <s v="Bay 4&amp;5 - _x000a_Pumps"/>
    <x v="34"/>
    <s v="Shaji"/>
    <x v="1"/>
    <m/>
    <m/>
    <m/>
    <m/>
    <m/>
    <m/>
    <d v="1899-12-30T08:30:00"/>
    <d v="1899-12-30T10:30:00"/>
    <n v="1.9999999999999996"/>
    <x v="1"/>
    <m/>
  </r>
  <r>
    <s v="Bay 4&amp;5 - _x000a_Pumps"/>
    <x v="34"/>
    <s v="Bharathesha"/>
    <x v="0"/>
    <s v="CP150-184"/>
    <s v="Engine assembling"/>
    <d v="2026-01-07T00:00:00"/>
    <d v="2026-01-10T00:00:00"/>
    <m/>
    <m/>
    <d v="1899-12-30T06:30:00"/>
    <d v="1899-12-30T17:30:00"/>
    <n v="11"/>
    <x v="2"/>
    <m/>
  </r>
  <r>
    <s v="Bay 4&amp;5 - _x000a_Pumps"/>
    <x v="34"/>
    <s v="Shaji"/>
    <x v="1"/>
    <m/>
    <m/>
    <m/>
    <m/>
    <m/>
    <m/>
    <d v="1899-12-30T10:30:00"/>
    <d v="1899-12-30T12:00:00"/>
    <n v="1.5"/>
    <x v="1"/>
    <m/>
  </r>
  <r>
    <s v="Bay 4&amp;5 - _x000a_Pumps"/>
    <x v="34"/>
    <s v="Ismail"/>
    <x v="0"/>
    <s v="PT175-531"/>
    <s v="Engine fitting &amp; water test"/>
    <d v="2026-01-12T00:00:00"/>
    <d v="2026-01-12T00:00:00"/>
    <m/>
    <m/>
    <d v="1899-12-30T06:30:00"/>
    <d v="1899-12-30T10:00:00"/>
    <n v="3.5000000000000009"/>
    <x v="2"/>
    <m/>
  </r>
  <r>
    <s v="Bay 4&amp;5 - _x000a_Pumps"/>
    <x v="34"/>
    <s v="Shaji"/>
    <x v="1"/>
    <m/>
    <m/>
    <m/>
    <m/>
    <m/>
    <m/>
    <d v="1899-12-30T14:00:00"/>
    <d v="1899-12-30T16:00:00"/>
    <n v="1.9999999999999982"/>
    <x v="1"/>
    <m/>
  </r>
  <r>
    <s v="Bay 4&amp;5 - _x000a_Pumps"/>
    <x v="34"/>
    <s v="James"/>
    <x v="0"/>
    <s v="CP150-856"/>
    <s v="Pump assembling"/>
    <d v="2026-01-10T00:00:00"/>
    <d v="2026-01-10T00:00:00"/>
    <d v="2026-01-10T00:00:00"/>
    <m/>
    <d v="1899-12-30T06:30:00"/>
    <d v="1899-12-30T17:30:00"/>
    <n v="11"/>
    <x v="0"/>
    <m/>
  </r>
  <r>
    <s v="Electrical"/>
    <x v="35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5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5"/>
    <s v="Sulaiman"/>
    <x v="3"/>
    <s v="General work"/>
    <s v="Making lock, holders, fleet tagginf &amp; stickers "/>
    <d v="2026-01-13T00:00:00"/>
    <d v="2026-01-13T00:00:00"/>
    <m/>
    <m/>
    <d v="1899-12-30T08:30:00"/>
    <d v="1899-12-30T17:30:00"/>
    <n v="8.9999999999999982"/>
    <x v="2"/>
    <m/>
  </r>
  <r>
    <s v="Electrical"/>
    <x v="35"/>
    <s v="Lijo"/>
    <x v="2"/>
    <s v="GEN250-047"/>
    <s v="inspection &amp; dismantle"/>
    <d v="2026-01-13T00:00:00"/>
    <d v="2026-01-13T00:00:00"/>
    <d v="2026-01-13T00:00:00"/>
    <m/>
    <d v="1899-12-30T08:30:00"/>
    <d v="1899-12-30T17:30:00"/>
    <n v="8.9999999999999982"/>
    <x v="0"/>
    <m/>
  </r>
  <r>
    <s v="Electrical"/>
    <x v="35"/>
    <s v="Aman"/>
    <x v="1"/>
    <m/>
    <m/>
    <m/>
    <m/>
    <m/>
    <m/>
    <d v="1899-12-30T08:30:00"/>
    <d v="1899-12-30T17:30:00"/>
    <n v="8.9999999999999982"/>
    <x v="1"/>
    <m/>
  </r>
  <r>
    <s v="Electrical"/>
    <x v="35"/>
    <s v="Saqib"/>
    <x v="4"/>
    <s v="SM530-429"/>
    <s v="Rewinding &amp; connection"/>
    <d v="2026-01-13T00:00:00"/>
    <d v="2026-01-13T00:00:00"/>
    <d v="2026-01-13T00:00:00"/>
    <m/>
    <d v="1899-12-30T06:30:00"/>
    <d v="1899-12-30T10:00:00"/>
    <n v="3.5000000000000009"/>
    <x v="0"/>
    <m/>
  </r>
  <r>
    <s v="Electrical"/>
    <x v="35"/>
    <s v="Cherith"/>
    <x v="4"/>
    <s v="SMSP-3"/>
    <s v="75kw pump rewinding &amp; connection"/>
    <d v="2026-01-13T00:00:00"/>
    <d v="2026-01-15T00:00:00"/>
    <m/>
    <m/>
    <d v="1899-12-30T06:30:00"/>
    <d v="1899-12-30T15:30:00"/>
    <n v="9.0000000000000018"/>
    <x v="2"/>
    <m/>
  </r>
  <r>
    <s v="Electrical"/>
    <x v="35"/>
    <s v="Ghiyan"/>
    <x v="1"/>
    <m/>
    <m/>
    <m/>
    <m/>
    <m/>
    <m/>
    <d v="1899-12-30T06:30:00"/>
    <d v="1899-12-30T15:30:00"/>
    <n v="9.0000000000000018"/>
    <x v="1"/>
    <m/>
  </r>
  <r>
    <s v="Electrical"/>
    <x v="35"/>
    <s v="Donald"/>
    <x v="4"/>
    <s v="SM1002-146"/>
    <s v="Cable gland &amp; water testing"/>
    <d v="2026-01-13T00:00:00"/>
    <d v="2026-01-13T00:00:00"/>
    <d v="2026-01-13T00:00:00"/>
    <m/>
    <d v="1899-12-30T08:30:00"/>
    <d v="1899-12-30T13:00:00"/>
    <n v="4.4999999999999982"/>
    <x v="0"/>
    <m/>
  </r>
  <r>
    <s v="Electrical"/>
    <x v="35"/>
    <s v="Gulam"/>
    <x v="1"/>
    <m/>
    <m/>
    <m/>
    <m/>
    <m/>
    <m/>
    <d v="1899-12-30T08:30:00"/>
    <d v="1899-12-30T13:00:00"/>
    <n v="4.4999999999999982"/>
    <x v="1"/>
    <m/>
  </r>
  <r>
    <s v="Electrical"/>
    <x v="35"/>
    <s v="Suhaib"/>
    <x v="5"/>
    <s v="Old B:H pump"/>
    <s v="15nos B:H pumps inspection &amp; repair"/>
    <d v="2026-01-13T00:00:00"/>
    <d v="2026-01-13T00:00:00"/>
    <d v="2026-01-13T00:00:00"/>
    <m/>
    <d v="1899-12-30T08:30:00"/>
    <d v="1899-12-30T17:30:00"/>
    <n v="8.9999999999999982"/>
    <x v="0"/>
    <m/>
  </r>
  <r>
    <s v="Electrical"/>
    <x v="35"/>
    <s v="Afsar"/>
    <x v="1"/>
    <m/>
    <m/>
    <m/>
    <m/>
    <m/>
    <m/>
    <d v="1899-12-30T08:30:00"/>
    <d v="1899-12-30T17:30:00"/>
    <n v="8.9999999999999982"/>
    <x v="1"/>
    <m/>
  </r>
  <r>
    <s v="Electrical"/>
    <x v="35"/>
    <s v="Venu"/>
    <x v="4"/>
    <s v="SM530-344"/>
    <s v="Repair &amp; assemble"/>
    <d v="2026-01-13T00:00:00"/>
    <d v="2026-01-13T00:00:00"/>
    <d v="2026-01-13T00:00:00"/>
    <m/>
    <d v="1899-12-30T06:30:00"/>
    <d v="1899-12-30T15:30:00"/>
    <n v="9.0000000000000018"/>
    <x v="0"/>
    <m/>
  </r>
  <r>
    <s v="Electrical"/>
    <x v="35"/>
    <s v="Saqib"/>
    <x v="4"/>
    <s v="SM530-480"/>
    <s v="Re-winding"/>
    <d v="2026-01-13T00:00:00"/>
    <d v="2026-01-13T00:00:00"/>
    <m/>
    <m/>
    <d v="1899-12-30T10:00:00"/>
    <d v="1899-12-30T15:30:00"/>
    <n v="5.5"/>
    <x v="2"/>
    <m/>
  </r>
  <r>
    <s v="Bay 6 -_x000a_Generator"/>
    <x v="35"/>
    <s v="Jagdev"/>
    <x v="2"/>
    <s v="GEN250-047"/>
    <s v="Engine assembling onging"/>
    <d v="2026-01-06T00:00:00"/>
    <d v="2026-01-13T00:00:00"/>
    <m/>
    <m/>
    <d v="1899-12-30T06:30:00"/>
    <d v="1899-12-30T15:30:00"/>
    <n v="9.0000000000000018"/>
    <x v="2"/>
    <m/>
  </r>
  <r>
    <s v="Bay 6 -_x000a_Generator"/>
    <x v="35"/>
    <s v="Suraj"/>
    <x v="1"/>
    <m/>
    <m/>
    <m/>
    <m/>
    <m/>
    <m/>
    <d v="1899-12-30T06:30:00"/>
    <d v="1899-12-30T09:30:00"/>
    <n v="3"/>
    <x v="1"/>
    <m/>
  </r>
  <r>
    <s v="Bay 6 -_x000a_Generator"/>
    <x v="35"/>
    <s v="Shakeel"/>
    <x v="2"/>
    <s v="GENJ150-058"/>
    <s v="Ac alternator fix"/>
    <d v="2026-01-13T00:00:00"/>
    <d v="2026-01-13T00:00:00"/>
    <d v="2026-01-13T00:00:00"/>
    <m/>
    <d v="1899-12-30T08:30:00"/>
    <d v="1899-12-30T12:30:00"/>
    <n v="4"/>
    <x v="0"/>
    <m/>
  </r>
  <r>
    <s v="Bay 6 -_x000a_Generator"/>
    <x v="35"/>
    <s v="Anwar"/>
    <x v="1"/>
    <m/>
    <m/>
    <m/>
    <m/>
    <m/>
    <m/>
    <d v="1899-12-30T08:30:00"/>
    <d v="1899-12-30T12:30:00"/>
    <n v="4"/>
    <x v="1"/>
    <m/>
  </r>
  <r>
    <s v="Bay 6 -_x000a_Generator"/>
    <x v="35"/>
    <s v="Shakeel"/>
    <x v="2"/>
    <s v="GENJ150-058"/>
    <s v="Electrical work &amp; load test"/>
    <d v="2026-01-13T00:00:00"/>
    <d v="2026-01-13T00:00:00"/>
    <d v="2026-01-13T00:00:00"/>
    <m/>
    <d v="1899-12-30T14:00:00"/>
    <d v="1899-12-30T17:30:00"/>
    <n v="3.4999999999999982"/>
    <x v="0"/>
    <m/>
  </r>
  <r>
    <s v="Bay 6 -_x000a_Generator"/>
    <x v="35"/>
    <s v="Anwar"/>
    <x v="1"/>
    <m/>
    <m/>
    <m/>
    <m/>
    <m/>
    <m/>
    <d v="1899-12-30T14:00:00"/>
    <d v="1899-12-30T17:30:00"/>
    <n v="3.4999999999999982"/>
    <x v="1"/>
    <m/>
  </r>
  <r>
    <s v="Bay 4&amp;5 - _x000a_Pumps"/>
    <x v="35"/>
    <s v="Asif"/>
    <x v="6"/>
    <s v="KV550"/>
    <s v="Pump end assembling"/>
    <d v="2026-01-13T00:00:00"/>
    <d v="2026-01-13T00:00:00"/>
    <d v="2026-01-13T00:00:00"/>
    <m/>
    <d v="1899-12-30T06:30:00"/>
    <d v="1899-12-30T11:00:00"/>
    <n v="4.5"/>
    <x v="0"/>
    <m/>
  </r>
  <r>
    <s v="Bay 4&amp;5 - _x000a_Pumps"/>
    <x v="35"/>
    <s v="Vinod"/>
    <x v="1"/>
    <m/>
    <m/>
    <m/>
    <m/>
    <m/>
    <m/>
    <d v="1899-12-30T06:30:00"/>
    <d v="1899-12-30T11:00:00"/>
    <n v="4.5"/>
    <x v="1"/>
    <m/>
  </r>
  <r>
    <s v="Bay 4&amp;5 - _x000a_Pumps"/>
    <x v="35"/>
    <s v="Jaheer"/>
    <x v="6"/>
    <s v="CD225M-03"/>
    <s v="Installation on test bay, water &amp; vaccum testing"/>
    <d v="2026-01-13T00:00:00"/>
    <d v="2026-01-15T00:00:00"/>
    <d v="2026-01-15T00:00:00"/>
    <m/>
    <d v="1899-12-30T08:30:00"/>
    <d v="1899-12-30T17:30:00"/>
    <n v="8.9999999999999982"/>
    <x v="0"/>
    <m/>
  </r>
  <r>
    <s v="Bay 4&amp;5 - _x000a_Pumps"/>
    <x v="35"/>
    <s v="Bilal"/>
    <x v="1"/>
    <m/>
    <m/>
    <m/>
    <m/>
    <m/>
    <m/>
    <d v="1899-12-30T08:30:00"/>
    <d v="1899-12-30T17:30:00"/>
    <n v="8.9999999999999982"/>
    <x v="1"/>
    <m/>
  </r>
  <r>
    <s v="Bay 4&amp;5 - _x000a_Pumps"/>
    <x v="35"/>
    <s v="Suresh S"/>
    <x v="0"/>
    <s v="JP223/CP150X2"/>
    <s v="Final fitting /Vaccum pump repair for MAF"/>
    <d v="2026-01-13T00:00:00"/>
    <d v="2026-01-13T00:00:00"/>
    <d v="2026-01-13T00:00:00"/>
    <m/>
    <d v="1899-12-30T06:30:00"/>
    <d v="1899-12-30T17:30:00"/>
    <n v="11"/>
    <x v="0"/>
    <m/>
  </r>
  <r>
    <s v="Bay 4&amp;5 - _x000a_Pumps"/>
    <x v="35"/>
    <s v="Mintu"/>
    <x v="0"/>
    <s v="PT175X11"/>
    <s v="Musambic pump hose repair &amp; final checkup"/>
    <d v="2026-01-13T00:00:00"/>
    <d v="2026-01-13T00:00:00"/>
    <d v="2026-01-13T00:00:00"/>
    <m/>
    <d v="1899-12-30T06:30:00"/>
    <d v="1899-12-30T17:30:00"/>
    <n v="11"/>
    <x v="0"/>
    <m/>
  </r>
  <r>
    <s v="Bay 4&amp;5 - _x000a_Pumps"/>
    <x v="35"/>
    <s v="Shaji"/>
    <x v="1"/>
    <m/>
    <m/>
    <m/>
    <m/>
    <m/>
    <m/>
    <d v="1899-12-30T06:30:00"/>
    <d v="1899-12-30T08:30:00"/>
    <n v="2.0000000000000009"/>
    <x v="1"/>
    <m/>
  </r>
  <r>
    <s v="Bay 4&amp;5 - _x000a_Pumps"/>
    <x v="35"/>
    <s v="Harish"/>
    <x v="0"/>
    <s v="CP150-614"/>
    <s v="Engine assembling"/>
    <d v="2026-01-09T00:00:00"/>
    <d v="2026-01-13T00:00:00"/>
    <m/>
    <m/>
    <d v="1899-12-30T06:30:00"/>
    <d v="1899-12-30T17:30:00"/>
    <n v="11"/>
    <x v="2"/>
    <m/>
  </r>
  <r>
    <s v="Bay 4&amp;5 - _x000a_Pumps"/>
    <x v="35"/>
    <s v="Shaji"/>
    <x v="1"/>
    <m/>
    <m/>
    <m/>
    <m/>
    <m/>
    <m/>
    <d v="1899-12-30T08:30:00"/>
    <d v="1899-12-30T10:30:00"/>
    <n v="1.9999999999999996"/>
    <x v="1"/>
    <m/>
  </r>
  <r>
    <s v="Bay 4&amp;5 - _x000a_Pumps"/>
    <x v="35"/>
    <s v="Bharathesha"/>
    <x v="0"/>
    <s v="CP150-184"/>
    <s v="Engine assembling"/>
    <d v="2026-01-09T00:00:00"/>
    <d v="2026-01-13T00:00:00"/>
    <m/>
    <m/>
    <d v="1899-12-30T06:30:00"/>
    <d v="1899-12-30T17:30:00"/>
    <n v="11"/>
    <x v="2"/>
    <m/>
  </r>
  <r>
    <s v="Bay 4&amp;5 - _x000a_Pumps"/>
    <x v="35"/>
    <s v="Shaji"/>
    <x v="1"/>
    <m/>
    <m/>
    <m/>
    <m/>
    <m/>
    <m/>
    <d v="1899-12-30T10:30:00"/>
    <d v="1899-12-30T12:00:00"/>
    <n v="1.5"/>
    <x v="1"/>
    <m/>
  </r>
  <r>
    <s v="Bay 4&amp;5 - _x000a_Pumps"/>
    <x v="35"/>
    <s v="Ismail"/>
    <x v="0"/>
    <s v="CP250"/>
    <s v="pump repair"/>
    <d v="2026-01-13T00:00:00"/>
    <d v="2026-01-13T00:00:00"/>
    <m/>
    <m/>
    <d v="1899-12-30T06:30:00"/>
    <d v="1899-12-30T10:00:00"/>
    <n v="3.5000000000000009"/>
    <x v="2"/>
    <m/>
  </r>
  <r>
    <s v="Bay 4&amp;5 - _x000a_Pumps"/>
    <x v="35"/>
    <s v="Shaji"/>
    <x v="1"/>
    <m/>
    <m/>
    <m/>
    <m/>
    <m/>
    <m/>
    <d v="1899-12-30T14:00:00"/>
    <d v="1899-12-30T16:00:00"/>
    <n v="1.9999999999999982"/>
    <x v="1"/>
    <m/>
  </r>
  <r>
    <s v="Bay 4&amp;5 - _x000a_Pumps"/>
    <x v="35"/>
    <s v="James"/>
    <x v="0"/>
    <s v="CP150-856"/>
    <s v="Pump repair, water test"/>
    <d v="2026-01-13T00:00:00"/>
    <d v="2026-01-13T00:00:00"/>
    <d v="2026-01-13T00:00:00"/>
    <m/>
    <d v="1899-12-30T06:30:00"/>
    <d v="1899-12-30T17:30:00"/>
    <n v="11"/>
    <x v="0"/>
    <m/>
  </r>
  <r>
    <s v="Electrical"/>
    <x v="36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6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6"/>
    <s v="Sulaiman"/>
    <x v="3"/>
    <s v="General work"/>
    <s v="General work, Making lock, holders, fleet tagginf &amp; stickers "/>
    <d v="2026-01-14T00:00:00"/>
    <d v="2026-01-14T00:00:00"/>
    <m/>
    <m/>
    <d v="1899-12-30T08:30:00"/>
    <d v="1899-12-30T17:30:00"/>
    <n v="8.9999999999999982"/>
    <x v="2"/>
    <m/>
  </r>
  <r>
    <s v="Electrical"/>
    <x v="36"/>
    <s v="Lijo"/>
    <x v="2"/>
    <s v="GEN250-047"/>
    <s v="Ac alternator all winding, washing, cleaning, overheating."/>
    <d v="2026-01-14T00:00:00"/>
    <d v="2026-01-14T00:00:00"/>
    <m/>
    <m/>
    <d v="1899-12-30T08:30:00"/>
    <d v="1899-12-30T12:00:00"/>
    <n v="3.4999999999999996"/>
    <x v="2"/>
    <m/>
  </r>
  <r>
    <s v="Electrical"/>
    <x v="36"/>
    <s v="Aman"/>
    <x v="1"/>
    <m/>
    <m/>
    <m/>
    <m/>
    <m/>
    <m/>
    <d v="1899-12-30T08:30:00"/>
    <d v="1899-12-30T12:00:00"/>
    <n v="3.4999999999999996"/>
    <x v="1"/>
    <m/>
  </r>
  <r>
    <s v="Electrical"/>
    <x v="36"/>
    <s v="Saqib"/>
    <x v="4"/>
    <s v="SM530-480"/>
    <s v="Rewinding &amp; lead connection, overheating, vernishing"/>
    <d v="2026-01-14T00:00:00"/>
    <d v="2026-01-14T00:00:00"/>
    <m/>
    <m/>
    <d v="1899-12-30T06:30:00"/>
    <d v="1899-12-30T11:00:00"/>
    <n v="4.5"/>
    <x v="2"/>
    <m/>
  </r>
  <r>
    <s v="Electrical"/>
    <x v="36"/>
    <s v="Gulam"/>
    <x v="4"/>
    <s v="SMSP3-018"/>
    <s v="75kw pump rewinding &amp; connection"/>
    <d v="2026-01-13T00:00:00"/>
    <d v="2026-01-15T00:00:00"/>
    <m/>
    <m/>
    <d v="1899-12-30T06:30:00"/>
    <d v="1899-12-30T15:30:00"/>
    <n v="9.0000000000000018"/>
    <x v="2"/>
    <m/>
  </r>
  <r>
    <s v="Electrical"/>
    <x v="36"/>
    <s v="Ghiyan"/>
    <x v="1"/>
    <m/>
    <m/>
    <m/>
    <m/>
    <m/>
    <m/>
    <d v="1899-12-30T06:30:00"/>
    <d v="1899-12-30T15:30:00"/>
    <n v="9.0000000000000018"/>
    <x v="1"/>
    <m/>
  </r>
  <r>
    <s v="Electrical"/>
    <x v="36"/>
    <s v="Donald"/>
    <x v="4"/>
    <s v="SM1002-146"/>
    <s v="Water testing"/>
    <d v="2026-01-14T00:00:00"/>
    <d v="2026-01-14T00:00:00"/>
    <m/>
    <m/>
    <d v="1899-12-30T08:30:00"/>
    <d v="1899-12-30T10:30:00"/>
    <n v="1.9999999999999996"/>
    <x v="2"/>
    <m/>
  </r>
  <r>
    <s v="Electrical"/>
    <x v="36"/>
    <s v="Venu"/>
    <x v="1"/>
    <m/>
    <m/>
    <m/>
    <m/>
    <m/>
    <m/>
    <d v="1899-12-30T08:30:00"/>
    <d v="1899-12-30T10:30:00"/>
    <n v="1.9999999999999996"/>
    <x v="1"/>
    <m/>
  </r>
  <r>
    <s v="Electrical"/>
    <x v="36"/>
    <s v="Suhaib"/>
    <x v="5"/>
    <s v="Old B:H pump"/>
    <s v="10nos 2.2/3.7/4kw B:H pumps inspection &amp; repair, water test."/>
    <d v="2026-01-14T00:00:00"/>
    <d v="2026-01-14T00:00:00"/>
    <d v="2026-01-14T00:00:00"/>
    <m/>
    <d v="1899-12-30T08:30:00"/>
    <d v="1899-12-30T17:30:00"/>
    <n v="8.9999999999999982"/>
    <x v="0"/>
    <m/>
  </r>
  <r>
    <s v="Electrical"/>
    <x v="36"/>
    <s v="Afsar"/>
    <x v="1"/>
    <m/>
    <m/>
    <m/>
    <m/>
    <m/>
    <m/>
    <d v="1899-12-30T08:30:00"/>
    <d v="1899-12-30T17:30:00"/>
    <n v="8.9999999999999982"/>
    <x v="1"/>
    <m/>
  </r>
  <r>
    <s v="Electrical"/>
    <x v="36"/>
    <s v="Lijo"/>
    <x v="2"/>
    <s v="GEN150-058"/>
    <s v="Power cable &amp; breaker cleaning &amp; service."/>
    <d v="2026-01-14T00:00:00"/>
    <d v="2026-01-14T00:00:00"/>
    <d v="2026-01-14T00:00:00"/>
    <m/>
    <d v="1899-12-30T09:30:00"/>
    <d v="1899-12-30T10:30:00"/>
    <n v="1.0000000000000004"/>
    <x v="0"/>
    <m/>
  </r>
  <r>
    <s v="Electrical"/>
    <x v="36"/>
    <s v="Venu"/>
    <x v="4"/>
    <s v="SM530-624"/>
    <s v="Inspection &amp; repair"/>
    <d v="2026-01-14T00:00:00"/>
    <d v="2026-01-14T00:00:00"/>
    <d v="2026-01-14T00:00:00"/>
    <m/>
    <d v="1899-12-30T10:30:00"/>
    <d v="1899-12-30T15:30:00"/>
    <n v="5.0000000000000009"/>
    <x v="0"/>
    <m/>
  </r>
  <r>
    <s v="Electrical"/>
    <x v="36"/>
    <s v="Donald"/>
    <x v="4"/>
    <s v="SM702-021"/>
    <s v="Inspection &amp; dismantle repair."/>
    <d v="2026-01-14T00:00:00"/>
    <d v="2026-01-14T00:00:00"/>
    <d v="2026-01-14T00:00:00"/>
    <m/>
    <d v="1899-12-30T10:30:00"/>
    <d v="1899-12-30T17:30:00"/>
    <n v="6.9999999999999991"/>
    <x v="0"/>
    <m/>
  </r>
  <r>
    <s v="Bay 6 -_x000a_Generator"/>
    <x v="36"/>
    <s v="Jagdev"/>
    <x v="2"/>
    <s v="GEN250-047"/>
    <s v="Engine assembling onging"/>
    <d v="2026-01-06T00:00:00"/>
    <d v="2026-01-14T00:00:00"/>
    <m/>
    <m/>
    <d v="1899-12-30T06:30:00"/>
    <d v="1899-12-30T15:30:00"/>
    <n v="9.0000000000000018"/>
    <x v="3"/>
    <m/>
  </r>
  <r>
    <s v="Bay 6 -_x000a_Generator"/>
    <x v="36"/>
    <s v="Suraj"/>
    <x v="1"/>
    <m/>
    <m/>
    <m/>
    <m/>
    <m/>
    <m/>
    <d v="1899-12-30T06:30:00"/>
    <d v="1899-12-30T15:30:00"/>
    <n v="9.0000000000000018"/>
    <x v="1"/>
    <m/>
  </r>
  <r>
    <s v="Bay 6 -_x000a_Generator"/>
    <x v="36"/>
    <s v="Anwar"/>
    <x v="2"/>
    <s v="GENG100-009"/>
    <s v="Fuel pump &amp; injector fitting/ waiting for timing cover gasket"/>
    <d v="2026-01-14T00:00:00"/>
    <d v="2026-01-14T00:00:00"/>
    <m/>
    <m/>
    <d v="1899-12-30T08:30:00"/>
    <d v="1899-12-30T12:30:00"/>
    <n v="4"/>
    <x v="2"/>
    <m/>
  </r>
  <r>
    <s v="Bay 4&amp;5 - _x000a_Pumps"/>
    <x v="36"/>
    <s v="Jaheer"/>
    <x v="6"/>
    <s v="CD225M-03"/>
    <s v="Installation on test bay, water &amp; vaccum testing."/>
    <d v="2026-01-14T00:00:00"/>
    <d v="2026-01-14T00:00:00"/>
    <d v="2026-01-14T00:00:00"/>
    <m/>
    <d v="1899-12-30T08:30:00"/>
    <d v="1899-12-30T17:30:00"/>
    <n v="8.9999999999999982"/>
    <x v="0"/>
    <m/>
  </r>
  <r>
    <s v="Bay 4&amp;5 - _x000a_Pumps"/>
    <x v="36"/>
    <s v="Bilal"/>
    <x v="1"/>
    <m/>
    <m/>
    <m/>
    <m/>
    <m/>
    <m/>
    <d v="1899-12-30T08:30:00"/>
    <d v="1899-12-30T17:30:00"/>
    <n v="8.9999999999999982"/>
    <x v="1"/>
    <m/>
  </r>
  <r>
    <s v="Bay 4&amp;5 - _x000a_Pumps"/>
    <x v="36"/>
    <s v="Asif"/>
    <x v="6"/>
    <s v="CP108-004"/>
    <s v="Engine top end dismantling"/>
    <d v="2026-01-14T00:00:00"/>
    <d v="2026-01-14T00:00:00"/>
    <d v="2026-01-14T00:00:00"/>
    <m/>
    <d v="1899-12-30T06:30:00"/>
    <d v="1899-12-30T15:30:00"/>
    <n v="9.0000000000000018"/>
    <x v="0"/>
    <m/>
  </r>
  <r>
    <s v="Bay 4&amp;5 - _x000a_Pumps"/>
    <x v="36"/>
    <s v="Vinod"/>
    <x v="1"/>
    <m/>
    <m/>
    <m/>
    <m/>
    <m/>
    <m/>
    <d v="1899-12-30T06:30:00"/>
    <d v="1899-12-30T15:30:00"/>
    <n v="9.0000000000000018"/>
    <x v="1"/>
    <m/>
  </r>
  <r>
    <s v="Bay 4&amp;5 - _x000a_Pumps"/>
    <x v="36"/>
    <s v="Suresh S"/>
    <x v="0"/>
    <s v="PT175-541/CP150856"/>
    <s v="Final fitting "/>
    <d v="2026-01-14T00:00:00"/>
    <d v="2026-01-14T00:00:00"/>
    <d v="2026-01-14T00:00:00"/>
    <m/>
    <d v="1899-12-30T06:30:00"/>
    <d v="1899-12-30T12:30:00"/>
    <n v="6.0000000000000018"/>
    <x v="0"/>
    <m/>
  </r>
  <r>
    <s v="Bay 4&amp;5 - _x000a_Pumps"/>
    <x v="36"/>
    <s v="Mintu"/>
    <x v="0"/>
    <s v="PT175X11"/>
    <s v="4Xclutch assembly"/>
    <d v="2026-01-14T00:00:00"/>
    <d v="2026-01-14T00:00:00"/>
    <d v="2026-01-14T00:00:00"/>
    <m/>
    <d v="1899-12-30T06:30:00"/>
    <d v="1899-12-30T17:30:00"/>
    <n v="11"/>
    <x v="0"/>
    <m/>
  </r>
  <r>
    <s v="Bay 4&amp;5 - _x000a_Pumps"/>
    <x v="36"/>
    <s v="Shaji"/>
    <x v="1"/>
    <m/>
    <m/>
    <m/>
    <m/>
    <m/>
    <m/>
    <d v="1899-12-30T13:00:00"/>
    <d v="1899-12-30T17:30:00"/>
    <n v="4.5"/>
    <x v="1"/>
    <m/>
  </r>
  <r>
    <s v="Bay 4&amp;5 - _x000a_Pumps"/>
    <x v="36"/>
    <s v="Harish"/>
    <x v="0"/>
    <s v="CP150-614"/>
    <s v="Engine assembling ongoing"/>
    <d v="2026-01-09T00:00:00"/>
    <d v="2026-01-14T00:00:00"/>
    <d v="2026-01-14T00:00:00"/>
    <m/>
    <d v="1899-12-30T06:30:00"/>
    <d v="1899-12-30T17:30:00"/>
    <n v="11"/>
    <x v="0"/>
    <m/>
  </r>
  <r>
    <s v="Bay 4&amp;5 - _x000a_Pumps"/>
    <x v="36"/>
    <s v="Shaji"/>
    <x v="1"/>
    <m/>
    <m/>
    <m/>
    <m/>
    <m/>
    <m/>
    <d v="1899-12-30T08:30:00"/>
    <d v="1899-12-30T10:30:00"/>
    <n v="1.9999999999999996"/>
    <x v="1"/>
    <m/>
  </r>
  <r>
    <s v="Bay 4&amp;5 - _x000a_Pumps"/>
    <x v="36"/>
    <s v="Bharathesha"/>
    <x v="0"/>
    <s v="CP150-184"/>
    <s v="Engine assembling ongoing"/>
    <d v="2026-01-09T00:00:00"/>
    <d v="2026-01-14T00:00:00"/>
    <m/>
    <m/>
    <d v="1899-12-30T06:30:00"/>
    <d v="1899-12-30T17:30:00"/>
    <n v="11"/>
    <x v="2"/>
    <m/>
  </r>
  <r>
    <s v="Bay 4&amp;5 - _x000a_Pumps"/>
    <x v="36"/>
    <s v="Shaji"/>
    <x v="1"/>
    <m/>
    <m/>
    <m/>
    <m/>
    <m/>
    <m/>
    <d v="1899-12-30T10:30:00"/>
    <d v="1899-12-30T12:00:00"/>
    <n v="1.5"/>
    <x v="1"/>
    <m/>
  </r>
  <r>
    <s v="Bay 4&amp;5 - _x000a_Pumps"/>
    <x v="36"/>
    <s v="Ismail"/>
    <x v="0"/>
    <s v="CP250-001/007"/>
    <s v="pump repair &amp; water test/ pump repair"/>
    <d v="2026-01-14T00:00:00"/>
    <d v="2026-01-14T00:00:00"/>
    <m/>
    <m/>
    <d v="1899-12-30T06:30:00"/>
    <d v="1899-12-30T17:30:00"/>
    <n v="11"/>
    <x v="2"/>
    <m/>
  </r>
  <r>
    <s v="Bay 4&amp;5 - _x000a_Pumps"/>
    <x v="36"/>
    <s v="Shaji"/>
    <x v="1"/>
    <m/>
    <m/>
    <m/>
    <m/>
    <m/>
    <m/>
    <d v="1899-12-30T14:00:00"/>
    <d v="1899-12-30T16:00:00"/>
    <n v="1.9999999999999982"/>
    <x v="1"/>
    <m/>
  </r>
  <r>
    <s v="Bay 4&amp;5 - _x000a_Pumps"/>
    <x v="36"/>
    <s v="James"/>
    <x v="0"/>
    <s v="CP150-265"/>
    <s v="Pump repair, water test"/>
    <d v="2026-01-14T00:00:00"/>
    <d v="2026-01-14T00:00:00"/>
    <m/>
    <m/>
    <d v="1899-12-30T06:30:00"/>
    <d v="1899-12-30T17:30:00"/>
    <n v="11"/>
    <x v="2"/>
    <m/>
  </r>
  <r>
    <s v="Electrical"/>
    <x v="37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7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7"/>
    <s v="Sulaiman"/>
    <x v="3"/>
    <s v="SCP226/238"/>
    <s v="General work, Making lock, holders, fleet tagginf &amp; stickers "/>
    <d v="2026-01-15T00:00:00"/>
    <d v="2026-01-15T00:00:00"/>
    <d v="2026-01-15T00:00:00"/>
    <m/>
    <d v="1899-12-30T08:30:00"/>
    <d v="1899-12-30T17:30:00"/>
    <n v="8.9999999999999982"/>
    <x v="0"/>
    <m/>
  </r>
  <r>
    <s v="Electrical"/>
    <x v="37"/>
    <s v="Lijo"/>
    <x v="4"/>
    <s v="SM1002-060/22"/>
    <s v="Inspection &amp; reapir"/>
    <d v="2026-01-15T00:00:00"/>
    <d v="2026-01-15T00:00:00"/>
    <m/>
    <m/>
    <d v="1899-12-30T08:30:00"/>
    <d v="1899-12-30T17:30:00"/>
    <n v="8.9999999999999982"/>
    <x v="2"/>
    <m/>
  </r>
  <r>
    <s v="Electrical"/>
    <x v="37"/>
    <s v="Aman"/>
    <x v="1"/>
    <m/>
    <m/>
    <m/>
    <m/>
    <m/>
    <m/>
    <d v="1899-12-30T08:30:00"/>
    <d v="1899-12-30T17:30:00"/>
    <n v="8.9999999999999982"/>
    <x v="1"/>
    <m/>
  </r>
  <r>
    <s v="Electrical"/>
    <x v="37"/>
    <s v="Saqib"/>
    <x v="4"/>
    <s v="SM702-021"/>
    <s v="Copper winding removing."/>
    <d v="2026-01-15T00:00:00"/>
    <d v="2026-01-15T00:00:00"/>
    <m/>
    <m/>
    <d v="1899-12-30T06:30:00"/>
    <d v="1899-12-30T15:30:00"/>
    <n v="9.0000000000000018"/>
    <x v="2"/>
    <m/>
  </r>
  <r>
    <s v="Electrical"/>
    <x v="37"/>
    <s v="Donald"/>
    <x v="4"/>
    <s v="SM1002-060/275"/>
    <s v="Inspection &amp; reapir"/>
    <d v="2026-01-15T00:00:00"/>
    <d v="2026-01-15T00:00:00"/>
    <m/>
    <m/>
    <d v="1899-12-30T06:30:00"/>
    <d v="1899-12-30T15:30:00"/>
    <n v="9.0000000000000018"/>
    <x v="2"/>
    <m/>
  </r>
  <r>
    <s v="Electrical"/>
    <x v="37"/>
    <s v="Cherith"/>
    <x v="1"/>
    <m/>
    <m/>
    <m/>
    <m/>
    <m/>
    <m/>
    <d v="1899-12-30T06:30:00"/>
    <d v="1899-12-30T15:30:00"/>
    <n v="9.0000000000000018"/>
    <x v="1"/>
    <m/>
  </r>
  <r>
    <s v="Electrical"/>
    <x v="37"/>
    <s v="Ghiyan"/>
    <x v="4"/>
    <s v="SMSP3-018"/>
    <s v="75kw pump rewinding and connection"/>
    <d v="2026-01-15T00:00:00"/>
    <d v="2026-01-15T00:00:00"/>
    <m/>
    <m/>
    <d v="1899-12-30T06:30:00"/>
    <d v="1899-12-30T15:30:00"/>
    <n v="9.0000000000000018"/>
    <x v="2"/>
    <m/>
  </r>
  <r>
    <s v="Electrical"/>
    <x v="37"/>
    <s v="Gulam"/>
    <x v="1"/>
    <m/>
    <m/>
    <m/>
    <m/>
    <m/>
    <m/>
    <d v="1899-12-30T06:30:00"/>
    <d v="1899-12-30T15:30:00"/>
    <n v="9.0000000000000018"/>
    <x v="1"/>
    <m/>
  </r>
  <r>
    <s v="Electrical"/>
    <x v="37"/>
    <s v="Suhaib"/>
    <x v="5"/>
    <s v="Old B:H pump"/>
    <s v="10nos B:H pumps inspection &amp; repair, water test."/>
    <d v="2026-01-15T00:00:00"/>
    <d v="2026-01-15T00:00:00"/>
    <m/>
    <m/>
    <d v="1899-12-30T08:30:00"/>
    <d v="1899-12-30T17:30:00"/>
    <n v="8.9999999999999982"/>
    <x v="2"/>
    <m/>
  </r>
  <r>
    <s v="Electrical"/>
    <x v="37"/>
    <s v="Afsar"/>
    <x v="1"/>
    <m/>
    <m/>
    <m/>
    <m/>
    <m/>
    <m/>
    <d v="1899-12-30T08:30:00"/>
    <d v="1899-12-30T17:30:00"/>
    <n v="8.9999999999999982"/>
    <x v="1"/>
    <m/>
  </r>
  <r>
    <s v="Electrical"/>
    <x v="37"/>
    <s v="Venu"/>
    <x v="4"/>
    <s v="SM530-426"/>
    <s v="Inspection &amp; repair"/>
    <d v="2026-01-15T00:00:00"/>
    <d v="2026-01-15T00:00:00"/>
    <m/>
    <m/>
    <d v="1899-12-30T06:30:00"/>
    <d v="1899-12-30T15:30:00"/>
    <n v="9.0000000000000018"/>
    <x v="2"/>
    <m/>
  </r>
  <r>
    <s v="Bay 6 -_x000a_Generator"/>
    <x v="37"/>
    <s v="Jagdev"/>
    <x v="2"/>
    <s v="GEN250-047"/>
    <s v="Engine assembling onging"/>
    <d v="2026-01-06T00:00:00"/>
    <d v="2026-01-15T00:00:00"/>
    <m/>
    <m/>
    <d v="1899-12-30T06:30:00"/>
    <d v="1899-12-30T15:30:00"/>
    <n v="9.0000000000000018"/>
    <x v="3"/>
    <m/>
  </r>
  <r>
    <s v="Bay 6 -_x000a_Generator"/>
    <x v="37"/>
    <s v="Suraj"/>
    <x v="1"/>
    <m/>
    <m/>
    <m/>
    <m/>
    <m/>
    <m/>
    <d v="1899-12-30T06:30:00"/>
    <d v="1899-12-30T15:30:00"/>
    <n v="9.0000000000000018"/>
    <x v="1"/>
    <m/>
  </r>
  <r>
    <s v="Bay 6 -_x000a_Generator"/>
    <x v="37"/>
    <s v="Jagdev"/>
    <x v="9"/>
    <s v="DR-020"/>
    <s v="Repair on site"/>
    <d v="2026-01-15T00:00:00"/>
    <d v="2026-01-15T00:00:00"/>
    <d v="2026-01-15T00:00:00"/>
    <m/>
    <d v="1899-12-30T10:00:00"/>
    <d v="1899-12-30T14:30:00"/>
    <n v="4.4999999999999982"/>
    <x v="0"/>
    <m/>
  </r>
  <r>
    <s v="Bay 6 -_x000a_Generator"/>
    <x v="37"/>
    <s v="Suraj"/>
    <x v="2"/>
    <s v="GEN150-037"/>
    <s v="Engine parts cleaning."/>
    <d v="2026-01-15T00:00:00"/>
    <d v="2026-01-15T00:00:00"/>
    <m/>
    <m/>
    <d v="1899-12-30T08:30:00"/>
    <d v="1899-12-30T17:30:00"/>
    <n v="8.9999999999999982"/>
    <x v="2"/>
    <m/>
  </r>
  <r>
    <s v="Bay 6 -_x000a_Generator"/>
    <x v="37"/>
    <s v="Anwar"/>
    <x v="1"/>
    <m/>
    <m/>
    <m/>
    <m/>
    <m/>
    <m/>
    <d v="1899-12-30T08:30:00"/>
    <d v="1899-12-30T17:30:00"/>
    <n v="8.9999999999999982"/>
    <x v="1"/>
    <m/>
  </r>
  <r>
    <s v="Bay 4&amp;5 - _x000a_Pumps"/>
    <x v="37"/>
    <s v="Jaheer"/>
    <x v="6"/>
    <s v="CD5E-002/001"/>
    <s v="Installation on test bay, water &amp; vaccum testing."/>
    <d v="2026-01-15T00:00:00"/>
    <d v="2026-01-15T00:00:00"/>
    <d v="2026-01-15T00:00:00"/>
    <m/>
    <d v="1899-12-30T08:30:00"/>
    <d v="1899-12-30T17:30:00"/>
    <n v="8.9999999999999982"/>
    <x v="0"/>
    <m/>
  </r>
  <r>
    <s v="Bay 4&amp;5 - _x000a_Pumps"/>
    <x v="37"/>
    <s v="Bilal"/>
    <x v="1"/>
    <m/>
    <m/>
    <m/>
    <m/>
    <m/>
    <m/>
    <d v="1899-12-30T08:30:00"/>
    <d v="1899-12-30T17:30:00"/>
    <n v="8.9999999999999982"/>
    <x v="1"/>
    <m/>
  </r>
  <r>
    <s v="Bay 4&amp;5 - _x000a_Pumps"/>
    <x v="37"/>
    <s v="Asif"/>
    <x v="6"/>
    <s v="SCT500-32"/>
    <s v="pump end dismantling."/>
    <d v="2026-01-15T00:00:00"/>
    <d v="2026-01-15T00:00:00"/>
    <d v="2026-01-15T00:00:00"/>
    <m/>
    <d v="1899-12-30T06:30:00"/>
    <d v="1899-12-30T15:30:00"/>
    <n v="9.0000000000000018"/>
    <x v="0"/>
    <m/>
  </r>
  <r>
    <s v="Bay 4&amp;5 - _x000a_Pumps"/>
    <x v="37"/>
    <s v="Vinod"/>
    <x v="1"/>
    <m/>
    <m/>
    <m/>
    <m/>
    <m/>
    <m/>
    <d v="1899-12-30T06:30:00"/>
    <d v="1899-12-30T15:30:00"/>
    <n v="9.0000000000000018"/>
    <x v="1"/>
    <m/>
  </r>
  <r>
    <s v="Bay 4&amp;5 - _x000a_Pumps"/>
    <x v="37"/>
    <s v="Suresh S"/>
    <x v="0"/>
    <s v="CP150-297/PT175X11"/>
    <s v="All oil draining/ Vaccum pump repair."/>
    <d v="2026-01-15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Mintu"/>
    <x v="0"/>
    <s v="JP-223"/>
    <s v="Engine repair"/>
    <d v="2026-01-15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Shaji"/>
    <x v="1"/>
    <m/>
    <m/>
    <m/>
    <m/>
    <m/>
    <m/>
    <d v="1899-12-30T13:00:00"/>
    <d v="1899-12-30T15:30:00"/>
    <n v="2.5000000000000018"/>
    <x v="1"/>
    <m/>
  </r>
  <r>
    <s v="Bay 4&amp;5 - _x000a_Pumps"/>
    <x v="37"/>
    <s v="Harish"/>
    <x v="0"/>
    <s v="CP150-614"/>
    <s v="Engine assembling ongoing"/>
    <d v="2026-01-09T00:00:00"/>
    <d v="2026-01-14T00:00:00"/>
    <d v="2026-01-14T00:00:00"/>
    <m/>
    <d v="1899-12-30T06:30:00"/>
    <d v="1899-12-30T17:30:00"/>
    <n v="11"/>
    <x v="0"/>
    <m/>
  </r>
  <r>
    <s v="Bay 4&amp;5 - _x000a_Pumps"/>
    <x v="37"/>
    <s v="Shaji"/>
    <x v="1"/>
    <m/>
    <m/>
    <m/>
    <m/>
    <m/>
    <m/>
    <d v="1899-12-30T08:30:00"/>
    <d v="1899-12-30T10:30:00"/>
    <n v="1.9999999999999996"/>
    <x v="1"/>
    <m/>
  </r>
  <r>
    <s v="Bay 4&amp;5 - _x000a_Pumps"/>
    <x v="37"/>
    <s v="Bharathesha"/>
    <x v="0"/>
    <s v="CP150-184"/>
    <s v="Engine assembling ongoing"/>
    <d v="2026-01-09T00:00:00"/>
    <d v="2026-01-15T00:00:00"/>
    <d v="2026-01-15T00:00:00"/>
    <m/>
    <d v="1899-12-30T06:30:00"/>
    <d v="1899-12-30T12:30:00"/>
    <n v="6.0000000000000018"/>
    <x v="0"/>
    <m/>
  </r>
  <r>
    <s v="Bay 4&amp;5 - _x000a_Pumps"/>
    <x v="37"/>
    <s v="Shaji"/>
    <x v="1"/>
    <m/>
    <m/>
    <m/>
    <m/>
    <m/>
    <m/>
    <d v="1899-12-30T10:30:00"/>
    <d v="1899-12-30T12:00:00"/>
    <n v="1.5"/>
    <x v="1"/>
    <m/>
  </r>
  <r>
    <s v="Bay 4&amp;5 - _x000a_Pumps"/>
    <x v="37"/>
    <s v="Ismail"/>
    <x v="0"/>
    <s v="CP250-001"/>
    <s v="Pump dismantling"/>
    <d v="2026-01-15T00:00:00"/>
    <d v="2026-01-15T00:00:00"/>
    <d v="2026-01-15T00:00:00"/>
    <m/>
    <d v="1899-12-30T12:30:00"/>
    <d v="1899-12-30T17:30:00"/>
    <n v="4.9999999999999982"/>
    <x v="0"/>
    <m/>
  </r>
  <r>
    <s v="Bay 4&amp;5 - _x000a_Pumps"/>
    <x v="37"/>
    <s v="Shaji"/>
    <x v="1"/>
    <m/>
    <m/>
    <m/>
    <m/>
    <m/>
    <m/>
    <d v="1899-12-30T14:00:00"/>
    <d v="1899-12-30T16:00:00"/>
    <n v="1.9999999999999982"/>
    <x v="1"/>
    <m/>
  </r>
  <r>
    <s v="Bay 4&amp;5 - _x000a_Pumps"/>
    <x v="37"/>
    <s v="James"/>
    <x v="0"/>
    <s v="CP150-265"/>
    <s v="Pump repair, water test"/>
    <d v="2026-01-15T00:00:00"/>
    <d v="2026-01-15T00:00:00"/>
    <d v="2026-01-15T00:00:00"/>
    <m/>
    <d v="1899-12-30T06:30:00"/>
    <d v="1899-12-30T17:30:00"/>
    <n v="11"/>
    <x v="0"/>
    <m/>
  </r>
  <r>
    <s v="Electrical"/>
    <x v="38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8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8"/>
    <s v="Sulaiman"/>
    <x v="3"/>
    <s v="DB-184"/>
    <s v="Inspection,service &amp; repair"/>
    <d v="2026-01-15T00:00:00"/>
    <d v="2026-01-15T00:00:00"/>
    <d v="2026-01-15T00:00:00"/>
    <m/>
    <d v="1899-12-30T08:30:00"/>
    <d v="1899-12-30T17:30:00"/>
    <n v="8.9999999999999982"/>
    <x v="0"/>
    <m/>
  </r>
  <r>
    <s v="Electrical"/>
    <x v="38"/>
    <s v="Lijo"/>
    <x v="2"/>
    <s v="GEN250-047"/>
    <s v="Inspection &amp; assemble"/>
    <d v="2026-01-16T00:00:00"/>
    <d v="2026-01-16T00:00:00"/>
    <m/>
    <m/>
    <d v="1899-12-30T08:30:00"/>
    <d v="1899-12-30T17:30:00"/>
    <n v="8.9999999999999982"/>
    <x v="2"/>
    <m/>
  </r>
  <r>
    <s v="Electrical"/>
    <x v="38"/>
    <s v="Aman"/>
    <x v="1"/>
    <m/>
    <m/>
    <m/>
    <m/>
    <m/>
    <m/>
    <d v="1899-12-30T08:30:00"/>
    <d v="1899-12-30T17:30:00"/>
    <n v="8.9999999999999982"/>
    <x v="1"/>
    <m/>
  </r>
  <r>
    <s v="Electrical"/>
    <x v="38"/>
    <s v="Saqib"/>
    <x v="4"/>
    <s v="SM702-021"/>
    <s v="Rewinding"/>
    <d v="2026-01-16T00:00:00"/>
    <d v="2026-01-17T00:00:00"/>
    <m/>
    <m/>
    <d v="1899-12-30T06:30:00"/>
    <d v="1899-12-30T15:30:00"/>
    <n v="9.0000000000000018"/>
    <x v="2"/>
    <m/>
  </r>
  <r>
    <s v="Electrical"/>
    <x v="38"/>
    <s v="Donald"/>
    <x v="4"/>
    <s v="SM1002-060/275"/>
    <s v="Inspection &amp; reapir"/>
    <d v="2026-01-16T00:00:00"/>
    <d v="2026-01-17T00:00:00"/>
    <d v="2026-01-17T00:00:00"/>
    <m/>
    <d v="1899-12-30T06:30:00"/>
    <d v="1899-12-30T15:30:00"/>
    <n v="9.0000000000000018"/>
    <x v="0"/>
    <m/>
  </r>
  <r>
    <s v="Electrical"/>
    <x v="38"/>
    <s v="Gulam"/>
    <x v="1"/>
    <m/>
    <m/>
    <m/>
    <m/>
    <m/>
    <m/>
    <d v="1899-12-30T06:30:00"/>
    <d v="1899-12-30T15:30:00"/>
    <n v="9.0000000000000018"/>
    <x v="1"/>
    <m/>
  </r>
  <r>
    <s v="Electrical"/>
    <x v="38"/>
    <s v="Ghiyan"/>
    <x v="4"/>
    <s v="SMSP3-018"/>
    <s v="75kw pump rewinding and connection"/>
    <d v="2026-01-15T00:00:00"/>
    <d v="2026-01-16T00:00:00"/>
    <m/>
    <m/>
    <d v="1899-12-30T06:30:00"/>
    <d v="1899-12-30T15:30:00"/>
    <n v="9.0000000000000018"/>
    <x v="2"/>
    <m/>
  </r>
  <r>
    <s v="Electrical"/>
    <x v="38"/>
    <s v="Cherith"/>
    <x v="1"/>
    <m/>
    <m/>
    <m/>
    <m/>
    <m/>
    <m/>
    <d v="1899-12-30T06:30:00"/>
    <d v="1899-12-30T15:30:00"/>
    <n v="9.0000000000000018"/>
    <x v="1"/>
    <m/>
  </r>
  <r>
    <s v="Electrical"/>
    <x v="38"/>
    <s v="Suhaib"/>
    <x v="5"/>
    <s v="New B:H pump"/>
    <s v="15nos 2.2kw pumps inspection &amp; repair, water test."/>
    <d v="2026-01-16T00:00:00"/>
    <d v="2026-01-16T00:00:00"/>
    <d v="2026-01-16T00:00:00"/>
    <m/>
    <d v="1899-12-30T08:30:00"/>
    <d v="1899-12-30T13:00:00"/>
    <n v="4.4999999999999982"/>
    <x v="0"/>
    <m/>
  </r>
  <r>
    <s v="Electrical"/>
    <x v="38"/>
    <s v="Afsar"/>
    <x v="1"/>
    <m/>
    <m/>
    <m/>
    <m/>
    <m/>
    <m/>
    <d v="1899-12-30T08:30:00"/>
    <d v="1899-12-30T13:00:00"/>
    <n v="4.4999999999999982"/>
    <x v="1"/>
    <m/>
  </r>
  <r>
    <s v="Electrical"/>
    <x v="38"/>
    <s v="Venu"/>
    <x v="4"/>
    <s v="SM530-426"/>
    <s v="Inspection &amp; repair"/>
    <d v="2026-01-16T00:00:00"/>
    <d v="2026-01-16T00:00:00"/>
    <d v="2026-01-16T00:00:00"/>
    <m/>
    <d v="1899-12-30T06:30:00"/>
    <d v="1899-12-30T09:00:00"/>
    <n v="2.5000000000000004"/>
    <x v="0"/>
    <m/>
  </r>
  <r>
    <s v="Bay 6 -_x000a_Generator"/>
    <x v="38"/>
    <s v="Jagdev"/>
    <x v="2"/>
    <s v="GEN250-047"/>
    <s v="Engine assembling onging"/>
    <d v="2026-01-06T00:00:00"/>
    <d v="2026-01-16T00:00:00"/>
    <d v="2026-01-16T00:00:00"/>
    <m/>
    <d v="1899-12-30T06:30:00"/>
    <d v="1899-12-30T15:30:00"/>
    <n v="9.0000000000000018"/>
    <x v="0"/>
    <m/>
  </r>
  <r>
    <s v="Bay 6 -_x000a_Generator"/>
    <x v="38"/>
    <s v="Suraj"/>
    <x v="2"/>
    <s v="GEN150-021"/>
    <s v="Water p[ump fixing, fuel tank cleaning, load test."/>
    <d v="2026-01-16T00:00:00"/>
    <d v="2026-01-16T00:00:00"/>
    <m/>
    <m/>
    <d v="1899-12-30T06:30:00"/>
    <d v="1899-12-30T10:00:00"/>
    <n v="3.5000000000000009"/>
    <x v="3"/>
    <m/>
  </r>
  <r>
    <s v="Bay 6 -_x000a_Generator"/>
    <x v="38"/>
    <s v="Anwar"/>
    <x v="2"/>
    <s v="GEN150-037"/>
    <s v="Engine parts cleaning, washing"/>
    <d v="2026-01-15T00:00:00"/>
    <d v="2026-01-16T00:00:00"/>
    <m/>
    <m/>
    <d v="1899-12-30T08:30:00"/>
    <d v="1899-12-30T17:30:00"/>
    <n v="8.9999999999999982"/>
    <x v="2"/>
    <m/>
  </r>
  <r>
    <s v="Bay 4&amp;5 - _x000a_Pumps"/>
    <x v="38"/>
    <s v="Jaheer"/>
    <x v="6"/>
    <s v="SCT600-002"/>
    <s v="Engine removing from frame."/>
    <d v="2026-01-16T00:00:00"/>
    <d v="2026-01-16T00:00:00"/>
    <m/>
    <m/>
    <d v="1899-12-30T08:30:00"/>
    <d v="1899-12-30T17:30:00"/>
    <n v="8.9999999999999982"/>
    <x v="0"/>
    <m/>
  </r>
  <r>
    <s v="Bay 4&amp;5 - _x000a_Pumps"/>
    <x v="38"/>
    <s v="Bilal"/>
    <x v="1"/>
    <m/>
    <m/>
    <m/>
    <m/>
    <m/>
    <m/>
    <d v="1899-12-30T08:30:00"/>
    <d v="1899-12-30T17:30:00"/>
    <n v="8.9999999999999982"/>
    <x v="1"/>
    <m/>
  </r>
  <r>
    <s v="Bay 4&amp;5 - _x000a_Pumps"/>
    <x v="38"/>
    <s v="Asif"/>
    <x v="6"/>
    <s v="SCT600-001"/>
    <s v="Engine removing from frame."/>
    <d v="2026-01-16T00:00:00"/>
    <d v="2026-01-16T00:00:00"/>
    <m/>
    <m/>
    <d v="1899-12-30T06:30:00"/>
    <d v="1899-12-30T15:30:00"/>
    <n v="9.0000000000000018"/>
    <x v="0"/>
    <m/>
  </r>
  <r>
    <s v="Bay 4&amp;5 - _x000a_Pumps"/>
    <x v="38"/>
    <s v="Vinod"/>
    <x v="1"/>
    <m/>
    <m/>
    <m/>
    <m/>
    <m/>
    <m/>
    <d v="1899-12-30T06:30:00"/>
    <d v="1899-12-30T15:30:00"/>
    <n v="9.0000000000000018"/>
    <x v="1"/>
    <m/>
  </r>
  <r>
    <s v="Bay 4&amp;5 - _x000a_Pumps"/>
    <x v="38"/>
    <s v="Suresh S"/>
    <x v="0"/>
    <s v="ZD900-032E"/>
    <s v="Pump repair &amp; water test."/>
    <d v="2026-01-16T00:00:00"/>
    <d v="2026-01-16T00:00:00"/>
    <d v="2026-01-16T00:00:00"/>
    <m/>
    <d v="1899-12-30T06:30:00"/>
    <d v="1899-12-30T15:30:00"/>
    <n v="9.0000000000000018"/>
    <x v="0"/>
    <m/>
  </r>
  <r>
    <s v="Bay 4&amp;5 - _x000a_Pumps"/>
    <x v="38"/>
    <s v="Bharathesha"/>
    <x v="0"/>
    <s v="CP150-184"/>
    <s v="Engine assembling."/>
    <d v="2026-01-09T00:00:00"/>
    <d v="2026-01-16T00:00:00"/>
    <d v="2026-01-16T00:00:00"/>
    <m/>
    <d v="1899-12-30T06:30:00"/>
    <d v="1899-12-30T12:30:00"/>
    <n v="6.0000000000000018"/>
    <x v="0"/>
    <m/>
  </r>
  <r>
    <s v="Bay 4&amp;5 - _x000a_Pumps"/>
    <x v="38"/>
    <s v="Shaji"/>
    <x v="1"/>
    <m/>
    <m/>
    <m/>
    <m/>
    <m/>
    <m/>
    <d v="1899-12-30T13:00:00"/>
    <d v="1899-12-30T14:00:00"/>
    <n v="1.0000000000000018"/>
    <x v="1"/>
    <m/>
  </r>
  <r>
    <s v="Bay 4&amp;5 - _x000a_Pumps"/>
    <x v="38"/>
    <s v="Harish"/>
    <x v="0"/>
    <s v="CP150-614"/>
    <s v="Pump dismantling."/>
    <d v="2026-01-09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08:30:00"/>
    <d v="1899-12-30T10:30:00"/>
    <n v="1.9999999999999996"/>
    <x v="1"/>
    <m/>
  </r>
  <r>
    <s v="Bay 4&amp;5 - _x000a_Pumps"/>
    <x v="38"/>
    <s v="Ismail"/>
    <x v="0"/>
    <s v="CP250-001"/>
    <s v="Pump dismantling ongoing."/>
    <d v="2026-01-15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10:30:00"/>
    <d v="1899-12-30T12:00:00"/>
    <n v="1.5"/>
    <x v="1"/>
    <m/>
  </r>
  <r>
    <s v="Bay 4&amp;5 - _x000a_Pumps"/>
    <x v="38"/>
    <s v="Mintu"/>
    <x v="0"/>
    <s v="Spare engine for mozambic"/>
    <s v="Engine assembling"/>
    <d v="2026-01-15T00:00:00"/>
    <d v="2026-01-16T00:00:00"/>
    <d v="2026-01-16T00:00:00"/>
    <m/>
    <d v="1899-12-30T06:30:00"/>
    <d v="1899-12-30T17:30:00"/>
    <n v="11"/>
    <x v="0"/>
    <m/>
  </r>
  <r>
    <s v="Bay 4&amp;5 - _x000a_Pumps"/>
    <x v="38"/>
    <s v="Shaji"/>
    <x v="1"/>
    <m/>
    <m/>
    <m/>
    <m/>
    <m/>
    <m/>
    <d v="1899-12-30T14:00:00"/>
    <d v="1899-12-30T16:00:00"/>
    <n v="1.9999999999999982"/>
    <x v="1"/>
    <m/>
  </r>
  <r>
    <s v="Bay 4&amp;5 - _x000a_Pumps"/>
    <x v="38"/>
    <s v="James"/>
    <x v="0"/>
    <s v="CP150-265"/>
    <s v="Pump prepare for assembling"/>
    <d v="2026-01-14T00:00:00"/>
    <d v="2026-01-16T00:00:00"/>
    <d v="2026-01-16T00:00:00"/>
    <m/>
    <d v="1899-12-30T06:30:00"/>
    <d v="1899-12-30T17:30:00"/>
    <n v="11"/>
    <x v="0"/>
    <m/>
  </r>
  <r>
    <s v="Electrical"/>
    <x v="39"/>
    <s v="Fahad"/>
    <x v="3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9"/>
    <s v="Lijo"/>
    <x v="3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x v="2"/>
    <m/>
  </r>
  <r>
    <s v="Electrical"/>
    <x v="39"/>
    <s v="Sulaiman"/>
    <x v="3"/>
    <s v="DB-184"/>
    <s v="Inspection,service &amp; repair"/>
    <d v="2026-01-15T00:00:00"/>
    <d v="2026-01-15T00:00:00"/>
    <m/>
    <m/>
    <d v="1899-12-30T08:30:00"/>
    <d v="1899-12-30T17:30:00"/>
    <n v="8.9999999999999982"/>
    <x v="2"/>
    <m/>
  </r>
  <r>
    <s v="Electrical"/>
    <x v="39"/>
    <s v="Lijo"/>
    <x v="4"/>
    <s v="SM1002-142"/>
    <s v="Inspection &amp; dismantle"/>
    <d v="2026-01-17T00:00:00"/>
    <d v="2026-01-17T00:00:00"/>
    <m/>
    <m/>
    <d v="1899-12-30T08:30:00"/>
    <d v="1899-12-30T17:30:00"/>
    <n v="8.9999999999999982"/>
    <x v="2"/>
    <m/>
  </r>
  <r>
    <s v="Electrical"/>
    <x v="39"/>
    <s v="Aman"/>
    <x v="1"/>
    <m/>
    <m/>
    <m/>
    <m/>
    <m/>
    <m/>
    <d v="1899-12-30T08:30:00"/>
    <d v="1899-12-30T17:30:00"/>
    <n v="8.9999999999999982"/>
    <x v="1"/>
    <m/>
  </r>
  <r>
    <s v="Electrical"/>
    <x v="39"/>
    <s v="Saqib"/>
    <x v="4"/>
    <s v="SM702-021"/>
    <s v="Rewinding"/>
    <d v="2026-01-16T00:00:00"/>
    <d v="2026-01-17T00:00:00"/>
    <m/>
    <m/>
    <d v="1899-12-30T06:30:00"/>
    <d v="1899-12-30T15:30:00"/>
    <n v="9.0000000000000018"/>
    <x v="2"/>
    <m/>
  </r>
  <r>
    <s v="Electrical"/>
    <x v="39"/>
    <s v="Donald"/>
    <x v="4"/>
    <s v="SM1002 275/022"/>
    <s v="Pump water testing"/>
    <d v="2026-01-17T00:00:00"/>
    <d v="2026-01-17T00:00:00"/>
    <m/>
    <m/>
    <d v="1899-12-30T06:30:00"/>
    <d v="1899-12-30T15:30:00"/>
    <n v="9.0000000000000018"/>
    <x v="0"/>
    <m/>
  </r>
  <r>
    <s v="Electrical"/>
    <x v="39"/>
    <s v="Gulam"/>
    <x v="1"/>
    <m/>
    <m/>
    <m/>
    <m/>
    <m/>
    <m/>
    <d v="1899-12-30T06:30:00"/>
    <d v="1899-12-30T15:30:00"/>
    <n v="9.0000000000000018"/>
    <x v="1"/>
    <m/>
  </r>
  <r>
    <s v="Electrical"/>
    <x v="39"/>
    <s v="Ghiyan"/>
    <x v="4"/>
    <s v="SMSP3-018"/>
    <s v="75kw pump rewinding and connection"/>
    <d v="2026-01-15T00:00:00"/>
    <d v="2026-01-17T00:00:00"/>
    <m/>
    <m/>
    <d v="1899-12-30T06:30:00"/>
    <d v="1899-12-30T15:30:00"/>
    <n v="9.0000000000000018"/>
    <x v="2"/>
    <m/>
  </r>
  <r>
    <s v="Electrical"/>
    <x v="39"/>
    <s v="Cherith"/>
    <x v="1"/>
    <m/>
    <m/>
    <m/>
    <m/>
    <m/>
    <m/>
    <d v="1899-12-30T06:30:00"/>
    <d v="1899-12-30T15:30:00"/>
    <n v="9.0000000000000018"/>
    <x v="1"/>
    <m/>
  </r>
  <r>
    <s v="Electrical"/>
    <x v="39"/>
    <s v="Suhaib"/>
    <x v="5"/>
    <s v="New B:H pump"/>
    <s v="14nos 2.2kw pumps inspection &amp; fleet number tagging"/>
    <d v="2026-01-16T00:00:00"/>
    <d v="2026-01-17T00:00:00"/>
    <m/>
    <m/>
    <d v="1899-12-30T08:30:00"/>
    <d v="1899-12-30T17:30:00"/>
    <n v="8.9999999999999982"/>
    <x v="0"/>
    <m/>
  </r>
  <r>
    <s v="Electrical"/>
    <x v="39"/>
    <s v="Afsar"/>
    <x v="1"/>
    <m/>
    <m/>
    <m/>
    <m/>
    <m/>
    <m/>
    <d v="1899-12-30T08:30:00"/>
    <d v="1899-12-30T17:30:00"/>
    <n v="8.9999999999999982"/>
    <x v="1"/>
    <m/>
  </r>
  <r>
    <s v="Electrical"/>
    <x v="39"/>
    <s v="Venu"/>
    <x v="4"/>
    <s v="SM530-429"/>
    <s v="Inspection &amp; repair"/>
    <d v="2026-01-17T00:00:00"/>
    <d v="2026-01-17T00:00:00"/>
    <m/>
    <m/>
    <d v="1899-12-30T06:30:00"/>
    <d v="1899-12-30T15:30:00"/>
    <n v="9.0000000000000018"/>
    <x v="2"/>
    <m/>
  </r>
  <r>
    <s v="Electrical"/>
    <x v="39"/>
    <s v="Sulemam"/>
    <x v="2"/>
    <s v="GENJ60-003"/>
    <s v="Inspection &amp; dismantle"/>
    <d v="2026-01-17T00:00:00"/>
    <d v="2026-01-17T00:00:00"/>
    <m/>
    <m/>
    <d v="1899-12-30T08:30:00"/>
    <d v="1899-12-30T17:30:00"/>
    <n v="8.9999999999999982"/>
    <x v="0"/>
    <m/>
  </r>
  <r>
    <s v="Bay 6 -_x000a_Generator"/>
    <x v="39"/>
    <s v="Jagdev"/>
    <x v="6"/>
    <s v="CD150 spare engine"/>
    <s v="Final fitting"/>
    <d v="2026-01-17T00:00:00"/>
    <d v="2026-01-17T00:00:00"/>
    <m/>
    <m/>
    <d v="1899-12-30T06:30:00"/>
    <d v="1899-12-30T10:30:00"/>
    <n v="4"/>
    <x v="0"/>
    <m/>
  </r>
  <r>
    <s v="Bay 6 -_x000a_Generator"/>
    <x v="39"/>
    <s v="Suraj"/>
    <x v="2"/>
    <s v="GEN150-021"/>
    <s v="canopy &amp; radiator removing"/>
    <d v="2026-01-16T00:00:00"/>
    <d v="2026-01-17T00:00:00"/>
    <m/>
    <m/>
    <d v="1899-12-30T06:30:00"/>
    <d v="1899-12-30T10:30:00"/>
    <n v="4"/>
    <x v="2"/>
    <m/>
  </r>
  <r>
    <s v="Bay 6 -_x000a_Generator"/>
    <x v="39"/>
    <s v="Suraj"/>
    <x v="2"/>
    <s v="GEN100-013"/>
    <s v="Load testing, fuel tank cleaning, final fitting"/>
    <d v="2026-01-17T00:00:00"/>
    <d v="2026-01-17T00:00:00"/>
    <m/>
    <m/>
    <d v="1899-12-30T10:30:00"/>
    <s v="15;30"/>
    <e v="#VALUE!"/>
    <x v="0"/>
    <m/>
  </r>
  <r>
    <s v="Bay 6 -_x000a_Generator"/>
    <x v="39"/>
    <s v="Anwar"/>
    <x v="2"/>
    <s v="GEN150-037"/>
    <s v="Engine parts cleaning, washing"/>
    <d v="2026-01-15T00:00:00"/>
    <d v="2026-01-17T00:00:00"/>
    <m/>
    <m/>
    <d v="1899-12-30T08:30:00"/>
    <d v="1899-12-30T17:30:00"/>
    <n v="8.9999999999999982"/>
    <x v="2"/>
    <m/>
  </r>
  <r>
    <s v="Bay 6 -_x000a_Generator"/>
    <x v="39"/>
    <s v="JAGDEV"/>
    <x v="1"/>
    <m/>
    <m/>
    <m/>
    <m/>
    <m/>
    <m/>
    <d v="1899-12-30T10:30:00"/>
    <s v="15;30"/>
    <e v="#VALUE!"/>
    <x v="1"/>
    <m/>
  </r>
  <r>
    <s v="Bay 4&amp;5 - _x000a_Pumps"/>
    <x v="39"/>
    <s v="Jaheer"/>
    <x v="6"/>
    <s v="CD50E-002"/>
    <s v="Water testing"/>
    <d v="2026-01-17T00:00:00"/>
    <d v="2026-01-21T00:00:00"/>
    <m/>
    <m/>
    <d v="1899-12-30T08:30:00"/>
    <d v="1899-12-30T01:00:00"/>
    <n v="16.5"/>
    <x v="0"/>
    <m/>
  </r>
  <r>
    <s v="Bay 4&amp;5 - _x000a_Pumps"/>
    <x v="39"/>
    <s v="Bilal"/>
    <x v="1"/>
    <m/>
    <m/>
    <m/>
    <m/>
    <m/>
    <m/>
    <d v="1899-12-30T08:30:00"/>
    <d v="1899-12-30T01:00:00"/>
    <n v="16.5"/>
    <x v="1"/>
    <m/>
  </r>
  <r>
    <s v="Bay 4&amp;5 - _x000a_Pumps"/>
    <x v="39"/>
    <s v="Asif"/>
    <x v="6"/>
    <s v="CP108-004"/>
    <s v="Engine top end repairing"/>
    <d v="2026-01-17T00:00:00"/>
    <d v="2026-01-21T00:00:00"/>
    <m/>
    <m/>
    <d v="1899-12-30T06:30:00"/>
    <d v="1899-12-30T15:30:00"/>
    <n v="9.0000000000000018"/>
    <x v="0"/>
    <m/>
  </r>
  <r>
    <s v="Bay 4&amp;5 - _x000a_Pumps"/>
    <x v="39"/>
    <s v="Vinod"/>
    <x v="1"/>
    <m/>
    <m/>
    <m/>
    <m/>
    <m/>
    <m/>
    <d v="1899-12-30T06:30:00"/>
    <d v="1899-12-30T15:30:00"/>
    <n v="9.0000000000000018"/>
    <x v="1"/>
    <m/>
  </r>
  <r>
    <s v="Bay 4&amp;5 - _x000a_Pumps"/>
    <x v="39"/>
    <s v="Suresh S"/>
    <x v="0"/>
    <s v="ZD900-032E"/>
    <s v="Pump repair &amp; water test."/>
    <d v="2026-01-16T00:00:00"/>
    <d v="2026-01-17T00:00:00"/>
    <m/>
    <m/>
    <d v="1899-12-30T06:30:00"/>
    <d v="1899-12-30T15:30:00"/>
    <n v="9.0000000000000018"/>
    <x v="2"/>
    <m/>
  </r>
  <r>
    <s v="Bay 4&amp;5 - _x000a_Pumps"/>
    <x v="39"/>
    <s v="Bharathesha"/>
    <x v="0"/>
    <s v="CP150-184"/>
    <s v="Engine assembling."/>
    <d v="2026-01-09T00:00:00"/>
    <d v="2026-01-17T00:00:00"/>
    <m/>
    <m/>
    <d v="1899-12-30T06:30:00"/>
    <d v="1899-12-30T12:30:00"/>
    <n v="6.0000000000000018"/>
    <x v="0"/>
    <m/>
  </r>
  <r>
    <s v="Bay 4&amp;5 - _x000a_Pumps"/>
    <x v="39"/>
    <s v="Shaji"/>
    <x v="1"/>
    <m/>
    <m/>
    <m/>
    <m/>
    <m/>
    <m/>
    <d v="1899-12-30T13:00:00"/>
    <d v="1899-12-30T14:00:00"/>
    <n v="1.0000000000000018"/>
    <x v="1"/>
    <m/>
  </r>
  <r>
    <s v="Bay 4&amp;5 - _x000a_Pumps"/>
    <x v="39"/>
    <s v="Harish"/>
    <x v="0"/>
    <s v="CP150-614"/>
    <s v="Pump dismantling."/>
    <d v="2026-01-09T00:00:00"/>
    <d v="2026-01-16T00:00:00"/>
    <m/>
    <m/>
    <d v="1899-12-30T06:30:00"/>
    <d v="1899-12-30T17:30:00"/>
    <n v="11"/>
    <x v="2"/>
    <m/>
  </r>
  <r>
    <s v="Bay 4&amp;5 - _x000a_Pumps"/>
    <x v="39"/>
    <s v="Shaji"/>
    <x v="1"/>
    <m/>
    <m/>
    <m/>
    <m/>
    <m/>
    <m/>
    <d v="1899-12-30T08:30:00"/>
    <d v="1899-12-30T10:30:00"/>
    <n v="1.9999999999999996"/>
    <x v="1"/>
    <m/>
  </r>
  <r>
    <s v="Bay 4&amp;5 - _x000a_Pumps"/>
    <x v="39"/>
    <s v="Ismail"/>
    <x v="0"/>
    <s v="CP250-001"/>
    <s v="Pump dismantling ongoing."/>
    <d v="2026-01-15T00:00:00"/>
    <d v="2026-01-16T00:00:00"/>
    <m/>
    <m/>
    <d v="1899-12-30T06:30:00"/>
    <d v="1899-12-30T17:30:00"/>
    <n v="11"/>
    <x v="0"/>
    <m/>
  </r>
  <r>
    <s v="Bay 4&amp;5 - _x000a_Pumps"/>
    <x v="39"/>
    <s v="Shaji"/>
    <x v="1"/>
    <m/>
    <m/>
    <m/>
    <m/>
    <m/>
    <m/>
    <d v="1899-12-30T10:30:00"/>
    <d v="1899-12-30T12:00:00"/>
    <n v="1.5"/>
    <x v="1"/>
    <m/>
  </r>
  <r>
    <s v="Bay 4&amp;5 - _x000a_Pumps"/>
    <x v="39"/>
    <s v="Mintu"/>
    <x v="0"/>
    <s v="Spare engine for mozambic"/>
    <s v="Engine assembling"/>
    <d v="2026-01-15T00:00:00"/>
    <d v="2026-01-16T00:00:00"/>
    <m/>
    <m/>
    <d v="1899-12-30T06:30:00"/>
    <d v="1899-12-30T17:30:00"/>
    <n v="11"/>
    <x v="2"/>
    <m/>
  </r>
  <r>
    <s v="Bay 4&amp;5 - _x000a_Pumps"/>
    <x v="39"/>
    <s v="Shaji"/>
    <x v="1"/>
    <m/>
    <m/>
    <m/>
    <m/>
    <m/>
    <m/>
    <d v="1899-12-30T14:00:00"/>
    <d v="1899-12-30T16:00:00"/>
    <n v="1.9999999999999982"/>
    <x v="1"/>
    <m/>
  </r>
  <r>
    <s v="Bay 4&amp;5 - _x000a_Pumps"/>
    <x v="39"/>
    <s v="James"/>
    <x v="0"/>
    <s v="CP150-265"/>
    <s v="Pump prepare for assembling"/>
    <d v="2026-01-14T00:00:00"/>
    <d v="2026-01-16T00:00:00"/>
    <m/>
    <m/>
    <d v="1899-12-30T06:30:00"/>
    <d v="1899-12-30T17:30:00"/>
    <n v="11"/>
    <x v="2"/>
    <m/>
  </r>
  <r>
    <s v="Electrical"/>
    <x v="40"/>
    <s v="Fahad"/>
    <x v="3"/>
    <s v="SPB7.5-00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0"/>
    <s v="Lijo"/>
    <x v="3"/>
    <s v="SPB7.5-02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0"/>
    <s v="Sulaiman"/>
    <x v="3"/>
    <s v="CPBX3"/>
    <s v="repair test &amp; PDI"/>
    <d v="2026-01-19T00:00:00"/>
    <d v="2026-01-19T00:00:00"/>
    <d v="2026-01-19T00:00:00"/>
    <m/>
    <d v="1899-12-30T08:30:00"/>
    <d v="1899-12-30T17:30:00"/>
    <n v="8.9999999999999982"/>
    <x v="0"/>
    <m/>
  </r>
  <r>
    <s v="Electrical"/>
    <x v="40"/>
    <s v="Lijo"/>
    <x v="2"/>
    <s v="GENJ60-003"/>
    <s v="Inspection &amp; servicing"/>
    <d v="2026-01-19T00:00:00"/>
    <d v="2026-01-19T00:00:00"/>
    <m/>
    <m/>
    <d v="1899-12-30T08:30:00"/>
    <d v="1899-12-30T13:00:00"/>
    <n v="4.4999999999999982"/>
    <x v="2"/>
    <m/>
  </r>
  <r>
    <s v="Electrical"/>
    <x v="40"/>
    <s v="Aman"/>
    <x v="1"/>
    <m/>
    <m/>
    <m/>
    <m/>
    <m/>
    <m/>
    <d v="1899-12-30T08:30:00"/>
    <d v="1899-12-30T13:00:00"/>
    <n v="4.4999999999999982"/>
    <x v="1"/>
    <m/>
  </r>
  <r>
    <s v="Electrical"/>
    <x v="40"/>
    <s v="Saqib"/>
    <x v="4"/>
    <s v="SM702-021"/>
    <s v="Rewinding"/>
    <d v="2026-01-16T00:00:00"/>
    <d v="2026-01-19T00:00:00"/>
    <d v="2026-01-19T00:00:00"/>
    <m/>
    <d v="1899-12-30T06:30:00"/>
    <d v="1899-12-30T13:00:00"/>
    <n v="6.5"/>
    <x v="0"/>
    <m/>
  </r>
  <r>
    <s v="Electrical"/>
    <x v="40"/>
    <s v="Donald"/>
    <x v="4"/>
    <s v="SM1002 60/142"/>
    <s v="Inspection &amp; reapair"/>
    <d v="2026-01-19T00:00:00"/>
    <d v="2026-01-19T00:00:00"/>
    <m/>
    <m/>
    <d v="1899-12-30T06:30:00"/>
    <d v="1899-12-30T15:30:00"/>
    <n v="9.0000000000000018"/>
    <x v="3"/>
    <m/>
  </r>
  <r>
    <s v="Electrical"/>
    <x v="40"/>
    <s v="Gulam"/>
    <x v="1"/>
    <m/>
    <m/>
    <m/>
    <m/>
    <m/>
    <m/>
    <d v="1899-12-30T06:30:00"/>
    <d v="1899-12-30T15:30:00"/>
    <n v="9.0000000000000018"/>
    <x v="1"/>
    <m/>
  </r>
  <r>
    <s v="Electrical"/>
    <x v="40"/>
    <s v="Ghiyan"/>
    <x v="2"/>
    <s v="GENJ60-003"/>
    <s v="Excide rotor rewinding"/>
    <d v="2026-01-19T00:00:00"/>
    <d v="2026-01-19T00:00:00"/>
    <m/>
    <m/>
    <d v="1899-12-30T06:30:00"/>
    <d v="1899-12-30T15:30:00"/>
    <n v="9.0000000000000018"/>
    <x v="2"/>
    <m/>
  </r>
  <r>
    <s v="Electrical"/>
    <x v="40"/>
    <s v="Suhaib"/>
    <x v="5"/>
    <s v="Old B:H pump"/>
    <s v="7nos BH pumps water testing"/>
    <d v="2026-01-19T00:00:00"/>
    <d v="2026-01-19T00:00:00"/>
    <m/>
    <m/>
    <d v="1899-12-30T08:30:00"/>
    <d v="1899-12-30T13:00:00"/>
    <n v="4.4999999999999982"/>
    <x v="2"/>
    <m/>
  </r>
  <r>
    <s v="Electrical"/>
    <x v="40"/>
    <s v="Afsar"/>
    <x v="1"/>
    <m/>
    <m/>
    <m/>
    <m/>
    <m/>
    <m/>
    <d v="1899-12-30T08:30:00"/>
    <d v="1899-12-30T13:00:00"/>
    <n v="4.4999999999999982"/>
    <x v="1"/>
    <m/>
  </r>
  <r>
    <s v="Electrical"/>
    <x v="40"/>
    <s v="Venu"/>
    <x v="4"/>
    <s v="SM530-480"/>
    <s v="Inspection &amp; repair"/>
    <d v="2026-01-17T00:00:00"/>
    <d v="2026-01-19T00:00:00"/>
    <m/>
    <m/>
    <d v="1899-12-30T06:30:00"/>
    <d v="1899-12-30T15:30:00"/>
    <n v="9.0000000000000018"/>
    <x v="3"/>
    <m/>
  </r>
  <r>
    <s v="Electrical"/>
    <x v="40"/>
    <s v="Donald"/>
    <x v="8"/>
    <s v="Spider light"/>
    <s v="SLT018/21/30/32/027/017 6nos tower light for each 30meter cable &amp; 6nos male socket"/>
    <d v="2026-01-19T00:00:00"/>
    <d v="2026-01-19T00:00:00"/>
    <d v="2026-01-19T00:00:00"/>
    <m/>
    <d v="1899-12-30T12:00:00"/>
    <d v="1899-12-30T15:30:00"/>
    <n v="3.5000000000000009"/>
    <x v="0"/>
    <m/>
  </r>
  <r>
    <s v="Electrical"/>
    <x v="40"/>
    <s v="Gulam"/>
    <x v="1"/>
    <m/>
    <m/>
    <m/>
    <m/>
    <m/>
    <m/>
    <d v="1899-12-30T15:30:00"/>
    <d v="1899-12-30T15:30:00"/>
    <n v="0"/>
    <x v="1"/>
    <m/>
  </r>
  <r>
    <s v="Electrical"/>
    <x v="40"/>
    <s v="Venu"/>
    <x v="1"/>
    <m/>
    <m/>
    <m/>
    <m/>
    <m/>
    <m/>
    <d v="1899-12-30T15:30:00"/>
    <d v="1899-12-30T15:30:00"/>
    <n v="0"/>
    <x v="1"/>
    <m/>
  </r>
  <r>
    <s v="Bay 6 -_x000a_Generator"/>
    <x v="40"/>
    <s v="Jagdev"/>
    <x v="9"/>
    <s v="DR-025"/>
    <s v="Motor repair"/>
    <d v="2026-01-19T00:00:00"/>
    <d v="2026-01-19T00:00:00"/>
    <d v="2026-01-19T00:00:00"/>
    <m/>
    <d v="1899-12-30T06:30:00"/>
    <d v="1899-12-30T10:30:00"/>
    <n v="4"/>
    <x v="0"/>
    <m/>
  </r>
  <r>
    <s v="Bay 6 -_x000a_Generator"/>
    <x v="40"/>
    <s v="Anwar"/>
    <x v="2"/>
    <s v="GEN150-037"/>
    <s v="Engine parts cleaning, washing"/>
    <d v="2026-01-15T00:00:00"/>
    <d v="2026-01-17T00:00:00"/>
    <m/>
    <m/>
    <d v="1899-12-30T06:30:00"/>
    <d v="1899-12-30T17:30:00"/>
    <n v="11"/>
    <x v="2"/>
    <m/>
  </r>
  <r>
    <s v="Bay 6 -_x000a_Generator"/>
    <x v="40"/>
    <s v="Suraj"/>
    <x v="1"/>
    <m/>
    <m/>
    <m/>
    <m/>
    <m/>
    <m/>
    <d v="1899-12-30T08:30:00"/>
    <d v="1899-12-30T15:30:00"/>
    <n v="7"/>
    <x v="1"/>
    <m/>
  </r>
  <r>
    <s v="Bay 4&amp;5 - _x000a_Pumps"/>
    <x v="40"/>
    <s v="Jaheer"/>
    <x v="6"/>
    <s v="CD50E-002"/>
    <s v="Water testing"/>
    <d v="2026-01-17T00:00:00"/>
    <d v="2026-01-21T00:00:00"/>
    <d v="2026-01-21T00:00:00"/>
    <m/>
    <d v="1899-12-30T08:30:00"/>
    <d v="1899-12-30T01:00:00"/>
    <n v="16.5"/>
    <x v="0"/>
    <m/>
  </r>
  <r>
    <s v="Bay 4&amp;5 - _x000a_Pumps"/>
    <x v="40"/>
    <s v="Bilal"/>
    <x v="1"/>
    <m/>
    <m/>
    <m/>
    <m/>
    <m/>
    <m/>
    <d v="1899-12-30T08:30:00"/>
    <d v="1899-12-30T01:00:00"/>
    <n v="16.5"/>
    <x v="1"/>
    <m/>
  </r>
  <r>
    <s v="Bay 4&amp;5 - _x000a_Pumps"/>
    <x v="40"/>
    <s v="Jaheer"/>
    <x v="6"/>
    <s v="CD50E-001/004"/>
    <s v="Parts cleaning, cramic coating"/>
    <d v="2026-01-19T00:00:00"/>
    <d v="2026-01-31T00:00:00"/>
    <d v="2026-01-31T00:00:00"/>
    <m/>
    <d v="1899-12-30T14:00:00"/>
    <d v="1899-12-30T17:30:00"/>
    <n v="3.4999999999999982"/>
    <x v="0"/>
    <m/>
  </r>
  <r>
    <s v="Bay 4&amp;5 - _x000a_Pumps"/>
    <x v="40"/>
    <s v="Bilal"/>
    <x v="1"/>
    <m/>
    <m/>
    <m/>
    <m/>
    <m/>
    <m/>
    <d v="1899-12-30T14:00:00"/>
    <d v="1899-12-30T17:30:00"/>
    <n v="3.4999999999999982"/>
    <x v="1"/>
    <m/>
  </r>
  <r>
    <s v="Bay 4&amp;5 - _x000a_Pumps"/>
    <x v="40"/>
    <s v="Asif"/>
    <x v="6"/>
    <s v="CP108-004"/>
    <s v="Engine top end repairing"/>
    <d v="2026-01-17T00:00:00"/>
    <d v="2026-01-21T00:00:00"/>
    <d v="2026-01-21T00:00:00"/>
    <m/>
    <d v="1899-12-30T06:30:00"/>
    <d v="1899-12-30T15:30:00"/>
    <n v="9.0000000000000018"/>
    <x v="0"/>
    <m/>
  </r>
  <r>
    <s v="Bay 4&amp;5 - _x000a_Pumps"/>
    <x v="40"/>
    <s v="Vinod"/>
    <x v="1"/>
    <m/>
    <m/>
    <m/>
    <m/>
    <m/>
    <m/>
    <d v="1899-12-30T06:30:00"/>
    <d v="1899-12-30T15:30:00"/>
    <n v="9.0000000000000018"/>
    <x v="1"/>
    <m/>
  </r>
  <r>
    <s v="Bay 4&amp;5 - _x000a_Pumps"/>
    <x v="40"/>
    <s v="Suresh S"/>
    <x v="0"/>
    <s v="ZD900-032E"/>
    <s v="Pump dismantle &amp; welding"/>
    <d v="2026-01-16T00:00:00"/>
    <d v="2026-01-19T00:00:00"/>
    <d v="2026-01-19T00:00:00"/>
    <m/>
    <d v="1899-12-30T06:30:00"/>
    <d v="1899-12-30T17:30:00"/>
    <n v="11"/>
    <x v="0"/>
    <m/>
  </r>
  <r>
    <s v="Bay 4&amp;5 - _x000a_Pumps"/>
    <x v="40"/>
    <s v="James"/>
    <x v="0"/>
    <s v="CP150-265"/>
    <s v="Pump overhaul"/>
    <d v="2026-01-09T00:00:00"/>
    <d v="2026-01-17T00:00:00"/>
    <m/>
    <m/>
    <d v="1899-12-30T06:30:00"/>
    <d v="1899-12-30T17:30:00"/>
    <n v="11"/>
    <x v="2"/>
    <m/>
  </r>
  <r>
    <s v="Bay 4&amp;5 - _x000a_Pumps"/>
    <x v="40"/>
    <s v="Shaji"/>
    <x v="1"/>
    <m/>
    <m/>
    <m/>
    <m/>
    <m/>
    <m/>
    <d v="1899-12-30T13:00:00"/>
    <d v="1899-12-30T14:00:00"/>
    <n v="1.0000000000000018"/>
    <x v="1"/>
    <m/>
  </r>
  <r>
    <s v="Bay 4&amp;5 - _x000a_Pumps"/>
    <x v="40"/>
    <s v="Harish"/>
    <x v="0"/>
    <s v="CP150-184"/>
    <s v="Pump repair ongoing"/>
    <d v="2026-01-09T00:00:00"/>
    <d v="2026-01-19T00:00:00"/>
    <d v="2026-01-19T00:00:00"/>
    <m/>
    <d v="1899-12-30T06:30:00"/>
    <d v="1899-12-30T17:30:00"/>
    <n v="11"/>
    <x v="0"/>
    <m/>
  </r>
  <r>
    <s v="Bay 4&amp;5 - _x000a_Pumps"/>
    <x v="40"/>
    <s v="Shaji"/>
    <x v="1"/>
    <m/>
    <m/>
    <m/>
    <m/>
    <m/>
    <m/>
    <d v="1899-12-30T08:30:00"/>
    <d v="1899-12-30T10:30:00"/>
    <n v="1.9999999999999996"/>
    <x v="1"/>
    <m/>
  </r>
  <r>
    <s v="Bay 4&amp;5 - _x000a_Pumps"/>
    <x v="40"/>
    <s v="Ismail"/>
    <x v="0"/>
    <s v="CP250-001"/>
    <s v="Pump assembling"/>
    <d v="2026-01-15T00:00:00"/>
    <d v="2026-01-19T00:00:00"/>
    <m/>
    <m/>
    <d v="1899-12-30T06:30:00"/>
    <d v="1899-12-30T17:30:00"/>
    <n v="11"/>
    <x v="2"/>
    <m/>
  </r>
  <r>
    <s v="Bay 4&amp;5 - _x000a_Pumps"/>
    <x v="40"/>
    <s v="Shaji"/>
    <x v="1"/>
    <m/>
    <m/>
    <m/>
    <m/>
    <m/>
    <m/>
    <d v="1899-12-30T10:30:00"/>
    <d v="1899-12-30T12:00:00"/>
    <n v="1.5"/>
    <x v="1"/>
    <m/>
  </r>
  <r>
    <s v="Bay 4&amp;5 - _x000a_Pumps"/>
    <x v="40"/>
    <s v="Mintu"/>
    <x v="0"/>
    <s v="Pressure washer"/>
    <s v="Engine repair for site maintenance"/>
    <d v="2026-01-17T00:00:00"/>
    <d v="2026-01-19T00:00:00"/>
    <d v="2026-01-19T00:00:00"/>
    <m/>
    <d v="1899-12-30T06:30:00"/>
    <d v="1899-12-30T17:30:00"/>
    <n v="11"/>
    <x v="0"/>
    <m/>
  </r>
  <r>
    <s v="Bay 4&amp;5 - _x000a_Pumps"/>
    <x v="40"/>
    <s v="Shaji"/>
    <x v="1"/>
    <m/>
    <m/>
    <m/>
    <m/>
    <m/>
    <m/>
    <d v="1899-12-30T14:00:00"/>
    <d v="1899-12-30T16:00:00"/>
    <n v="1.9999999999999982"/>
    <x v="1"/>
    <m/>
  </r>
  <r>
    <s v="Electrical"/>
    <x v="41"/>
    <s v="Fahad"/>
    <x v="3"/>
    <s v="SPB7.5-003"/>
    <s v="Safety glass, canopy fixing, test &amp; PDI"/>
    <d v="2026-01-13T00:00:00"/>
    <d v="2026-01-20T00:00:00"/>
    <m/>
    <m/>
    <d v="1899-12-30T06:30:00"/>
    <d v="1899-12-30T15:30:00"/>
    <n v="9.0000000000000018"/>
    <x v="2"/>
    <m/>
  </r>
  <r>
    <s v="Electrical"/>
    <x v="41"/>
    <s v="Lijo"/>
    <x v="3"/>
    <s v="SPB7.5-023"/>
    <s v="Safety glass, canopy fixing, test &amp; PDI"/>
    <d v="2026-01-13T00:00:00"/>
    <d v="2026-01-20T00:00:00"/>
    <m/>
    <m/>
    <d v="1899-12-30T08:30:00"/>
    <d v="1899-12-30T17:30:00"/>
    <n v="8.9999999999999982"/>
    <x v="2"/>
    <m/>
  </r>
  <r>
    <s v="Electrical"/>
    <x v="41"/>
    <s v="Sulaiman"/>
    <x v="3"/>
    <s v="SPB3.7"/>
    <s v="Dispatching panels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1"/>
    <s v="Lijo"/>
    <x v="2"/>
    <s v="GENJ60-003"/>
    <s v="Inspection &amp; servicing"/>
    <d v="2026-01-19T00:00:00"/>
    <d v="2026-01-20T00:00:00"/>
    <d v="2026-01-20T00:00:00"/>
    <m/>
    <d v="1899-12-30T06:30:00"/>
    <d v="1899-12-30T17:30:00"/>
    <n v="11"/>
    <x v="0"/>
    <m/>
  </r>
  <r>
    <s v="Electrical"/>
    <x v="41"/>
    <s v="Aman"/>
    <x v="1"/>
    <m/>
    <m/>
    <m/>
    <m/>
    <m/>
    <m/>
    <d v="1899-12-30T06:30:00"/>
    <d v="1899-12-30T17:30:00"/>
    <n v="11"/>
    <x v="1"/>
    <m/>
  </r>
  <r>
    <s v="Electrical"/>
    <x v="41"/>
    <s v="Saqib"/>
    <x v="4"/>
    <s v="SSD22-002"/>
    <s v="Copper cable  removing &amp; rewinding"/>
    <d v="2026-01-20T00:00:00"/>
    <d v="2026-01-20T00:00:00"/>
    <d v="2026-01-20T00:00:00"/>
    <m/>
    <d v="1899-12-30T06:30:00"/>
    <d v="1899-12-30T15:30:00"/>
    <n v="9.0000000000000018"/>
    <x v="0"/>
    <m/>
  </r>
  <r>
    <s v="Electrical"/>
    <x v="41"/>
    <s v="Donald"/>
    <x v="4"/>
    <s v="SM1002-142"/>
    <s v="Inspection &amp; reapair"/>
    <d v="2026-01-19T00:00:00"/>
    <d v="2026-01-20T00:00:00"/>
    <d v="2026-01-20T00:00:00"/>
    <m/>
    <d v="1899-12-30T09:00:00"/>
    <d v="1899-12-30T15:30:00"/>
    <n v="6.5000000000000009"/>
    <x v="0"/>
    <m/>
  </r>
  <r>
    <s v="Electrical"/>
    <x v="41"/>
    <s v="Gulam"/>
    <x v="1"/>
    <m/>
    <m/>
    <m/>
    <m/>
    <m/>
    <m/>
    <d v="1899-12-30T09:00:00"/>
    <d v="1899-12-30T15:30:00"/>
    <n v="6.5000000000000009"/>
    <x v="1"/>
    <m/>
  </r>
  <r>
    <s v="Electrical"/>
    <x v="41"/>
    <s v="Ghiyan"/>
    <x v="2"/>
    <s v="GENJ60-003"/>
    <s v="Excide rotor rewinding"/>
    <d v="2026-01-19T00:00:00"/>
    <d v="2026-01-20T00:00:00"/>
    <d v="2026-01-20T00:00:00"/>
    <m/>
    <d v="1899-12-30T06:30:00"/>
    <d v="1899-12-30T15:30:00"/>
    <n v="9.0000000000000018"/>
    <x v="0"/>
    <m/>
  </r>
  <r>
    <s v="Electrical"/>
    <x v="41"/>
    <s v="Suhaib"/>
    <x v="5"/>
    <s v="Old B:H pump"/>
    <s v="15nos BH pumps inspection &amp; repair"/>
    <d v="2026-01-19T00:00:00"/>
    <d v="2026-01-20T00:00:00"/>
    <d v="2026-01-20T00:00:00"/>
    <m/>
    <d v="1899-12-30T08:30:00"/>
    <d v="1899-12-30T17:30:00"/>
    <n v="8.9999999999999982"/>
    <x v="0"/>
    <m/>
  </r>
  <r>
    <s v="Electrical"/>
    <x v="41"/>
    <s v="Afsar"/>
    <x v="1"/>
    <m/>
    <m/>
    <m/>
    <m/>
    <m/>
    <m/>
    <d v="1899-12-30T08:30:00"/>
    <d v="1899-12-30T17:30:00"/>
    <n v="8.9999999999999982"/>
    <x v="1"/>
    <m/>
  </r>
  <r>
    <s v="Electrical"/>
    <x v="41"/>
    <s v="Venu"/>
    <x v="4"/>
    <s v="SM530-480"/>
    <s v="Inspection &amp; repair"/>
    <d v="2026-01-17T00:00:00"/>
    <d v="2026-01-20T00:00:00"/>
    <d v="2026-01-20T00:00:00"/>
    <m/>
    <d v="1899-12-30T09:00:00"/>
    <d v="1899-12-30T15:30:00"/>
    <n v="6.5000000000000009"/>
    <x v="0"/>
    <m/>
  </r>
  <r>
    <s v="Electrical"/>
    <x v="41"/>
    <s v="Donald"/>
    <x v="8"/>
    <s v="Spider light"/>
    <s v="SLT018/21/30/32/027/017 6nos tower light for each 30meter cable &amp; 6nos male socket"/>
    <d v="2026-01-19T00:00:00"/>
    <d v="2026-01-20T00:00:00"/>
    <d v="2026-01-20T00:00:00"/>
    <m/>
    <d v="1899-12-30T06:30:00"/>
    <d v="1899-12-30T09:00:00"/>
    <n v="2.5000000000000004"/>
    <x v="0"/>
    <m/>
  </r>
  <r>
    <s v="Electrical"/>
    <x v="41"/>
    <s v="Gulam"/>
    <x v="1"/>
    <m/>
    <m/>
    <m/>
    <m/>
    <m/>
    <m/>
    <d v="1899-12-30T06:30:00"/>
    <d v="1899-12-30T09:00:00"/>
    <n v="2.5000000000000004"/>
    <x v="1"/>
    <m/>
  </r>
  <r>
    <s v="Electrical"/>
    <x v="41"/>
    <s v="Venu"/>
    <x v="1"/>
    <m/>
    <m/>
    <m/>
    <m/>
    <m/>
    <m/>
    <d v="1899-12-30T06:30:00"/>
    <d v="1899-12-30T09:00:00"/>
    <n v="2.5000000000000004"/>
    <x v="1"/>
    <m/>
  </r>
  <r>
    <s v="Bay 6 -_x000a_Generator"/>
    <x v="41"/>
    <s v="Suraj"/>
    <x v="2"/>
    <s v="GENJ150-058"/>
    <s v="Final fitting"/>
    <d v="2026-01-20T00:00:00"/>
    <d v="2026-01-20T00:00:00"/>
    <d v="2026-01-20T00:00:00"/>
    <m/>
    <d v="1899-12-30T08:30:00"/>
    <d v="1899-12-30T10:30:00"/>
    <n v="1.9999999999999996"/>
    <x v="0"/>
    <m/>
  </r>
  <r>
    <s v="Bay 6 -_x000a_Generator"/>
    <x v="41"/>
    <s v="Anwar"/>
    <x v="2"/>
    <s v="GEN150-037"/>
    <s v="Engine parts cleaning."/>
    <d v="2026-01-15T00:00:00"/>
    <d v="2026-01-20T00:00:00"/>
    <m/>
    <m/>
    <d v="1899-12-30T06:30:00"/>
    <d v="1899-12-30T15:30:00"/>
    <n v="9.0000000000000018"/>
    <x v="3"/>
    <m/>
  </r>
  <r>
    <s v="Bay 6 -_x000a_Generator"/>
    <x v="41"/>
    <s v="Suraj"/>
    <x v="2"/>
    <s v="GENJ250-043"/>
    <s v="Final fitting, PDI &amp; flowfinity"/>
    <d v="2026-01-20T00:00:00"/>
    <d v="2026-01-20T00:00:00"/>
    <d v="2026-01-20T00:00:00"/>
    <m/>
    <d v="1899-12-30T10:30:00"/>
    <d v="1899-12-30T13:30:00"/>
    <n v="3"/>
    <x v="0"/>
    <m/>
  </r>
  <r>
    <s v="Bay 6 -_x000a_Generator"/>
    <x v="41"/>
    <s v="Suraj"/>
    <x v="2"/>
    <s v="GEN150-004"/>
    <s v="General repair, load test"/>
    <d v="2026-01-20T00:00:00"/>
    <d v="2026-01-20T00:00:00"/>
    <m/>
    <m/>
    <d v="1899-12-30T13:30:00"/>
    <d v="1899-12-30T17:30:00"/>
    <n v="3.9999999999999991"/>
    <x v="3"/>
    <m/>
  </r>
  <r>
    <s v="Bay 6 -_x000a_Generator"/>
    <x v="41"/>
    <s v="Hjagdev"/>
    <x v="8"/>
    <s v="ABI-14/17-001"/>
    <s v="Gearbox repaired onsite."/>
    <d v="2026-01-20T00:00:00"/>
    <d v="2026-01-20T00:00:00"/>
    <d v="2026-01-20T00:00:00"/>
    <m/>
    <d v="1899-12-30T13:30:00"/>
    <d v="1899-12-30T13:30:00"/>
    <n v="0"/>
    <x v="0"/>
    <m/>
  </r>
  <r>
    <s v="Bay 4&amp;5 - _x000a_Pumps"/>
    <x v="41"/>
    <s v="Martino"/>
    <x v="6"/>
    <s v="CP108-004"/>
    <s v="Vaccum pump &amp; fleet number repairing"/>
    <d v="2026-01-20T00:00:00"/>
    <d v="2026-01-21T00:00:00"/>
    <d v="2026-01-21T00:00:00"/>
    <m/>
    <d v="1899-12-30T06:30:00"/>
    <d v="1899-12-30T15:30:00"/>
    <n v="9.0000000000000018"/>
    <x v="0"/>
    <m/>
  </r>
  <r>
    <s v="Bay 4&amp;5 - _x000a_Pumps"/>
    <x v="41"/>
    <s v="Vinod"/>
    <x v="1"/>
    <m/>
    <m/>
    <m/>
    <m/>
    <m/>
    <m/>
    <d v="1899-12-30T06:30:00"/>
    <d v="1899-12-30T15:30:00"/>
    <n v="9.0000000000000018"/>
    <x v="1"/>
    <m/>
  </r>
  <r>
    <s v="Bay 4&amp;5 - _x000a_Pumps"/>
    <x v="41"/>
    <s v="Jaheer"/>
    <x v="6"/>
    <s v="KV500-24"/>
    <s v="Washing pump end flashing, cpoupling inspection &amp; valve repairing"/>
    <d v="2026-01-19T00:00:00"/>
    <d v="2026-01-31T00:00:00"/>
    <d v="2026-01-31T00:00:00"/>
    <m/>
    <d v="1899-12-30T08:30:00"/>
    <d v="1899-12-30T17:30:00"/>
    <n v="8.9999999999999982"/>
    <x v="0"/>
    <m/>
  </r>
  <r>
    <s v="Bay 4&amp;5 - _x000a_Pumps"/>
    <x v="41"/>
    <s v="Bilal"/>
    <x v="1"/>
    <m/>
    <m/>
    <m/>
    <m/>
    <m/>
    <m/>
    <d v="1899-12-30T08:30:00"/>
    <d v="1899-12-30T17:30:00"/>
    <n v="8.9999999999999982"/>
    <x v="1"/>
    <m/>
  </r>
  <r>
    <s v="Bay 4&amp;5 - _x000a_Pumps"/>
    <x v="41"/>
    <s v="Asif"/>
    <x v="8"/>
    <s v="General work"/>
    <s v="Engine top end repairing"/>
    <d v="2026-01-20T00:00:00"/>
    <d v="2026-01-20T00:00:00"/>
    <d v="2026-01-20T00:00:00"/>
    <m/>
    <d v="1899-12-30T06:30:00"/>
    <d v="1899-12-30T15:30:00"/>
    <n v="9.0000000000000018"/>
    <x v="0"/>
    <m/>
  </r>
  <r>
    <s v="Bay 4&amp;5 - _x000a_Pumps"/>
    <x v="41"/>
    <s v="Suresh S"/>
    <x v="0"/>
    <s v="ZD900-032E"/>
    <s v="Pump dismantle &amp; welding, coating"/>
    <d v="2026-01-16T00:00:00"/>
    <d v="2026-01-20T00:00:00"/>
    <d v="2026-01-20T00:00:00"/>
    <m/>
    <d v="1899-12-30T06:30:00"/>
    <d v="1899-12-30T17:30:00"/>
    <n v="11"/>
    <x v="0"/>
    <m/>
  </r>
  <r>
    <s v="Bay 4&amp;5 - _x000a_Pumps"/>
    <x v="41"/>
    <s v="James"/>
    <x v="0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x v="0"/>
    <m/>
  </r>
  <r>
    <s v="Bay 4&amp;5 - _x000a_Pumps"/>
    <x v="41"/>
    <s v="Shaji"/>
    <x v="1"/>
    <m/>
    <m/>
    <m/>
    <m/>
    <m/>
    <m/>
    <d v="1899-12-30T13:00:00"/>
    <d v="1899-12-30T14:00:00"/>
    <n v="1.0000000000000018"/>
    <x v="1"/>
    <m/>
  </r>
  <r>
    <s v="Bay 4&amp;5 - _x000a_Pumps"/>
    <x v="41"/>
    <s v="Harish"/>
    <x v="0"/>
    <s v="CP150-184"/>
    <s v="Pump assembling "/>
    <d v="2026-01-19T00:00:00"/>
    <d v="2026-01-20T00:00:00"/>
    <m/>
    <m/>
    <d v="1899-12-30T06:30:00"/>
    <d v="1899-12-30T10:30:00"/>
    <n v="4"/>
    <x v="2"/>
    <m/>
  </r>
  <r>
    <s v="Bay 4&amp;5 - _x000a_Pumps"/>
    <x v="41"/>
    <s v="Shaji"/>
    <x v="1"/>
    <m/>
    <m/>
    <m/>
    <m/>
    <m/>
    <m/>
    <d v="1899-12-30T08:30:00"/>
    <d v="1899-12-30T10:30:00"/>
    <n v="1.9999999999999996"/>
    <x v="1"/>
    <m/>
  </r>
  <r>
    <s v="Bay 4&amp;5 - _x000a_Pumps"/>
    <x v="41"/>
    <s v="Ismail"/>
    <x v="0"/>
    <s v="CP150-250"/>
    <s v="Engine cylinder head repair"/>
    <d v="2026-01-20T00:00:00"/>
    <d v="2026-01-20T00:00:00"/>
    <d v="2026-01-20T00:00:00"/>
    <m/>
    <d v="1899-12-30T06:30:00"/>
    <d v="1899-12-30T17:30:00"/>
    <n v="11"/>
    <x v="0"/>
    <m/>
  </r>
  <r>
    <s v="Bay 4&amp;5 - _x000a_Pumps"/>
    <x v="41"/>
    <s v="Shaji"/>
    <x v="1"/>
    <m/>
    <m/>
    <m/>
    <m/>
    <m/>
    <m/>
    <d v="1899-12-30T10:30:00"/>
    <d v="1899-12-30T12:00:00"/>
    <n v="1.5"/>
    <x v="1"/>
    <m/>
  </r>
  <r>
    <s v="Bay 4&amp;5 - _x000a_Pumps"/>
    <x v="41"/>
    <s v="Mintu"/>
    <x v="0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x v="0"/>
    <m/>
  </r>
  <r>
    <s v="Bay 4&amp;5 - _x000a_Pumps"/>
    <x v="41"/>
    <s v="Shaji"/>
    <x v="1"/>
    <m/>
    <m/>
    <m/>
    <m/>
    <m/>
    <m/>
    <d v="1899-12-30T14:00:00"/>
    <d v="1899-12-30T16:00:00"/>
    <n v="1.9999999999999982"/>
    <x v="1"/>
    <m/>
  </r>
  <r>
    <s v="Bay 4&amp;5 - _x000a_Pumps"/>
    <x v="41"/>
    <s v="Mintu"/>
    <x v="0"/>
    <s v="PT175-550"/>
    <s v="Pump dismantle for SWI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2"/>
    <s v="Fahad"/>
    <x v="3"/>
    <s v="SPB7.5-109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2"/>
    <s v="Lijo"/>
    <x v="3"/>
    <s v="SPB2.2-034"/>
    <s v="Repair, test &amp; PDI"/>
    <d v="2026-01-21T00:00:00"/>
    <d v="2026-01-21T00:00:00"/>
    <m/>
    <m/>
    <d v="1899-12-30T08:30:00"/>
    <d v="1899-12-30T17:30:00"/>
    <n v="8.9999999999999982"/>
    <x v="3"/>
    <m/>
  </r>
  <r>
    <s v="Electrical"/>
    <x v="42"/>
    <s v="Sulaiman"/>
    <x v="3"/>
    <s v="SPB7.5-085"/>
    <s v="Modification, adding ELCB &amp; safety glass"/>
    <d v="2026-01-21T00:00:00"/>
    <d v="2026-01-24T00:00:00"/>
    <m/>
    <m/>
    <d v="1899-12-30T08:30:00"/>
    <d v="1899-12-30T17:30:00"/>
    <n v="8.9999999999999982"/>
    <x v="2"/>
    <m/>
  </r>
  <r>
    <s v="Electrical"/>
    <x v="42"/>
    <s v="Cherith"/>
    <x v="2"/>
    <s v="GENJ60-003"/>
    <s v="Inspection &amp; assemble"/>
    <d v="2026-01-21T00:00:00"/>
    <d v="2026-01-21T00:00:00"/>
    <d v="2026-01-21T00:00:00"/>
    <m/>
    <d v="1899-12-30T06:30:00"/>
    <d v="1899-12-30T17:30:00"/>
    <n v="11"/>
    <x v="0"/>
    <m/>
  </r>
  <r>
    <s v="Electrical"/>
    <x v="42"/>
    <s v="Aman"/>
    <x v="1"/>
    <m/>
    <m/>
    <m/>
    <m/>
    <m/>
    <m/>
    <d v="1899-12-30T06:30:00"/>
    <d v="1899-12-30T17:30:00"/>
    <n v="11"/>
    <x v="1"/>
    <m/>
  </r>
  <r>
    <s v="Electrical"/>
    <x v="42"/>
    <s v="Donald"/>
    <x v="4"/>
    <s v="SM1002-101"/>
    <s v="Inspection &amp; repair"/>
    <d v="2026-01-21T00:00:00"/>
    <d v="2026-01-21T00:00:00"/>
    <d v="2026-01-21T00:00:00"/>
    <m/>
    <d v="1899-12-30T06:30:00"/>
    <d v="1899-12-30T15:30:00"/>
    <n v="9.0000000000000018"/>
    <x v="0"/>
    <m/>
  </r>
  <r>
    <s v="Electrical"/>
    <x v="42"/>
    <s v="Ghiyan"/>
    <x v="4"/>
    <s v="SM530-551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2"/>
    <s v="Suhaib"/>
    <x v="5"/>
    <s v="Old B:H pump"/>
    <s v="15nos BH pumps inspection &amp; repair"/>
    <d v="2026-01-21T00:00:00"/>
    <d v="2026-01-21T00:00:00"/>
    <d v="2026-01-21T00:00:00"/>
    <m/>
    <d v="1899-12-30T08:30:00"/>
    <d v="1899-12-30T17:30:00"/>
    <n v="8.9999999999999982"/>
    <x v="0"/>
    <m/>
  </r>
  <r>
    <s v="Electrical"/>
    <x v="42"/>
    <s v="Afsar"/>
    <x v="5"/>
    <s v="Old B:H pump"/>
    <s v="5nos pump water testing"/>
    <d v="2026-01-21T00:00:00"/>
    <d v="2026-01-21T00:00:00"/>
    <d v="2026-01-21T00:00:00"/>
    <m/>
    <d v="1899-12-30T08:30:00"/>
    <d v="1899-12-30T13:00:00"/>
    <n v="4.4999999999999982"/>
    <x v="0"/>
    <m/>
  </r>
  <r>
    <s v="Electrical"/>
    <x v="42"/>
    <s v="Venu"/>
    <x v="4"/>
    <s v="SM530-430"/>
    <s v="Inspection &amp; repair"/>
    <d v="2026-01-21T00:00:00"/>
    <d v="2026-01-21T00:00:00"/>
    <m/>
    <m/>
    <d v="1899-12-30T06:30:00"/>
    <d v="1899-12-30T15:30:00"/>
    <n v="9.0000000000000018"/>
    <x v="2"/>
    <m/>
  </r>
  <r>
    <s v="Electrical"/>
    <x v="42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2"/>
    <s v="Gulam"/>
    <x v="4"/>
    <s v="SM530-299"/>
    <s v="Inspection &amp; repair"/>
    <d v="2026-01-21T00:00:00"/>
    <d v="2026-01-21T00:00:00"/>
    <m/>
    <m/>
    <d v="1899-12-30T08:30:00"/>
    <d v="1899-12-30T17:30:00"/>
    <n v="8.9999999999999982"/>
    <x v="2"/>
    <m/>
  </r>
  <r>
    <s v="Bay 6 -_x000a_Generator"/>
    <x v="42"/>
    <s v="Jagdev"/>
    <x v="2"/>
    <s v="GEN250-047"/>
    <s v="Engine &amp; ac alternator motor fix, radiator fix."/>
    <d v="2026-01-21T00:00:00"/>
    <d v="2026-01-21T00:00:00"/>
    <m/>
    <m/>
    <d v="1899-12-30T06:30:00"/>
    <d v="1899-12-30T15:30:00"/>
    <n v="9.0000000000000018"/>
    <x v="2"/>
    <m/>
  </r>
  <r>
    <s v="Bay 6 -_x000a_Generator"/>
    <x v="42"/>
    <s v="Anwar"/>
    <x v="1"/>
    <m/>
    <m/>
    <m/>
    <m/>
    <m/>
    <m/>
    <d v="1899-12-30T06:30:00"/>
    <d v="1899-12-30T08:30:00"/>
    <n v="2.0000000000000009"/>
    <x v="1"/>
    <m/>
  </r>
  <r>
    <s v="Bay 6 -_x000a_Generator"/>
    <x v="42"/>
    <s v="Anwar"/>
    <x v="2"/>
    <s v="GEN80-014"/>
    <s v="General repair, load test"/>
    <d v="2026-01-21T00:00:00"/>
    <d v="2026-01-21T00:00:00"/>
    <m/>
    <m/>
    <d v="1899-12-30T08:30:00"/>
    <d v="1899-12-30T10:30:00"/>
    <n v="1.9999999999999996"/>
    <x v="3"/>
    <m/>
  </r>
  <r>
    <s v="Bay 6 -_x000a_Generator"/>
    <x v="42"/>
    <s v="Suraj"/>
    <x v="1"/>
    <m/>
    <m/>
    <m/>
    <m/>
    <m/>
    <m/>
    <d v="1899-12-30T08:30:00"/>
    <d v="1899-12-30T10:30:00"/>
    <n v="1.9999999999999996"/>
    <x v="1"/>
    <m/>
  </r>
  <r>
    <s v="Bay 6 -_x000a_Generator"/>
    <x v="42"/>
    <s v="Anwar"/>
    <x v="2"/>
    <s v="GEN60-027"/>
    <s v="General repair, load test, water test"/>
    <d v="2026-01-21T00:00:00"/>
    <d v="2026-01-21T00:00:00"/>
    <m/>
    <m/>
    <d v="1899-12-30T13:30:00"/>
    <d v="1899-12-30T13:30:00"/>
    <n v="0"/>
    <x v="3"/>
    <m/>
  </r>
  <r>
    <s v="Bay 6 -_x000a_Generator"/>
    <x v="42"/>
    <s v="Suraj"/>
    <x v="1"/>
    <m/>
    <m/>
    <m/>
    <m/>
    <m/>
    <m/>
    <d v="1899-12-30T10:30:00"/>
    <d v="1899-12-30T13:30:00"/>
    <n v="3"/>
    <x v="1"/>
    <m/>
  </r>
  <r>
    <s v="Bay 6 -_x000a_Generator"/>
    <x v="42"/>
    <s v="Anwar"/>
    <x v="2"/>
    <s v="GEN45-010"/>
    <s v="General repair, load test, water test"/>
    <d v="2026-01-21T00:00:00"/>
    <d v="2026-01-21T00:00:00"/>
    <d v="2026-01-21T00:00:00"/>
    <m/>
    <d v="1899-12-30T09:00:00"/>
    <d v="1899-12-30T14:00:00"/>
    <n v="5.0000000000000009"/>
    <x v="0"/>
    <m/>
  </r>
  <r>
    <s v="Bay 6 -_x000a_Generator"/>
    <x v="42"/>
    <s v="Suraj"/>
    <x v="1"/>
    <m/>
    <m/>
    <m/>
    <m/>
    <m/>
    <m/>
    <d v="1899-12-30T09:00:00"/>
    <d v="1899-12-30T14:00:00"/>
    <n v="5.0000000000000009"/>
    <x v="1"/>
    <m/>
  </r>
  <r>
    <s v="Bay 6 -_x000a_Generator"/>
    <x v="42"/>
    <s v="Suraj"/>
    <x v="2"/>
    <s v="GEN60-027/028"/>
    <s v="General repair, load test, water testing"/>
    <d v="2026-01-21T00:00:00"/>
    <d v="2026-01-21T00:00:00"/>
    <d v="2026-01-21T00:00:00"/>
    <m/>
    <d v="1899-12-30T14:00:00"/>
    <d v="1899-12-30T17:30:00"/>
    <n v="3.4999999999999982"/>
    <x v="0"/>
    <m/>
  </r>
  <r>
    <s v="Bay 4&amp;5 - _x000a_Pumps"/>
    <x v="42"/>
    <s v="Martino"/>
    <x v="6"/>
    <s v="CD225M-03"/>
    <s v="Final fitting &amp; vaccum testing"/>
    <d v="2026-01-21T00:00:00"/>
    <d v="2026-01-21T00:00:00"/>
    <d v="2026-01-21T00:00:00"/>
    <m/>
    <d v="1899-12-30T10:30:00"/>
    <d v="1899-12-30T12:00:00"/>
    <n v="1.5"/>
    <x v="0"/>
    <m/>
  </r>
  <r>
    <s v="Bay 4&amp;5 - _x000a_Pumps"/>
    <x v="42"/>
    <s v="Vinod"/>
    <x v="1"/>
    <m/>
    <m/>
    <m/>
    <m/>
    <m/>
    <m/>
    <d v="1899-12-30T06:30:00"/>
    <d v="1899-12-30T12:00:00"/>
    <n v="5.5"/>
    <x v="1"/>
    <m/>
  </r>
  <r>
    <s v="Bay 4&amp;5 - _x000a_Pumps"/>
    <x v="42"/>
    <s v="Jaheer"/>
    <x v="6"/>
    <s v="CD50E-001"/>
    <s v="Repairing &amp; water testing"/>
    <d v="2026-01-21T00:00:00"/>
    <d v="2026-01-22T00:00:00"/>
    <d v="2026-01-22T00:00:00"/>
    <m/>
    <d v="1899-12-30T08:30:00"/>
    <d v="1899-12-30T13:00:00"/>
    <n v="4.4999999999999982"/>
    <x v="0"/>
    <m/>
  </r>
  <r>
    <s v="Bay 4&amp;5 - _x000a_Pumps"/>
    <x v="42"/>
    <s v="Bilal"/>
    <x v="1"/>
    <m/>
    <m/>
    <m/>
    <m/>
    <m/>
    <m/>
    <d v="1899-12-30T08:30:00"/>
    <d v="1899-12-30T13:00:00"/>
    <n v="4.4999999999999982"/>
    <x v="1"/>
    <m/>
  </r>
  <r>
    <s v="Bay 4&amp;5 - _x000a_Pumps"/>
    <x v="42"/>
    <s v="Asif"/>
    <x v="8"/>
    <s v="General work"/>
    <s v="Engine top end repairing"/>
    <d v="2026-01-21T00:00:00"/>
    <d v="2026-01-21T00:00:00"/>
    <d v="2026-01-21T00:00:00"/>
    <m/>
    <d v="1899-12-30T06:30:00"/>
    <d v="1899-12-30T15:30:00"/>
    <n v="9.0000000000000018"/>
    <x v="0"/>
    <m/>
  </r>
  <r>
    <s v="Bay 4&amp;5 - _x000a_Pumps"/>
    <x v="42"/>
    <s v="Suresh S"/>
    <x v="0"/>
    <s v="ZD900-032E"/>
    <s v="Pump dismantle &amp; welding, coating"/>
    <d v="2026-01-16T00:00:00"/>
    <d v="2026-01-20T00:00:00"/>
    <d v="2026-01-20T00:00:00"/>
    <m/>
    <d v="1899-12-30T06:30:00"/>
    <d v="1899-12-30T17:30:00"/>
    <n v="11"/>
    <x v="0"/>
    <m/>
  </r>
  <r>
    <s v="Bay 4&amp;5 - _x000a_Pumps"/>
    <x v="42"/>
    <s v="James"/>
    <x v="0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x v="0"/>
    <m/>
  </r>
  <r>
    <s v="Bay 4&amp;5 - _x000a_Pumps"/>
    <x v="42"/>
    <s v="Shaji"/>
    <x v="1"/>
    <m/>
    <m/>
    <m/>
    <m/>
    <m/>
    <m/>
    <d v="1899-12-30T13:00:00"/>
    <d v="1899-12-30T14:00:00"/>
    <n v="1.0000000000000018"/>
    <x v="1"/>
    <m/>
  </r>
  <r>
    <s v="Bay 4&amp;5 - _x000a_Pumps"/>
    <x v="42"/>
    <s v="Harish"/>
    <x v="0"/>
    <s v="CP150-184"/>
    <s v="Pump assembling "/>
    <d v="2026-01-19T00:00:00"/>
    <d v="2026-01-20T00:00:00"/>
    <d v="2026-01-20T00:00:00"/>
    <m/>
    <d v="1899-12-30T06:30:00"/>
    <d v="1899-12-30T10:30:00"/>
    <n v="4"/>
    <x v="0"/>
    <m/>
  </r>
  <r>
    <s v="Bay 4&amp;5 - _x000a_Pumps"/>
    <x v="42"/>
    <s v="Shaji"/>
    <x v="1"/>
    <m/>
    <m/>
    <m/>
    <m/>
    <m/>
    <m/>
    <d v="1899-12-30T08:30:00"/>
    <d v="1899-12-30T10:30:00"/>
    <n v="1.9999999999999996"/>
    <x v="1"/>
    <m/>
  </r>
  <r>
    <s v="Bay 4&amp;5 - _x000a_Pumps"/>
    <x v="42"/>
    <s v="Ismail"/>
    <x v="0"/>
    <s v="CP150-250"/>
    <s v="Engine cylinder head repair"/>
    <d v="2026-01-20T00:00:00"/>
    <d v="2026-01-20T00:00:00"/>
    <d v="2026-01-20T00:00:00"/>
    <m/>
    <d v="1899-12-30T06:30:00"/>
    <d v="1899-12-30T17:30:00"/>
    <n v="11"/>
    <x v="0"/>
    <m/>
  </r>
  <r>
    <s v="Bay 4&amp;5 - _x000a_Pumps"/>
    <x v="42"/>
    <s v="Shaji"/>
    <x v="1"/>
    <m/>
    <m/>
    <m/>
    <m/>
    <m/>
    <m/>
    <d v="1899-12-30T10:30:00"/>
    <d v="1899-12-30T12:00:00"/>
    <n v="1.5"/>
    <x v="1"/>
    <m/>
  </r>
  <r>
    <s v="Bay 4&amp;5 - _x000a_Pumps"/>
    <x v="42"/>
    <s v="Mintu"/>
    <x v="0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x v="0"/>
    <m/>
  </r>
  <r>
    <s v="Bay 4&amp;5 - _x000a_Pumps"/>
    <x v="42"/>
    <s v="Shaji"/>
    <x v="1"/>
    <m/>
    <m/>
    <m/>
    <m/>
    <m/>
    <m/>
    <d v="1899-12-30T14:00:00"/>
    <d v="1899-12-30T16:00:00"/>
    <n v="1.9999999999999982"/>
    <x v="1"/>
    <m/>
  </r>
  <r>
    <s v="Bay 4&amp;5 - _x000a_Pumps"/>
    <x v="42"/>
    <s v="Mintu"/>
    <x v="0"/>
    <s v="PT175-550"/>
    <s v="Pump dismantle for SWI"/>
    <d v="2026-01-20T00:00:00"/>
    <d v="2026-01-20T00:00:00"/>
    <d v="2026-01-20T00:00:00"/>
    <m/>
    <d v="1899-12-30T08:30:00"/>
    <d v="1899-12-30T17:30:00"/>
    <n v="8.9999999999999982"/>
    <x v="0"/>
    <m/>
  </r>
  <r>
    <s v="Electrical"/>
    <x v="43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3"/>
    <s v="Lijo"/>
    <x v="3"/>
    <s v="DB-197"/>
    <s v="Repair, test &amp; PDI"/>
    <d v="2026-01-22T00:00:00"/>
    <d v="2026-01-22T00:00:00"/>
    <m/>
    <m/>
    <d v="1899-12-30T08:30:00"/>
    <d v="1899-12-30T17:30:00"/>
    <n v="8.9999999999999982"/>
    <x v="2"/>
    <m/>
  </r>
  <r>
    <s v="Electrical"/>
    <x v="43"/>
    <s v="Sulaiman"/>
    <x v="3"/>
    <s v="SPB7.5-163"/>
    <s v="Modification, adding ELCB &amp; safety glass"/>
    <d v="2026-01-22T00:00:00"/>
    <d v="2026-01-22T00:00:00"/>
    <m/>
    <m/>
    <d v="1899-12-30T08:30:00"/>
    <d v="1899-12-30T17:30:00"/>
    <n v="8.9999999999999982"/>
    <x v="2"/>
    <m/>
  </r>
  <r>
    <s v="Electrical"/>
    <x v="43"/>
    <s v="Cherith"/>
    <x v="5"/>
    <s v="BFM400-002"/>
    <s v="Inspection &amp; repair"/>
    <d v="2026-01-22T00:00:00"/>
    <d v="2026-01-22T00:00:00"/>
    <m/>
    <m/>
    <d v="1899-12-30T06:30:00"/>
    <d v="1899-12-30T17:30:00"/>
    <n v="11"/>
    <x v="2"/>
    <m/>
  </r>
  <r>
    <s v="Electrical"/>
    <x v="43"/>
    <s v="Aman"/>
    <x v="2"/>
    <s v="GENJ250-040"/>
    <s v="copper cable removing for rewinding"/>
    <d v="2026-01-22T00:00:00"/>
    <d v="2026-01-22T00:00:00"/>
    <m/>
    <m/>
    <d v="1899-12-30T08:30:00"/>
    <d v="1899-12-30T17:30:00"/>
    <n v="8.9999999999999982"/>
    <x v="2"/>
    <m/>
  </r>
  <r>
    <s v="Electrical"/>
    <x v="43"/>
    <s v="Donald"/>
    <x v="4"/>
    <s v="SM1002-186"/>
    <s v="Inspection &amp; repair"/>
    <d v="2026-01-22T00:00:00"/>
    <d v="2026-01-22T00:00:00"/>
    <d v="2026-01-22T00:00:00"/>
    <m/>
    <d v="1899-12-30T06:30:00"/>
    <d v="1899-12-30T15:30:00"/>
    <n v="9.0000000000000018"/>
    <x v="0"/>
    <m/>
  </r>
  <r>
    <s v="Electrical"/>
    <x v="43"/>
    <s v="Ghiyan"/>
    <x v="4"/>
    <s v="SM530-551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3"/>
    <s v="Suhaib"/>
    <x v="5"/>
    <s v="Old B:H pump"/>
    <s v="14nos 3.7kw pumps inspection &amp; fleet number tagging"/>
    <d v="2026-01-22T00:00:00"/>
    <d v="2026-01-22T00:00:00"/>
    <d v="2026-01-22T00:00:00"/>
    <m/>
    <d v="1899-12-30T08:30:00"/>
    <d v="1899-12-30T13:00:00"/>
    <n v="4.4999999999999982"/>
    <x v="0"/>
    <m/>
  </r>
  <r>
    <s v="Electrical"/>
    <x v="43"/>
    <s v="Afsar"/>
    <x v="1"/>
    <m/>
    <m/>
    <m/>
    <m/>
    <m/>
    <m/>
    <d v="1899-12-30T08:30:00"/>
    <d v="1899-12-30T13:00:00"/>
    <n v="4.4999999999999982"/>
    <x v="1"/>
    <m/>
  </r>
  <r>
    <s v="Electrical"/>
    <x v="43"/>
    <s v="Venu"/>
    <x v="4"/>
    <s v="SM530-430"/>
    <s v="Inspection &amp; repair"/>
    <d v="2026-01-21T00:00:00"/>
    <d v="2026-01-22T00:00:00"/>
    <d v="2026-01-22T00:00:00"/>
    <m/>
    <d v="1899-12-30T06:30:00"/>
    <d v="1899-12-30T15:30:00"/>
    <n v="9.0000000000000018"/>
    <x v="0"/>
    <m/>
  </r>
  <r>
    <s v="Electrical"/>
    <x v="43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3"/>
    <s v="Gulam"/>
    <x v="2"/>
    <s v="GEN250-047"/>
    <s v="Inspection &amp; repair"/>
    <d v="2026-01-22T00:00:00"/>
    <d v="2026-01-22T00:00:00"/>
    <m/>
    <m/>
    <d v="1899-12-30T08:30:00"/>
    <d v="1899-12-30T12:00:00"/>
    <n v="3.4999999999999996"/>
    <x v="2"/>
    <m/>
  </r>
  <r>
    <s v="Bay 6 -_x000a_Generator"/>
    <x v="43"/>
    <s v="Anwar"/>
    <x v="2"/>
    <s v="GEN250-047"/>
    <s v="Final fitting"/>
    <d v="2026-01-22T00:00:00"/>
    <d v="2026-01-22T00:00:00"/>
    <m/>
    <m/>
    <d v="1899-12-30T06:30:00"/>
    <d v="1899-12-30T13:00:00"/>
    <n v="6.5"/>
    <x v="2"/>
    <m/>
  </r>
  <r>
    <s v="Bay 6 -_x000a_Generator"/>
    <x v="43"/>
    <s v="Suraj"/>
    <x v="2"/>
    <s v="GEN150-004"/>
    <s v="Load test"/>
    <d v="2026-01-22T00:00:00"/>
    <d v="2026-01-22T00:00:00"/>
    <d v="2026-01-22T00:00:00"/>
    <m/>
    <d v="1899-12-30T08:30:00"/>
    <d v="1899-12-30T10:30:00"/>
    <n v="1.9999999999999996"/>
    <x v="0"/>
    <m/>
  </r>
  <r>
    <s v="Bay 6 -_x000a_Generator"/>
    <x v="43"/>
    <s v="Suraj"/>
    <x v="2"/>
    <s v="GEN80-014"/>
    <s v="General repair, load test, "/>
    <d v="2026-01-22T00:00:00"/>
    <d v="2026-01-22T00:00:00"/>
    <m/>
    <m/>
    <d v="1899-12-30T10:30:00"/>
    <d v="1899-12-30T13:30:00"/>
    <n v="3"/>
    <x v="2"/>
    <m/>
  </r>
  <r>
    <s v="Bay 6 -_x000a_Generator"/>
    <x v="43"/>
    <s v="Suraj"/>
    <x v="2"/>
    <s v="GEN100-040"/>
    <s v="General repair, load test, "/>
    <d v="2026-01-22T00:00:00"/>
    <d v="2026-01-22T00:00:00"/>
    <d v="2026-01-22T00:00:00"/>
    <m/>
    <d v="1899-12-30T13:30:00"/>
    <d v="1899-12-30T17:30:00"/>
    <n v="3.9999999999999991"/>
    <x v="0"/>
    <m/>
  </r>
  <r>
    <s v="Bay 4&amp;5 - _x000a_Pumps"/>
    <x v="43"/>
    <s v="Martino"/>
    <x v="6"/>
    <s v="AD1500-004"/>
    <s v="Dsiccant changing."/>
    <d v="2026-01-22T00:00:00"/>
    <d v="2026-01-22T00:00:00"/>
    <d v="2026-01-22T00:00:00"/>
    <m/>
    <d v="1899-12-30T08:30:00"/>
    <d v="1899-12-30T17:30:00"/>
    <n v="8.9999999999999982"/>
    <x v="0"/>
    <m/>
  </r>
  <r>
    <s v="Bay 4&amp;5 - _x000a_Pumps"/>
    <x v="43"/>
    <s v="Vinod"/>
    <x v="1"/>
    <m/>
    <m/>
    <m/>
    <m/>
    <m/>
    <m/>
    <d v="1899-12-30T08:30:00"/>
    <d v="1899-12-30T17:30:00"/>
    <n v="8.9999999999999982"/>
    <x v="1"/>
    <m/>
  </r>
  <r>
    <s v="Bay 4&amp;5 - _x000a_Pumps"/>
    <x v="43"/>
    <s v="Jaheer"/>
    <x v="6"/>
    <s v="CP1818-013"/>
    <s v="Vaccum pump repair"/>
    <d v="2026-01-22T00:00:00"/>
    <d v="2026-01-22T00:00:00"/>
    <d v="2026-01-22T00:00:00"/>
    <m/>
    <d v="1899-12-30T06:30:00"/>
    <d v="1899-12-30T15:30:00"/>
    <n v="9.0000000000000018"/>
    <x v="0"/>
    <m/>
  </r>
  <r>
    <s v="Bay 4&amp;5 - _x000a_Pumps"/>
    <x v="43"/>
    <s v="Bilal"/>
    <x v="6"/>
    <s v="AD1500-004"/>
    <s v="Activation carbon change."/>
    <d v="2026-01-22T00:00:00"/>
    <d v="2026-01-22T00:00:00"/>
    <d v="2026-01-22T00:00:00"/>
    <m/>
    <d v="1899-12-30T06:30:00"/>
    <d v="1899-12-30T15:30:00"/>
    <n v="9.0000000000000018"/>
    <x v="0"/>
    <m/>
  </r>
  <r>
    <s v="Bay 4&amp;5 - _x000a_Pumps"/>
    <x v="43"/>
    <s v="Suresh S"/>
    <x v="0"/>
    <s v="ZD900-032E"/>
    <s v="Pump dismantle &amp; welding, coating"/>
    <d v="2026-01-16T00:00:00"/>
    <d v="2026-01-22T00:00:00"/>
    <d v="2026-01-22T00:00:00"/>
    <m/>
    <d v="1899-12-30T08:30:00"/>
    <d v="1899-12-30T10:30:00"/>
    <n v="1.9999999999999996"/>
    <x v="0"/>
    <m/>
  </r>
  <r>
    <s v="Bay 4&amp;5 - _x000a_Pumps"/>
    <x v="43"/>
    <s v="Suresh S"/>
    <x v="0"/>
    <s v="PT175X11"/>
    <s v="Frame &amp; panel board removing."/>
    <d v="2026-01-22T00:00:00"/>
    <d v="2026-01-22T00:00:00"/>
    <d v="2026-01-22T00:00:00"/>
    <m/>
    <d v="1899-12-30T06:30:00"/>
    <d v="1899-12-30T17:30:00"/>
    <n v="11"/>
    <x v="0"/>
    <m/>
  </r>
  <r>
    <s v="Bay 4&amp;5 - _x000a_Pumps"/>
    <x v="43"/>
    <s v="James"/>
    <x v="0"/>
    <s v="BL150-066"/>
    <s v="Pump repair &amp; water test."/>
    <d v="2026-01-21T00:00:00"/>
    <d v="2026-01-23T00:00:00"/>
    <d v="2026-01-23T00:00:00"/>
    <m/>
    <d v="1899-12-30T08:30:00"/>
    <d v="1899-12-30T17:30:00"/>
    <n v="8.9999999999999982"/>
    <x v="0"/>
    <m/>
  </r>
  <r>
    <s v="Bay 4&amp;5 - _x000a_Pumps"/>
    <x v="43"/>
    <s v="Shaji"/>
    <x v="1"/>
    <m/>
    <m/>
    <m/>
    <m/>
    <m/>
    <m/>
    <d v="1899-12-30T13:00:00"/>
    <d v="1899-12-30T14:00:00"/>
    <n v="1.0000000000000018"/>
    <x v="1"/>
    <m/>
  </r>
  <r>
    <s v="Bay 4&amp;5 - _x000a_Pumps"/>
    <x v="43"/>
    <s v="James"/>
    <x v="0"/>
    <s v="CP150-692"/>
    <s v="pump dismantling"/>
    <d v="2026-01-22T00:00:00"/>
    <d v="2026-01-22T00:00:00"/>
    <d v="2026-01-22T00:00:00"/>
    <m/>
    <d v="1899-12-30T13:30:00"/>
    <d v="1899-12-30T17:30:00"/>
    <n v="3.9999999999999991"/>
    <x v="0"/>
    <m/>
  </r>
  <r>
    <s v="Bay 4&amp;5 - _x000a_Pumps"/>
    <x v="43"/>
    <s v="Ismail"/>
    <x v="0"/>
    <s v="CP150-250"/>
    <s v="Engine &amp; pump assembling ongoing"/>
    <d v="2026-01-20T00:00:00"/>
    <d v="2026-01-22T00:00:00"/>
    <d v="2026-01-22T00:00:00"/>
    <m/>
    <d v="1899-12-30T06:30:00"/>
    <d v="1899-12-30T17:30:00"/>
    <n v="11"/>
    <x v="0"/>
    <m/>
  </r>
  <r>
    <s v="Bay 4&amp;5 - _x000a_Pumps"/>
    <x v="43"/>
    <s v="Shaji"/>
    <x v="1"/>
    <m/>
    <m/>
    <m/>
    <m/>
    <m/>
    <m/>
    <d v="1899-12-30T10:30:00"/>
    <d v="1899-12-30T12:00:00"/>
    <n v="1.5"/>
    <x v="1"/>
    <m/>
  </r>
  <r>
    <s v="Bay 4&amp;5 - _x000a_Pumps"/>
    <x v="43"/>
    <s v="Mintu"/>
    <x v="0"/>
    <s v="PT175-550"/>
    <s v="Pump end coating &amp; assembling"/>
    <d v="2026-01-20T00:00:00"/>
    <d v="2026-01-22T00:00:00"/>
    <d v="2026-01-22T00:00:00"/>
    <m/>
    <d v="1899-12-30T06:30:00"/>
    <d v="1899-12-30T08:30:00"/>
    <n v="2.0000000000000009"/>
    <x v="0"/>
    <m/>
  </r>
  <r>
    <s v="Bay 4&amp;5 - _x000a_Pumps"/>
    <x v="43"/>
    <s v="Shaji"/>
    <x v="1"/>
    <m/>
    <m/>
    <m/>
    <m/>
    <m/>
    <m/>
    <d v="1899-12-30T14:00:00"/>
    <d v="1899-12-30T16:00:00"/>
    <n v="1.9999999999999982"/>
    <x v="1"/>
    <m/>
  </r>
  <r>
    <s v="Electrical"/>
    <x v="44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4"/>
    <s v="Lijo"/>
    <x v="3"/>
    <s v="SPB7.5-023"/>
    <s v="Controol wiring "/>
    <d v="2026-01-22T00:00:00"/>
    <d v="2026-01-23T00:00:00"/>
    <m/>
    <m/>
    <d v="1899-12-30T08:30:00"/>
    <d v="1899-12-30T17:30:00"/>
    <n v="8.9999999999999982"/>
    <x v="2"/>
    <m/>
  </r>
  <r>
    <s v="Electrical"/>
    <x v="44"/>
    <s v="Sulaiman"/>
    <x v="3"/>
    <s v="SPB7.5-163"/>
    <s v="Modification, adding ELCB &amp; safety glass"/>
    <d v="2026-01-22T00:00:00"/>
    <d v="2026-01-23T00:00:00"/>
    <m/>
    <m/>
    <d v="1899-12-30T08:30:00"/>
    <d v="1899-12-30T17:30:00"/>
    <n v="8.9999999999999982"/>
    <x v="2"/>
    <m/>
  </r>
  <r>
    <s v="Electrical"/>
    <x v="44"/>
    <s v="Cherith"/>
    <x v="2"/>
    <s v="GENJ250-040"/>
    <s v="copper cable removing for rewinding"/>
    <d v="2026-01-23T00:00:00"/>
    <d v="2026-01-23T00:00:00"/>
    <m/>
    <m/>
    <d v="1899-12-30T06:30:00"/>
    <d v="1899-12-30T17:30:00"/>
    <n v="11"/>
    <x v="2"/>
    <m/>
  </r>
  <r>
    <s v="Electrical"/>
    <x v="44"/>
    <s v="Aman"/>
    <x v="1"/>
    <m/>
    <m/>
    <m/>
    <m/>
    <m/>
    <m/>
    <d v="1899-12-30T08:30:00"/>
    <d v="1899-12-30T17:30:00"/>
    <n v="8.9999999999999982"/>
    <x v="1"/>
    <m/>
  </r>
  <r>
    <s v="Electrical"/>
    <x v="44"/>
    <s v="Cherith"/>
    <x v="8"/>
    <s v="FM200-125"/>
    <s v="Inspection &amp; repair"/>
    <d v="2026-01-23T00:00:00"/>
    <d v="2026-01-23T00:00:00"/>
    <d v="2026-01-23T00:00:00"/>
    <m/>
    <d v="1899-12-30T10:00:00"/>
    <d v="1899-12-30T12:00:00"/>
    <n v="1.9999999999999996"/>
    <x v="0"/>
    <m/>
  </r>
  <r>
    <s v="Electrical"/>
    <x v="44"/>
    <s v="Donald"/>
    <x v="4"/>
    <s v="SM1002-086"/>
    <s v="Inspection &amp; repair"/>
    <d v="2026-01-23T00:00:00"/>
    <d v="2026-01-23T00:00:00"/>
    <m/>
    <m/>
    <d v="1899-12-30T06:30:00"/>
    <d v="1899-12-30T15:30:00"/>
    <n v="9.0000000000000018"/>
    <x v="2"/>
    <m/>
  </r>
  <r>
    <s v="Electrical"/>
    <x v="44"/>
    <s v="Gulam"/>
    <x v="4"/>
    <s v="AGT-001/002"/>
    <s v="Inspection &amp; testing"/>
    <d v="2026-01-23T00:00:00"/>
    <d v="2026-01-23T00:00:00"/>
    <d v="2026-01-23T00:00:00"/>
    <m/>
    <d v="1899-12-30T08:30:00"/>
    <d v="1899-12-30T12:00:00"/>
    <n v="3.4999999999999996"/>
    <x v="0"/>
    <m/>
  </r>
  <r>
    <s v="Electrical"/>
    <x v="44"/>
    <s v="Donald"/>
    <x v="4"/>
    <s v="SM702-021"/>
    <s v="pump rotor repiar"/>
    <d v="2026-01-23T00:00:00"/>
    <d v="2026-01-23T00:00:00"/>
    <m/>
    <m/>
    <d v="1899-12-30T06:30:00"/>
    <d v="1899-12-30T15:30:00"/>
    <n v="9.0000000000000018"/>
    <x v="2"/>
    <m/>
  </r>
  <r>
    <s v="Electrical"/>
    <x v="44"/>
    <s v="Suhaib"/>
    <x v="5"/>
    <s v="Old B:H pump"/>
    <s v="15nos pumps inspection &amp; repairing"/>
    <d v="2026-01-23T00:00:00"/>
    <d v="2026-01-23T00:00:00"/>
    <m/>
    <m/>
    <d v="1899-12-30T08:30:00"/>
    <d v="1899-12-30T17:30:00"/>
    <n v="8.9999999999999982"/>
    <x v="2"/>
    <m/>
  </r>
  <r>
    <s v="Electrical"/>
    <x v="44"/>
    <s v="Afsar"/>
    <x v="1"/>
    <m/>
    <m/>
    <m/>
    <m/>
    <m/>
    <m/>
    <d v="1899-12-30T08:30:00"/>
    <d v="1899-12-30T17:30:00"/>
    <n v="8.9999999999999982"/>
    <x v="1"/>
    <m/>
  </r>
  <r>
    <s v="Electrical"/>
    <x v="44"/>
    <s v="Venu"/>
    <x v="4"/>
    <s v="SM530-411/291"/>
    <s v="Cable gland/pump dismantling"/>
    <d v="2026-01-23T00:00:00"/>
    <d v="2026-01-23T00:00:00"/>
    <d v="2026-01-23T00:00:00"/>
    <m/>
    <d v="1899-12-30T06:30:00"/>
    <d v="1899-12-30T15:30:00"/>
    <n v="9.0000000000000018"/>
    <x v="0"/>
    <m/>
  </r>
  <r>
    <s v="Electrical"/>
    <x v="44"/>
    <s v="Saqib"/>
    <x v="4"/>
    <s v="SSD22-002"/>
    <s v="Rewinding"/>
    <d v="2026-01-21T00:00:00"/>
    <d v="2026-01-23T00:00:00"/>
    <m/>
    <m/>
    <d v="1899-12-30T06:30:00"/>
    <d v="1899-12-30T15:30:00"/>
    <n v="9.0000000000000018"/>
    <x v="2"/>
    <m/>
  </r>
  <r>
    <s v="Electrical"/>
    <x v="44"/>
    <s v="Ghiyan"/>
    <x v="4"/>
    <s v="SM530-551"/>
    <s v="Rewinding"/>
    <d v="2026-01-23T00:00:00"/>
    <d v="2026-01-23T00:00:00"/>
    <m/>
    <m/>
    <d v="1899-12-30T06:30:00"/>
    <d v="1899-12-30T15:30:00"/>
    <n v="9.0000000000000018"/>
    <x v="2"/>
    <m/>
  </r>
  <r>
    <s v="Bay 6 -_x000a_Generator"/>
    <x v="44"/>
    <s v="Anwar"/>
    <x v="2"/>
    <s v="GEN250-047"/>
    <s v="Final fitting"/>
    <d v="2026-01-22T00:00:00"/>
    <d v="2026-01-22T00:00:00"/>
    <m/>
    <m/>
    <d v="1899-12-30T06:30:00"/>
    <d v="1899-12-30T13:00:00"/>
    <n v="6.5"/>
    <x v="2"/>
    <m/>
  </r>
  <r>
    <s v="Bay 6 -_x000a_Generator"/>
    <x v="44"/>
    <s v="Suraj"/>
    <x v="2"/>
    <s v="GEN150-004"/>
    <s v="Load test"/>
    <d v="2026-01-22T00:00:00"/>
    <d v="2026-01-22T00:00:00"/>
    <m/>
    <m/>
    <d v="1899-12-30T08:30:00"/>
    <d v="1899-12-30T10:30:00"/>
    <n v="1.9999999999999996"/>
    <x v="2"/>
    <m/>
  </r>
  <r>
    <s v="Bay 6 -_x000a_Generator"/>
    <x v="44"/>
    <s v="Suraj"/>
    <x v="2"/>
    <s v="GEN80-014"/>
    <s v="General repair, load test, "/>
    <d v="2026-01-22T00:00:00"/>
    <d v="2026-01-22T00:00:00"/>
    <m/>
    <m/>
    <d v="1899-12-30T10:30:00"/>
    <d v="1899-12-30T13:30:00"/>
    <n v="3"/>
    <x v="2"/>
    <m/>
  </r>
  <r>
    <s v="Bay 6 -_x000a_Generator"/>
    <x v="44"/>
    <s v="Suraj"/>
    <x v="2"/>
    <s v="GEN100-040"/>
    <s v="General repair, load test, "/>
    <d v="2026-01-22T00:00:00"/>
    <d v="2026-01-22T00:00:00"/>
    <m/>
    <m/>
    <d v="1899-12-30T13:30:00"/>
    <d v="1899-12-30T17:30:00"/>
    <n v="3.9999999999999991"/>
    <x v="2"/>
    <m/>
  </r>
  <r>
    <s v="Bay 4&amp;5 - _x000a_Pumps"/>
    <x v="44"/>
    <s v="Jaheer"/>
    <x v="6"/>
    <s v="AD1500-004"/>
    <s v="Activated value, element filter change.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4"/>
    <s v="Bilal"/>
    <x v="1"/>
    <m/>
    <m/>
    <m/>
    <m/>
    <m/>
    <m/>
    <d v="1899-12-30T06:30:00"/>
    <d v="1899-12-30T15:30:00"/>
    <n v="9.0000000000000018"/>
    <x v="1"/>
    <m/>
  </r>
  <r>
    <s v="Bay 4&amp;5 - _x000a_Pumps"/>
    <x v="44"/>
    <s v="Martino"/>
    <x v="6"/>
    <s v="AD1500-004"/>
    <s v="Desiccant change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Vinod"/>
    <x v="1"/>
    <m/>
    <m/>
    <m/>
    <m/>
    <m/>
    <m/>
    <d v="1899-12-30T08:30:00"/>
    <d v="1899-12-30T17:30:00"/>
    <n v="8.9999999999999982"/>
    <x v="1"/>
    <m/>
  </r>
  <r>
    <s v="Bay 4&amp;5 - _x000a_Pumps"/>
    <x v="44"/>
    <s v="Harish"/>
    <x v="0"/>
    <s v="CP150-184"/>
    <s v="Final fitting"/>
    <d v="2026-01-23T00:00:00"/>
    <d v="2026-01-23T00:00:00"/>
    <d v="2026-01-23T00:00:00"/>
    <m/>
    <d v="1899-12-30T06:30:00"/>
    <d v="1899-12-30T08:30:00"/>
    <n v="2.0000000000000009"/>
    <x v="0"/>
    <m/>
  </r>
  <r>
    <s v="Bay 4&amp;5 - _x000a_Pumps"/>
    <x v="44"/>
    <s v="Harish"/>
    <x v="0"/>
    <s v="CP150-259"/>
    <s v="pump assembling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Suresh S"/>
    <x v="0"/>
    <s v="PT175X11"/>
    <s v="Frame removing &amp; fitting."/>
    <d v="2026-01-23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James"/>
    <x v="0"/>
    <s v="CP150-692"/>
    <s v="Pump dismantling"/>
    <d v="2026-01-22T00:00:00"/>
    <d v="2026-01-23T00:00:00"/>
    <d v="2026-01-23T00:00:00"/>
    <m/>
    <d v="1899-12-30T08:30:00"/>
    <d v="1899-12-30T17:30:00"/>
    <n v="8.9999999999999982"/>
    <x v="0"/>
    <m/>
  </r>
  <r>
    <s v="Bay 4&amp;5 - _x000a_Pumps"/>
    <x v="44"/>
    <s v="Shaji"/>
    <x v="1"/>
    <m/>
    <m/>
    <m/>
    <m/>
    <m/>
    <m/>
    <d v="1899-12-30T13:00:00"/>
    <d v="1899-12-30T14:00:00"/>
    <n v="1.0000000000000018"/>
    <x v="1"/>
    <m/>
  </r>
  <r>
    <s v="Bay 4&amp;5 - _x000a_Pumps"/>
    <x v="44"/>
    <s v="Bharathesha"/>
    <x v="0"/>
    <s v="CP150-539"/>
    <s v="Engine dismantling ongoing"/>
    <d v="2026-01-22T00:00:00"/>
    <d v="2026-01-23T00:00:00"/>
    <d v="2026-01-23T00:00:00"/>
    <m/>
    <d v="1899-12-30T06:30:00"/>
    <d v="1899-12-30T17:30:00"/>
    <n v="11"/>
    <x v="0"/>
    <m/>
  </r>
  <r>
    <s v="Bay 4&amp;5 - _x000a_Pumps"/>
    <x v="44"/>
    <s v="Ismail"/>
    <x v="0"/>
    <s v="CP150-250"/>
    <s v="Engine prepare for assembling ongoing"/>
    <d v="2026-01-20T00:00:00"/>
    <d v="2026-01-23T00:00:00"/>
    <d v="2026-01-23T00:00:00"/>
    <m/>
    <d v="1899-12-30T06:30:00"/>
    <d v="1899-12-30T17:30:00"/>
    <n v="11"/>
    <x v="0"/>
    <m/>
  </r>
  <r>
    <s v="Bay 4&amp;5 - _x000a_Pumps"/>
    <x v="44"/>
    <s v="Shaji"/>
    <x v="1"/>
    <m/>
    <m/>
    <m/>
    <m/>
    <m/>
    <m/>
    <d v="1899-12-30T10:30:00"/>
    <d v="1899-12-30T12:00:00"/>
    <n v="1.5"/>
    <x v="1"/>
    <m/>
  </r>
  <r>
    <s v="Bay 4&amp;5 - _x000a_Pumps"/>
    <x v="44"/>
    <s v="Mintu"/>
    <x v="0"/>
    <s v="PT175-550"/>
    <s v="Pump end preparing and assembling"/>
    <d v="2026-01-20T00:00:00"/>
    <d v="2026-01-23T00:00:00"/>
    <d v="2026-01-23T00:00:00"/>
    <m/>
    <d v="1899-12-30T06:30:00"/>
    <d v="1899-12-30T17:30:00"/>
    <n v="11"/>
    <x v="0"/>
    <m/>
  </r>
  <r>
    <s v="Bay 4&amp;5 - _x000a_Pumps"/>
    <x v="44"/>
    <s v="Shaji"/>
    <x v="1"/>
    <m/>
    <m/>
    <m/>
    <m/>
    <m/>
    <m/>
    <d v="1899-12-30T14:00:00"/>
    <d v="1899-12-30T16:00:00"/>
    <n v="1.9999999999999982"/>
    <x v="1"/>
    <m/>
  </r>
  <r>
    <s v="Electrical"/>
    <x v="45"/>
    <s v="Fahad"/>
    <x v="3"/>
    <s v="SPB7.5-163"/>
    <s v="Modification, adding ELCB &amp; safety glass"/>
    <d v="2026-01-21T00:00:00"/>
    <d v="2026-01-24T00:00:00"/>
    <m/>
    <m/>
    <d v="1899-12-30T06:30:00"/>
    <d v="1899-12-30T15:30:00"/>
    <n v="9.0000000000000018"/>
    <x v="2"/>
    <m/>
  </r>
  <r>
    <s v="Electrical"/>
    <x v="45"/>
    <s v="Lijo"/>
    <x v="3"/>
    <s v="SPB7.5-023"/>
    <s v="Controol wiring "/>
    <d v="2026-01-22T00:00:00"/>
    <d v="2026-01-24T00:00:00"/>
    <m/>
    <m/>
    <d v="1899-12-30T08:30:00"/>
    <d v="1899-12-30T17:30:00"/>
    <n v="8.9999999999999982"/>
    <x v="2"/>
    <m/>
  </r>
  <r>
    <s v="Electrical"/>
    <x v="45"/>
    <s v="Sulaiman"/>
    <x v="3"/>
    <s v="SPB7.5-163"/>
    <s v="Modification, adding ELCB &amp; safety glass"/>
    <d v="2026-01-22T00:00:00"/>
    <d v="2026-01-24T00:00:00"/>
    <m/>
    <m/>
    <d v="1899-12-30T08:30:00"/>
    <d v="1899-12-30T17:30:00"/>
    <n v="8.9999999999999982"/>
    <x v="2"/>
    <m/>
  </r>
  <r>
    <s v="Electrical"/>
    <x v="45"/>
    <s v="Cherith"/>
    <x v="2"/>
    <s v="GENJ250-040"/>
    <s v="copper cable removing for rewinding"/>
    <d v="2026-01-23T00:00:00"/>
    <d v="2026-01-24T00:00:00"/>
    <m/>
    <m/>
    <d v="1899-12-30T08:30:00"/>
    <d v="1899-12-30T17:30:00"/>
    <n v="8.9999999999999982"/>
    <x v="2"/>
    <m/>
  </r>
  <r>
    <s v="Electrical"/>
    <x v="45"/>
    <s v="Aman"/>
    <x v="1"/>
    <m/>
    <m/>
    <m/>
    <m/>
    <m/>
    <m/>
    <d v="1899-12-30T08:30:00"/>
    <d v="1899-12-30T17:30:00"/>
    <n v="8.9999999999999982"/>
    <x v="1"/>
    <m/>
  </r>
  <r>
    <s v="Electrical"/>
    <x v="45"/>
    <s v="Cherith"/>
    <x v="8"/>
    <s v="FM200-125"/>
    <s v="Inspection &amp; repair"/>
    <d v="2026-01-23T00:00:00"/>
    <d v="2026-01-23T00:00:00"/>
    <m/>
    <m/>
    <d v="1899-12-30T10:00:00"/>
    <d v="1899-12-30T12:00:00"/>
    <n v="1.9999999999999996"/>
    <x v="2"/>
    <m/>
  </r>
  <r>
    <s v="Electrical"/>
    <x v="45"/>
    <s v="Donald"/>
    <x v="4"/>
    <s v="SM1002-101/186/086SM530-430/411/291_x000a_SM1002-101/186/086"/>
    <s v="water testing"/>
    <d v="2026-01-24T00:00:00"/>
    <d v="2026-01-24T00:00:00"/>
    <d v="2026-01-24T00:00:00"/>
    <m/>
    <d v="1899-12-30T08:30:00"/>
    <d v="1899-12-30T17:30:00"/>
    <n v="8.9999999999999982"/>
    <x v="0"/>
    <m/>
  </r>
  <r>
    <s v="Electrical"/>
    <x v="45"/>
    <s v="Gulam"/>
    <x v="1"/>
    <m/>
    <m/>
    <m/>
    <m/>
    <m/>
    <m/>
    <d v="1899-12-30T08:30:00"/>
    <d v="1899-12-30T17:30:00"/>
    <n v="8.9999999999999982"/>
    <x v="1"/>
    <m/>
  </r>
  <r>
    <s v="Electrical"/>
    <x v="45"/>
    <s v="Ghiyan"/>
    <x v="4"/>
    <s v="SM530-551"/>
    <s v="Rewinding"/>
    <d v="2026-01-23T00:00:00"/>
    <d v="2026-01-24T00:00:00"/>
    <d v="2026-01-24T00:00:00"/>
    <m/>
    <d v="1899-12-30T06:30:00"/>
    <d v="1899-12-30T15:30:00"/>
    <n v="9.0000000000000018"/>
    <x v="0"/>
    <m/>
  </r>
  <r>
    <s v="Electrical"/>
    <x v="45"/>
    <s v="Suhaib"/>
    <x v="5"/>
    <s v="Old B:H pump"/>
    <s v="15nos pumps inspection &amp; repairing, cable joint pump"/>
    <d v="2026-01-24T00:00:00"/>
    <d v="2026-01-24T00:00:00"/>
    <m/>
    <m/>
    <d v="1899-12-30T08:30:00"/>
    <d v="1899-12-30T17:30:00"/>
    <n v="8.9999999999999982"/>
    <x v="2"/>
    <m/>
  </r>
  <r>
    <s v="Electrical"/>
    <x v="45"/>
    <s v="Afsar"/>
    <x v="1"/>
    <m/>
    <m/>
    <m/>
    <m/>
    <m/>
    <m/>
    <d v="1899-12-30T08:30:00"/>
    <d v="1899-12-30T17:30:00"/>
    <n v="8.9999999999999982"/>
    <x v="1"/>
    <m/>
  </r>
  <r>
    <s v="Electrical"/>
    <x v="45"/>
    <s v="Venu"/>
    <x v="4"/>
    <s v="SM530-551"/>
    <s v="Pump dismantle &amp; repair"/>
    <d v="2026-01-24T00:00:00"/>
    <d v="2026-01-26T00:00:00"/>
    <d v="2026-01-26T00:00:00"/>
    <m/>
    <d v="1899-12-30T06:30:00"/>
    <d v="1899-12-30T15:30:00"/>
    <n v="9.0000000000000018"/>
    <x v="0"/>
    <m/>
  </r>
  <r>
    <s v="Electrical"/>
    <x v="45"/>
    <s v="Venu"/>
    <x v="4"/>
    <s v="SM530-358"/>
    <s v="Pump dismantle "/>
    <d v="2026-01-24T00:00:00"/>
    <d v="2026-01-24T00:00:00"/>
    <d v="2026-01-24T00:00:00"/>
    <m/>
    <d v="1899-12-30T13:00:00"/>
    <d v="1899-12-30T15:30:00"/>
    <n v="2.5000000000000018"/>
    <x v="0"/>
    <m/>
  </r>
  <r>
    <s v="Electrical"/>
    <x v="45"/>
    <s v="Saqib"/>
    <x v="4"/>
    <s v="SSD22-002"/>
    <s v="Rewinding"/>
    <d v="2026-01-21T00:00:00"/>
    <d v="2026-01-24T00:00:00"/>
    <m/>
    <m/>
    <d v="1899-12-30T06:30:00"/>
    <d v="1899-12-30T15:30:00"/>
    <n v="9.0000000000000018"/>
    <x v="2"/>
    <m/>
  </r>
  <r>
    <s v="Bay 6 -_x000a_Generator"/>
    <x v="45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5"/>
    <s v="Suraj"/>
    <x v="2"/>
    <s v="GENP100-127"/>
    <s v="General repair"/>
    <d v="2026-01-24T00:00:00"/>
    <d v="2026-01-24T00:00:00"/>
    <d v="2026-01-24T00:00:00"/>
    <m/>
    <d v="1899-12-30T08:30:00"/>
    <d v="1899-12-30T13:30:00"/>
    <n v="5"/>
    <x v="0"/>
    <m/>
  </r>
  <r>
    <s v="Bay 6 -_x000a_Generator"/>
    <x v="45"/>
    <s v="Anwar"/>
    <x v="2"/>
    <s v="GEN80-014"/>
    <s v="Fuel line repair, load test"/>
    <d v="2026-01-24T00:00:00"/>
    <d v="2026-01-24T00:00:00"/>
    <d v="2026-01-24T00:00:00"/>
    <m/>
    <d v="1899-12-30T01:30:00"/>
    <d v="1899-12-30T15:30:00"/>
    <n v="14"/>
    <x v="0"/>
    <m/>
  </r>
  <r>
    <s v="Bay 6 -_x000a_Generator"/>
    <x v="45"/>
    <s v="Suraj"/>
    <x v="1"/>
    <m/>
    <m/>
    <m/>
    <m/>
    <m/>
    <m/>
    <d v="1899-12-30T01:30:00"/>
    <d v="1899-12-30T15:30:00"/>
    <n v="14"/>
    <x v="1"/>
    <m/>
  </r>
  <r>
    <s v="Bay 6 -_x000a_Generator"/>
    <x v="45"/>
    <s v="Suraj"/>
    <x v="2"/>
    <s v="GENJ100-008"/>
    <s v="General repair, starting problem, load test"/>
    <d v="2026-01-24T00:00:00"/>
    <d v="2026-01-24T00:00:00"/>
    <d v="2026-01-24T00:00:00"/>
    <m/>
    <d v="1899-12-30T15:30:00"/>
    <d v="1899-12-30T17:30:00"/>
    <n v="1.9999999999999982"/>
    <x v="0"/>
    <m/>
  </r>
  <r>
    <s v="Bay 6 -_x000a_Generator"/>
    <x v="45"/>
    <s v="Jagdev"/>
    <x v="2"/>
    <s v="GEN250-047"/>
    <s v="Inlet manifold &amp; door fixing"/>
    <d v="2026-01-24T00:00:00"/>
    <d v="2026-01-24T00:00:00"/>
    <m/>
    <m/>
    <d v="1899-12-30T09:30:00"/>
    <d v="1899-12-30T15:30:00"/>
    <n v="6.0000000000000018"/>
    <x v="2"/>
    <m/>
  </r>
  <r>
    <s v="Bay 4&amp;5 - _x000a_Pumps"/>
    <x v="45"/>
    <s v="Martino"/>
    <x v="6"/>
    <s v="AD1500-004"/>
    <s v="Actuator pipe connecting &amp; intercooler fixing"/>
    <d v="2026-01-23T00:00:00"/>
    <d v="2026-01-31T00:00:00"/>
    <d v="2026-01-31T00:00:00"/>
    <m/>
    <d v="1899-12-30T08:30:00"/>
    <d v="1899-12-30T17:30:00"/>
    <n v="8.9999999999999982"/>
    <x v="0"/>
    <m/>
  </r>
  <r>
    <s v="Bay 4&amp;5 - _x000a_Pumps"/>
    <x v="45"/>
    <s v="Bilal"/>
    <x v="1"/>
    <m/>
    <m/>
    <m/>
    <m/>
    <m/>
    <m/>
    <d v="1899-12-30T06:30:00"/>
    <d v="1899-12-30T15:30:00"/>
    <n v="9.0000000000000018"/>
    <x v="1"/>
    <m/>
  </r>
  <r>
    <s v="Bay 4&amp;5 - _x000a_Pumps"/>
    <x v="45"/>
    <s v="Zaheer"/>
    <x v="6"/>
    <s v="AD1500-004"/>
    <s v="Air motor repair"/>
    <d v="2026-01-24T00:00:00"/>
    <d v="2026-01-31T00:00:00"/>
    <d v="2026-01-31T00:00:00"/>
    <m/>
    <d v="1899-12-30T08:30:00"/>
    <d v="1899-12-30T17:30:00"/>
    <n v="8.9999999999999982"/>
    <x v="0"/>
    <m/>
  </r>
  <r>
    <s v="Bay 4&amp;5 - _x000a_Pumps"/>
    <x v="45"/>
    <s v="Vinod"/>
    <x v="6"/>
    <s v="CD225M-03"/>
    <m/>
    <d v="2026-01-24T00:00:00"/>
    <d v="2026-01-24T00:00:00"/>
    <d v="2026-01-24T00:00:00"/>
    <m/>
    <d v="1899-12-30T08:30:00"/>
    <d v="1899-12-30T13:30:00"/>
    <n v="5"/>
    <x v="0"/>
    <m/>
  </r>
  <r>
    <s v="Bay 4&amp;5 - _x000a_Pumps"/>
    <x v="45"/>
    <s v="Suresh S"/>
    <x v="0"/>
    <s v="CP150X3"/>
    <s v="Pump repair"/>
    <d v="2026-01-24T00:00:00"/>
    <d v="2026-01-24T00:00:00"/>
    <d v="2026-01-24T00:00:00"/>
    <m/>
    <d v="1899-12-30T06:30:00"/>
    <d v="1899-12-30T16:30:00"/>
    <n v="10"/>
    <x v="0"/>
    <m/>
  </r>
  <r>
    <s v="Bay 4&amp;5 - _x000a_Pumps"/>
    <x v="45"/>
    <s v="Suresh S"/>
    <x v="0"/>
    <s v="PT175X11"/>
    <s v="Frame &amp; panel board removing &amp; refitting"/>
    <d v="2026-01-24T00:00:00"/>
    <d v="2026-01-24T00:00:00"/>
    <d v="2026-01-24T00:00:00"/>
    <m/>
    <d v="1899-12-30T08:30:00"/>
    <d v="1899-12-30T17:30:00"/>
    <n v="8.9999999999999982"/>
    <x v="0"/>
    <m/>
  </r>
  <r>
    <s v="Bay 4&amp;5 - _x000a_Pumps"/>
    <x v="45"/>
    <s v="Bharathesha"/>
    <x v="0"/>
    <s v="CP150-539"/>
    <s v="Engine prepare for assembling"/>
    <d v="2026-01-22T00:00:00"/>
    <d v="2026-01-29T00:00:00"/>
    <d v="2026-01-29T00:00:00"/>
    <m/>
    <d v="1899-12-30T06:30:00"/>
    <d v="1899-12-30T17:30:00"/>
    <n v="11"/>
    <x v="0"/>
    <m/>
  </r>
  <r>
    <s v="Bay 4&amp;5 - _x000a_Pumps"/>
    <x v="45"/>
    <s v="Harish"/>
    <x v="0"/>
    <s v="CP150-259"/>
    <s v="Pump assembling &amp; water test"/>
    <d v="2026-01-22T00:00:00"/>
    <d v="2026-01-24T00:00:00"/>
    <d v="2026-01-24T00:00:00"/>
    <m/>
    <d v="1899-12-30T08:30:00"/>
    <d v="1899-12-30T17:30:00"/>
    <n v="8.9999999999999982"/>
    <x v="0"/>
    <m/>
  </r>
  <r>
    <s v="Bay 4&amp;5 - _x000a_Pumps"/>
    <x v="45"/>
    <s v="James"/>
    <x v="0"/>
    <s v="CP150-692"/>
    <s v="Pump prepare for assembling"/>
    <d v="2026-01-22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3:00:00"/>
    <d v="1899-12-30T14:00:00"/>
    <n v="1.0000000000000018"/>
    <x v="1"/>
    <m/>
  </r>
  <r>
    <s v="Bay 4&amp;5 - _x000a_Pumps"/>
    <x v="45"/>
    <s v="Ismail"/>
    <x v="0"/>
    <s v="CP150-250"/>
    <s v="Engine prepare for assembling ongo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0:30:00"/>
    <d v="1899-12-30T12:00:00"/>
    <n v="1.5"/>
    <x v="1"/>
    <m/>
  </r>
  <r>
    <s v="Bay 4&amp;5 - _x000a_Pumps"/>
    <x v="45"/>
    <s v="Mintu"/>
    <x v="0"/>
    <s v="PT175-550"/>
    <s v="Pump assembl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5"/>
    <s v="Shaji"/>
    <x v="1"/>
    <m/>
    <m/>
    <m/>
    <m/>
    <m/>
    <m/>
    <d v="1899-12-30T14:00:00"/>
    <d v="1899-12-30T16:00:00"/>
    <n v="1.9999999999999982"/>
    <x v="1"/>
    <m/>
  </r>
  <r>
    <s v="Electrical"/>
    <x v="46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6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6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6"/>
    <s v="Cherith"/>
    <x v="2"/>
    <s v="GENJ250-040"/>
    <s v="copper cable removing for rewinding"/>
    <d v="2026-01-26T00:00:00"/>
    <d v="2026-01-28T00:00:00"/>
    <m/>
    <m/>
    <d v="1899-12-30T06:30:00"/>
    <d v="1899-12-30T17:30:00"/>
    <n v="11"/>
    <x v="2"/>
    <m/>
  </r>
  <r>
    <s v="Electrical"/>
    <x v="46"/>
    <s v="Aman"/>
    <x v="1"/>
    <m/>
    <m/>
    <m/>
    <m/>
    <m/>
    <m/>
    <d v="1899-12-30T06:30:00"/>
    <d v="1899-12-30T17:30:00"/>
    <n v="11"/>
    <x v="1"/>
    <m/>
  </r>
  <r>
    <s v="Electrical"/>
    <x v="46"/>
    <s v="Donald"/>
    <x v="4"/>
    <s v="SM1002-273"/>
    <s v="Inspection &amp; repair"/>
    <d v="2026-01-26T00:00:00"/>
    <d v="2026-01-26T00:00:00"/>
    <m/>
    <m/>
    <d v="1899-12-30T06:30:00"/>
    <d v="1899-12-30T15:30:00"/>
    <n v="9.0000000000000018"/>
    <x v="2"/>
    <m/>
  </r>
  <r>
    <s v="Electrical"/>
    <x v="46"/>
    <s v="Ghiyan"/>
    <x v="4"/>
    <s v="SM530-380"/>
    <s v="Rewinding"/>
    <d v="2026-01-26T00:00:00"/>
    <d v="2026-01-27T00:00:00"/>
    <m/>
    <m/>
    <d v="1899-12-30T06:30:00"/>
    <d v="1899-12-30T15:30:00"/>
    <n v="9.0000000000000018"/>
    <x v="2"/>
    <m/>
  </r>
  <r>
    <s v="Electrical"/>
    <x v="46"/>
    <s v="Suhaib"/>
    <x v="5"/>
    <s v="Old B:H pump"/>
    <s v="25nos pumps inspection &amp; repairing, scrap"/>
    <d v="2026-01-24T00:00:00"/>
    <d v="2026-01-26T00:00:00"/>
    <m/>
    <m/>
    <d v="1899-12-30T08:30:00"/>
    <d v="1899-12-30T17:30:00"/>
    <n v="8.9999999999999982"/>
    <x v="2"/>
    <m/>
  </r>
  <r>
    <s v="Electrical"/>
    <x v="46"/>
    <s v="Afsar"/>
    <x v="1"/>
    <m/>
    <m/>
    <m/>
    <m/>
    <m/>
    <m/>
    <d v="1899-12-30T08:30:00"/>
    <d v="1899-12-30T17:30:00"/>
    <n v="8.9999999999999982"/>
    <x v="1"/>
    <m/>
  </r>
  <r>
    <s v="Electrical"/>
    <x v="46"/>
    <s v="Venu"/>
    <x v="4"/>
    <s v="SM530-551"/>
    <s v="Pump assemble"/>
    <d v="2026-01-26T00:00:00"/>
    <d v="2026-01-26T00:00:00"/>
    <d v="2026-01-26T00:00:00"/>
    <m/>
    <d v="1899-12-30T06:30:00"/>
    <d v="1899-12-30T15:30:00"/>
    <n v="9.0000000000000018"/>
    <x v="0"/>
    <m/>
  </r>
  <r>
    <s v="Electrical"/>
    <x v="46"/>
    <s v="Gulam"/>
    <x v="4"/>
    <s v="SDW40N-1005/004"/>
    <s v="Inspection &amp; dismantle"/>
    <d v="2026-01-26T00:00:00"/>
    <d v="2026-01-26T00:00:00"/>
    <d v="2026-01-26T00:00:00"/>
    <m/>
    <d v="1899-12-30T08:30:00"/>
    <d v="1899-12-30T17:30:00"/>
    <n v="8.9999999999999982"/>
    <x v="0"/>
    <m/>
  </r>
  <r>
    <s v="Electrical"/>
    <x v="46"/>
    <s v="Saqib"/>
    <x v="4"/>
    <s v="SSD22-002"/>
    <s v="Rewinding"/>
    <d v="2026-01-21T00:00:00"/>
    <d v="2026-01-26T00:00:00"/>
    <d v="2026-01-26T00:00:00"/>
    <m/>
    <d v="1899-12-30T08:30:00"/>
    <d v="1899-12-30T13:00:00"/>
    <n v="4.4999999999999982"/>
    <x v="0"/>
    <m/>
  </r>
  <r>
    <s v="Bay 6 -_x000a_Generator"/>
    <x v="46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6"/>
    <s v="Jagdev"/>
    <x v="2"/>
    <s v="GEN150-037"/>
    <s v="Engine parts cleaning, washing"/>
    <d v="2026-01-26T00:00:00"/>
    <d v="2026-01-26T00:00:00"/>
    <m/>
    <m/>
    <d v="1899-12-30T06:30:00"/>
    <d v="1899-12-30T15:30:00"/>
    <n v="9.0000000000000018"/>
    <x v="2"/>
    <m/>
  </r>
  <r>
    <s v="Bay 6 -_x000a_Generator"/>
    <x v="46"/>
    <s v="Suraj"/>
    <x v="1"/>
    <m/>
    <m/>
    <m/>
    <m/>
    <m/>
    <m/>
    <d v="1899-12-30T08:30:00"/>
    <d v="1899-12-30T17:30:00"/>
    <n v="8.9999999999999982"/>
    <x v="1"/>
    <m/>
  </r>
  <r>
    <s v="Bay 6 -_x000a_Generator"/>
    <x v="46"/>
    <s v="Anwar"/>
    <x v="2"/>
    <s v="GEN250-047"/>
    <s v="Manifold &amp; safety guard fixing"/>
    <d v="2026-01-24T00:00:00"/>
    <d v="2026-01-26T00:00:00"/>
    <d v="2026-01-26T00:00:00"/>
    <m/>
    <d v="1899-12-30T06:30:00"/>
    <d v="1899-12-30T10:30:00"/>
    <n v="4"/>
    <x v="0"/>
    <m/>
  </r>
  <r>
    <s v="Bay 4&amp;5 - _x000a_Pumps"/>
    <x v="46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6"/>
    <s v="Bilal"/>
    <x v="1"/>
    <m/>
    <m/>
    <m/>
    <m/>
    <m/>
    <m/>
    <d v="1899-12-30T06:30:00"/>
    <d v="1899-12-30T15:30:00"/>
    <n v="9.0000000000000018"/>
    <x v="1"/>
    <m/>
  </r>
  <r>
    <s v="Bay 4&amp;5 - _x000a_Pumps"/>
    <x v="46"/>
    <s v="Martino"/>
    <x v="6"/>
    <s v="CP1818-013"/>
    <s v="Vaccum pump repair"/>
    <d v="2026-01-26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Vinod"/>
    <x v="6"/>
    <s v="KV550-01"/>
    <s v="Insppection, washing, repair"/>
    <d v="2026-01-26T00:00:00"/>
    <d v="2026-01-28T00:00:00"/>
    <d v="2026-01-28T00:00:00"/>
    <m/>
    <d v="1899-12-30T08:30:00"/>
    <d v="1899-12-30T13:00:00"/>
    <n v="4.4999999999999982"/>
    <x v="0"/>
    <m/>
  </r>
  <r>
    <s v="Bay 4&amp;5 - _x000a_Pumps"/>
    <x v="46"/>
    <s v="Suresh S"/>
    <x v="0"/>
    <s v="CP150X3"/>
    <s v="Pump repair"/>
    <d v="2026-01-24T00:00:00"/>
    <d v="2026-01-26T00:00:00"/>
    <d v="2026-01-26T00:00:00"/>
    <m/>
    <d v="1899-12-30T06:30:00"/>
    <d v="1899-12-30T16:30:00"/>
    <n v="10"/>
    <x v="0"/>
    <m/>
  </r>
  <r>
    <s v="Bay 4&amp;5 - _x000a_Pumps"/>
    <x v="46"/>
    <s v="Suresh"/>
    <x v="0"/>
    <s v="PT175X11"/>
    <s v="Frame &amp; panel board removing &amp; refitting"/>
    <d v="2026-01-24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Bharathesha"/>
    <x v="0"/>
    <s v="CP150-539"/>
    <s v="Engine prepare for assembling"/>
    <d v="2026-01-22T00:00:00"/>
    <d v="2026-01-26T00:00:00"/>
    <d v="2026-01-26T00:00:00"/>
    <m/>
    <d v="1899-12-30T06:30:00"/>
    <d v="1899-12-30T17:30:00"/>
    <n v="11"/>
    <x v="0"/>
    <m/>
  </r>
  <r>
    <s v="Bay 4&amp;5 - _x000a_Pumps"/>
    <x v="46"/>
    <s v="Harish"/>
    <x v="0"/>
    <s v="CP150-259"/>
    <s v="Pump assembling &amp; water test"/>
    <d v="2026-01-22T00:00:00"/>
    <d v="2026-01-26T00:00:00"/>
    <d v="2026-01-26T00:00:00"/>
    <m/>
    <d v="1899-12-30T08:30:00"/>
    <d v="1899-12-30T17:30:00"/>
    <n v="8.9999999999999982"/>
    <x v="0"/>
    <m/>
  </r>
  <r>
    <s v="Bay 4&amp;5 - _x000a_Pumps"/>
    <x v="46"/>
    <s v="James"/>
    <x v="0"/>
    <s v="CP150-692"/>
    <s v="Pump assembling &amp; water test"/>
    <d v="2026-01-22T00:00:00"/>
    <d v="2026-01-26T00:00:00"/>
    <d v="2026-01-26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3:00:00"/>
    <d v="1899-12-30T14:00:00"/>
    <n v="1.0000000000000018"/>
    <x v="1"/>
    <m/>
  </r>
  <r>
    <s v="Bay 4&amp;5 - _x000a_Pumps"/>
    <x v="46"/>
    <s v="Ismail"/>
    <x v="0"/>
    <s v="CP150-250"/>
    <s v="Engine assembling ongoing"/>
    <d v="2026-01-20T00:00:00"/>
    <d v="2026-01-26T00:00:00"/>
    <d v="2026-01-26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0:30:00"/>
    <d v="1899-12-30T12:00:00"/>
    <n v="1.5"/>
    <x v="1"/>
    <m/>
  </r>
  <r>
    <s v="Bay 4&amp;5 - _x000a_Pumps"/>
    <x v="46"/>
    <s v="Mintu"/>
    <x v="0"/>
    <s v="PT175-550"/>
    <s v="Pump assembling"/>
    <d v="2026-01-20T00:00:00"/>
    <d v="2026-01-24T00:00:00"/>
    <d v="2026-01-24T00:00:00"/>
    <m/>
    <d v="1899-12-30T06:30:00"/>
    <d v="1899-12-30T17:30:00"/>
    <n v="11"/>
    <x v="0"/>
    <m/>
  </r>
  <r>
    <s v="Bay 4&amp;5 - _x000a_Pumps"/>
    <x v="46"/>
    <s v="Shaji"/>
    <x v="1"/>
    <m/>
    <m/>
    <m/>
    <m/>
    <m/>
    <m/>
    <d v="1899-12-30T14:00:00"/>
    <d v="1899-12-30T16:00:00"/>
    <n v="1.9999999999999982"/>
    <x v="1"/>
    <m/>
  </r>
  <r>
    <s v="Electrical"/>
    <x v="47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7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7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7"/>
    <s v="Cherith"/>
    <x v="2"/>
    <s v="GENJ250-040"/>
    <s v="winding cutting &amp; copper cable removing"/>
    <d v="2026-01-26T00:00:00"/>
    <d v="2026-01-28T00:00:00"/>
    <m/>
    <m/>
    <d v="1899-12-30T06:30:00"/>
    <d v="1899-12-30T17:30:00"/>
    <n v="11"/>
    <x v="2"/>
    <m/>
  </r>
  <r>
    <s v="Electrical"/>
    <x v="47"/>
    <s v="Aman"/>
    <x v="1"/>
    <m/>
    <m/>
    <m/>
    <m/>
    <m/>
    <m/>
    <d v="1899-12-30T06:30:00"/>
    <d v="1899-12-30T17:30:00"/>
    <n v="11"/>
    <x v="1"/>
    <m/>
  </r>
  <r>
    <s v="Electrical"/>
    <x v="47"/>
    <s v="Donald"/>
    <x v="4"/>
    <s v="SM1002-273"/>
    <s v="Inspection &amp; repair"/>
    <d v="2026-01-26T00:00:00"/>
    <d v="2026-01-27T00:00:00"/>
    <m/>
    <m/>
    <d v="1899-12-30T06:30:00"/>
    <d v="1899-12-30T08:30:00"/>
    <n v="2.0000000000000009"/>
    <x v="0"/>
    <m/>
  </r>
  <r>
    <s v="Electrical"/>
    <x v="47"/>
    <s v="Ghiyan"/>
    <x v="4"/>
    <s v="SM530-380"/>
    <s v="Rewinding"/>
    <d v="2026-01-26T00:00:00"/>
    <d v="2026-01-27T00:00:00"/>
    <m/>
    <m/>
    <d v="1899-12-30T06:30:00"/>
    <d v="1899-12-30T09:30:00"/>
    <n v="3"/>
    <x v="0"/>
    <m/>
  </r>
  <r>
    <s v="Electrical"/>
    <x v="47"/>
    <s v="Suhaib"/>
    <x v="5"/>
    <s v="Old B:H pump"/>
    <s v="15nos pumps inspection &amp; repairing, "/>
    <d v="2026-01-24T00:00:00"/>
    <d v="2026-01-27T00:00:00"/>
    <m/>
    <m/>
    <d v="1899-12-30T08:30:00"/>
    <d v="1899-12-30T17:30:00"/>
    <n v="8.9999999999999982"/>
    <x v="0"/>
    <m/>
  </r>
  <r>
    <s v="Electrical"/>
    <x v="47"/>
    <s v="Afsar"/>
    <x v="1"/>
    <m/>
    <m/>
    <m/>
    <m/>
    <m/>
    <m/>
    <d v="1899-12-30T08:30:00"/>
    <d v="1899-12-30T17:30:00"/>
    <n v="8.9999999999999982"/>
    <x v="1"/>
    <m/>
  </r>
  <r>
    <s v="Electrical"/>
    <x v="47"/>
    <s v="Venu"/>
    <x v="4"/>
    <s v="SM530-238"/>
    <s v="Pump assemble"/>
    <d v="2026-01-26T00:00:00"/>
    <d v="2026-01-27T00:00:00"/>
    <m/>
    <m/>
    <d v="1899-12-30T06:30:00"/>
    <d v="1899-12-30T15:30:00"/>
    <n v="9.0000000000000018"/>
    <x v="2"/>
    <m/>
  </r>
  <r>
    <s v="Electrical"/>
    <x v="47"/>
    <s v="Gulam"/>
    <x v="4"/>
    <s v="SM250-047"/>
    <s v="HCCB fixing, power cable connection."/>
    <d v="2026-01-27T00:00:00"/>
    <d v="2026-01-27T00:00:00"/>
    <m/>
    <m/>
    <d v="1899-12-30T08:30:00"/>
    <d v="1899-12-30T12:00:00"/>
    <n v="3.4999999999999996"/>
    <x v="0"/>
    <m/>
  </r>
  <r>
    <s v="Electrical"/>
    <x v="47"/>
    <s v="Saqib"/>
    <x v="4"/>
    <s v="SWD60H-003"/>
    <s v="Rewinding"/>
    <d v="2026-01-27T00:00:00"/>
    <d v="2026-01-29T00:00:00"/>
    <m/>
    <m/>
    <d v="1899-12-30T06:30:00"/>
    <d v="1899-12-30T15:30:00"/>
    <n v="9.0000000000000018"/>
    <x v="2"/>
    <m/>
  </r>
  <r>
    <s v="Bay 6 -_x000a_Generator"/>
    <x v="47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7"/>
    <s v="Jagdev"/>
    <x v="2"/>
    <s v="GEN150-037"/>
    <s v="Engine parts cleaning, washing"/>
    <d v="2026-01-26T00:00:00"/>
    <d v="2026-01-27T00:00:00"/>
    <m/>
    <m/>
    <d v="1899-12-30T06:30:00"/>
    <d v="1899-12-30T15:30:00"/>
    <n v="9.0000000000000018"/>
    <x v="2"/>
    <m/>
  </r>
  <r>
    <s v="Bay 6 -_x000a_Generator"/>
    <x v="47"/>
    <s v="Suraj"/>
    <x v="9"/>
    <s v="DR-17"/>
    <s v="Hydraulic hose tightened, bonnet jack changing."/>
    <d v="2026-01-27T00:00:00"/>
    <d v="2026-01-27T00:00:00"/>
    <d v="2026-01-27T00:00:00"/>
    <m/>
    <d v="1899-12-30T10:30:00"/>
    <d v="1899-12-30T12:00:00"/>
    <n v="1.5"/>
    <x v="0"/>
    <m/>
  </r>
  <r>
    <s v="Bay 6 -_x000a_Generator"/>
    <x v="47"/>
    <s v="Anwar"/>
    <x v="1"/>
    <m/>
    <m/>
    <m/>
    <m/>
    <m/>
    <m/>
    <d v="1899-12-30T10:30:00"/>
    <d v="1899-12-30T12:00:00"/>
    <n v="1.5"/>
    <x v="1"/>
    <m/>
  </r>
  <r>
    <s v="Bay 6 -_x000a_Generator"/>
    <x v="47"/>
    <s v="Suraj"/>
    <x v="8"/>
    <s v="General work"/>
    <s v="General work"/>
    <d v="2026-01-27T00:00:00"/>
    <d v="2026-01-27T00:00:00"/>
    <d v="2026-01-27T00:00:00"/>
    <m/>
    <d v="1899-12-30T13:00:00"/>
    <d v="1899-12-30T15:00:00"/>
    <n v="2.0000000000000009"/>
    <x v="0"/>
    <m/>
  </r>
  <r>
    <s v="Bay 6 -_x000a_Generator"/>
    <x v="47"/>
    <s v="Suraj"/>
    <x v="2"/>
    <s v="GENJ100-008"/>
    <s v="Final fitting, fuel water seperator changing,"/>
    <d v="2026-01-27T00:00:00"/>
    <d v="2026-01-27T00:00:00"/>
    <d v="2026-01-27T00:00:00"/>
    <m/>
    <d v="1899-12-30T15:30:00"/>
    <d v="1899-12-30T17:30:00"/>
    <n v="1.9999999999999982"/>
    <x v="0"/>
    <m/>
  </r>
  <r>
    <s v="Bay 6 -_x000a_Generator"/>
    <x v="47"/>
    <s v="Jagdev"/>
    <x v="8"/>
    <s v="VHH4"/>
    <s v="General repair onsite."/>
    <d v="2026-01-27T00:00:00"/>
    <d v="2026-01-27T00:00:00"/>
    <d v="2026-01-27T00:00:00"/>
    <m/>
    <d v="1899-12-30T14:00:00"/>
    <d v="1899-12-30T17:00:00"/>
    <n v="3"/>
    <x v="0"/>
    <m/>
  </r>
  <r>
    <s v="Bay 4&amp;5 - _x000a_Pumps"/>
    <x v="47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7"/>
    <s v="Bilal"/>
    <x v="1"/>
    <m/>
    <m/>
    <m/>
    <m/>
    <m/>
    <m/>
    <d v="1899-12-30T06:30:00"/>
    <d v="1899-12-30T15:30:00"/>
    <n v="9.0000000000000018"/>
    <x v="1"/>
    <m/>
  </r>
  <r>
    <s v="Bay 4&amp;5 - _x000a_Pumps"/>
    <x v="47"/>
    <s v="Martino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Vinod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Suresh S"/>
    <x v="0"/>
    <s v="CP150X3"/>
    <s v="Vaccum Pump repair"/>
    <d v="2026-01-24T00:00:00"/>
    <d v="2026-01-27T00:00:00"/>
    <d v="2026-01-27T00:00:00"/>
    <m/>
    <d v="1899-12-30T06:30:00"/>
    <d v="1899-12-30T16:30:00"/>
    <n v="10"/>
    <x v="0"/>
    <m/>
  </r>
  <r>
    <s v="Bay 4&amp;5 - _x000a_Pumps"/>
    <x v="47"/>
    <s v="Suresh"/>
    <x v="0"/>
    <s v="PT175X11"/>
    <s v="Frame &amp; panel board removing &amp; refitting"/>
    <d v="2026-01-24T00:00:00"/>
    <d v="2026-01-27T00:00:00"/>
    <d v="2026-01-27T00:00:00"/>
    <m/>
    <d v="1899-12-30T08:30:00"/>
    <d v="1899-12-30T17:30:00"/>
    <n v="8.9999999999999982"/>
    <x v="0"/>
    <m/>
  </r>
  <r>
    <s v="Bay 4&amp;5 - _x000a_Pumps"/>
    <x v="47"/>
    <s v="Bharathesha"/>
    <x v="0"/>
    <s v="CP150-539"/>
    <s v="Engine assembling"/>
    <d v="2026-01-22T00:00:00"/>
    <d v="2026-01-27T00:00:00"/>
    <d v="2026-01-27T00:00:00"/>
    <m/>
    <d v="1899-12-30T06:30:00"/>
    <d v="1899-12-30T17:30:00"/>
    <n v="11"/>
    <x v="0"/>
    <m/>
  </r>
  <r>
    <s v="Bay 4&amp;5 - _x000a_Pumps"/>
    <x v="47"/>
    <s v="Harish"/>
    <x v="0"/>
    <s v="CP150-259"/>
    <s v="Cylinder head repair"/>
    <d v="2026-01-22T00:00:00"/>
    <d v="2026-01-27T00:00:00"/>
    <d v="2026-01-27T00:00:00"/>
    <m/>
    <d v="1899-12-30T08:30:00"/>
    <d v="1899-12-30T09:30:00"/>
    <n v="0.99999999999999911"/>
    <x v="0"/>
    <m/>
  </r>
  <r>
    <s v="Bay 4&amp;5 - _x000a_Pumps"/>
    <x v="47"/>
    <s v="Harish"/>
    <x v="0"/>
    <s v="PT175-552"/>
    <s v="Pump remove &amp; SWI making"/>
    <d v="2026-01-22T00:00:00"/>
    <d v="2026-01-27T00:00:00"/>
    <d v="2026-01-27T00:00:00"/>
    <m/>
    <d v="1899-12-30T09:30:00"/>
    <d v="1899-12-30T17:30:00"/>
    <n v="8"/>
    <x v="0"/>
    <m/>
  </r>
  <r>
    <s v="Bay 4&amp;5 - _x000a_Pumps"/>
    <x v="47"/>
    <s v="James"/>
    <x v="0"/>
    <s v="CP150-692"/>
    <s v="Minor repair &amp; water test"/>
    <d v="2026-01-22T00:00:00"/>
    <d v="2026-01-27T00:00:00"/>
    <d v="2026-01-27T00:00:00"/>
    <m/>
    <d v="1899-12-30T06:30:00"/>
    <d v="1899-12-30T09:30:00"/>
    <n v="3"/>
    <x v="0"/>
    <m/>
  </r>
  <r>
    <s v="Bay 4&amp;5 - _x000a_Pumps"/>
    <x v="47"/>
    <s v="Shaji"/>
    <x v="1"/>
    <m/>
    <m/>
    <m/>
    <m/>
    <m/>
    <m/>
    <d v="1899-12-30T13:00:00"/>
    <d v="1899-12-30T14:00:00"/>
    <n v="1.0000000000000018"/>
    <x v="1"/>
    <m/>
  </r>
  <r>
    <s v="Bay 4&amp;5 - _x000a_Pumps"/>
    <x v="47"/>
    <s v="Ismail"/>
    <x v="0"/>
    <s v="CP150-250"/>
    <s v="Pump assembling"/>
    <d v="2026-01-20T00:00:00"/>
    <d v="2026-01-27T00:00:00"/>
    <d v="2026-01-27T00:00:00"/>
    <m/>
    <d v="1899-12-30T06:30:00"/>
    <d v="1899-12-30T17:30:00"/>
    <n v="11"/>
    <x v="0"/>
    <m/>
  </r>
  <r>
    <s v="Bay 4&amp;5 - _x000a_Pumps"/>
    <x v="47"/>
    <s v="Shaji"/>
    <x v="1"/>
    <m/>
    <m/>
    <m/>
    <m/>
    <m/>
    <m/>
    <d v="1899-12-30T10:30:00"/>
    <d v="1899-12-30T12:00:00"/>
    <n v="1.5"/>
    <x v="1"/>
    <m/>
  </r>
  <r>
    <s v="Bay 4&amp;5 - _x000a_Pumps"/>
    <x v="47"/>
    <s v="Mintu"/>
    <x v="0"/>
    <s v="CP150-882"/>
    <s v="Pump &amp; engine repair"/>
    <d v="2026-01-27T00:00:00"/>
    <d v="2026-01-27T00:00:00"/>
    <d v="2026-01-27T00:00:00"/>
    <m/>
    <d v="1899-12-30T06:30:00"/>
    <d v="1899-12-30T17:30:00"/>
    <n v="11"/>
    <x v="0"/>
    <m/>
  </r>
  <r>
    <s v="Bay 4&amp;5 - _x000a_Pumps"/>
    <x v="47"/>
    <s v="Shaji"/>
    <x v="1"/>
    <m/>
    <m/>
    <m/>
    <m/>
    <m/>
    <m/>
    <d v="1899-12-30T14:00:00"/>
    <d v="1899-12-30T16:00:00"/>
    <n v="1.9999999999999982"/>
    <x v="1"/>
    <m/>
  </r>
  <r>
    <s v="Electrical"/>
    <x v="48"/>
    <s v="Fahad"/>
    <x v="3"/>
    <s v="CPB1.1-002"/>
    <s v="Wiring power &amp; control"/>
    <d v="2026-01-25T00:00:00"/>
    <d v="2026-01-28T00:00:00"/>
    <m/>
    <m/>
    <d v="1899-12-30T06:30:00"/>
    <d v="1899-12-30T15:30:00"/>
    <n v="9.0000000000000018"/>
    <x v="2"/>
    <m/>
  </r>
  <r>
    <s v="Electrical"/>
    <x v="48"/>
    <s v="Lijo"/>
    <x v="3"/>
    <s v="SPB7.5-023"/>
    <s v="Control wiring "/>
    <d v="2026-01-22T00:00:00"/>
    <d v="2026-01-28T00:00:00"/>
    <m/>
    <m/>
    <d v="1899-12-30T08:30:00"/>
    <d v="1899-12-30T17:30:00"/>
    <n v="8.9999999999999982"/>
    <x v="2"/>
    <m/>
  </r>
  <r>
    <s v="Electrical"/>
    <x v="48"/>
    <s v="Faisal"/>
    <x v="3"/>
    <s v="SPB7.5-163"/>
    <s v="Sensors wiring &amp; canopy fixing"/>
    <d v="2026-01-21T00:00:00"/>
    <d v="2026-01-28T00:00:00"/>
    <m/>
    <m/>
    <d v="1899-12-30T08:30:00"/>
    <d v="1899-12-30T17:30:00"/>
    <n v="8.9999999999999982"/>
    <x v="2"/>
    <m/>
  </r>
  <r>
    <s v="Electrical"/>
    <x v="48"/>
    <s v="Cherith"/>
    <x v="2"/>
    <s v="GENJ250-040"/>
    <s v="winding cutting &amp; copper cable removing"/>
    <d v="2026-01-26T00:00:00"/>
    <d v="2026-01-28T00:00:00"/>
    <m/>
    <m/>
    <d v="1899-12-30T06:30:00"/>
    <d v="1899-12-30T17:30:00"/>
    <n v="11"/>
    <x v="3"/>
    <m/>
  </r>
  <r>
    <s v="Electrical"/>
    <x v="48"/>
    <s v="Aman"/>
    <x v="1"/>
    <m/>
    <m/>
    <m/>
    <m/>
    <m/>
    <m/>
    <d v="1899-12-30T06:30:00"/>
    <d v="1899-12-30T17:30:00"/>
    <n v="11"/>
    <x v="1"/>
    <m/>
  </r>
  <r>
    <s v="Electrical"/>
    <x v="48"/>
    <s v="Cherith"/>
    <x v="8"/>
    <s v="SGN-006"/>
    <s v="Pump assemble"/>
    <d v="2026-01-28T00:00:00"/>
    <d v="2026-01-28T00:00:00"/>
    <m/>
    <m/>
    <d v="1899-12-30T06:30:00"/>
    <d v="1899-12-30T17:30:00"/>
    <n v="11"/>
    <x v="2"/>
    <m/>
  </r>
  <r>
    <s v="Electrical"/>
    <x v="48"/>
    <s v="Aman"/>
    <x v="1"/>
    <m/>
    <m/>
    <m/>
    <m/>
    <m/>
    <m/>
    <d v="1899-12-30T06:30:00"/>
    <d v="1899-12-30T17:30:00"/>
    <n v="11"/>
    <x v="1"/>
    <m/>
  </r>
  <r>
    <s v="Electrical"/>
    <x v="48"/>
    <s v="Donald"/>
    <x v="4"/>
    <s v="SHD50-004"/>
    <s v="Inspection &amp; dismantle"/>
    <d v="2026-01-28T00:00:00"/>
    <d v="2026-01-28T00:00:00"/>
    <m/>
    <m/>
    <d v="1899-12-30T06:30:00"/>
    <d v="1899-12-30T15:30:00"/>
    <n v="9.0000000000000018"/>
    <x v="0"/>
    <m/>
  </r>
  <r>
    <s v="Electrical"/>
    <x v="48"/>
    <s v="Ghiyan"/>
    <x v="4"/>
    <s v="SM530-299"/>
    <s v="Rewinding"/>
    <d v="2026-01-28T00:00:00"/>
    <d v="2026-01-28T00:00:00"/>
    <m/>
    <m/>
    <d v="1899-12-30T06:30:00"/>
    <d v="1899-12-30T15:30:00"/>
    <n v="9.0000000000000018"/>
    <x v="2"/>
    <m/>
  </r>
  <r>
    <s v="Electrical"/>
    <x v="48"/>
    <s v="Suhaib"/>
    <x v="5"/>
    <s v="Old B:H pump"/>
    <s v="20nos pumps inspection, dismantle &amp; scrap "/>
    <d v="2026-01-28T00:00:00"/>
    <d v="2026-01-28T00:00:00"/>
    <m/>
    <m/>
    <d v="1899-12-30T08:30:00"/>
    <d v="1899-12-30T17:30:00"/>
    <n v="8.9999999999999982"/>
    <x v="2"/>
    <m/>
  </r>
  <r>
    <s v="Electrical"/>
    <x v="48"/>
    <s v="Afsar"/>
    <x v="1"/>
    <m/>
    <m/>
    <m/>
    <m/>
    <m/>
    <m/>
    <d v="1899-12-30T08:30:00"/>
    <d v="1899-12-30T17:30:00"/>
    <n v="8.9999999999999982"/>
    <x v="1"/>
    <m/>
  </r>
  <r>
    <s v="Electrical"/>
    <x v="48"/>
    <s v="Venu"/>
    <x v="4"/>
    <s v="SM530-380/238"/>
    <s v="Water testing, rotor repair &amp; assemble"/>
    <d v="2026-01-28T00:00:00"/>
    <d v="2026-01-28T00:00:00"/>
    <m/>
    <m/>
    <d v="1899-12-30T06:30:00"/>
    <d v="1899-12-30T15:30:00"/>
    <n v="9.0000000000000018"/>
    <x v="2"/>
    <m/>
  </r>
  <r>
    <s v="Electrical"/>
    <x v="48"/>
    <s v="Gulam"/>
    <x v="4"/>
    <s v="SWD40N-003"/>
    <s v="Pump assemble"/>
    <d v="2026-01-28T00:00:00"/>
    <d v="2026-01-28T00:00:00"/>
    <m/>
    <m/>
    <d v="1899-12-30T08:30:00"/>
    <d v="1899-12-30T17:30:00"/>
    <n v="8.9999999999999982"/>
    <x v="2"/>
    <m/>
  </r>
  <r>
    <s v="Electrical"/>
    <x v="48"/>
    <s v="Saqib"/>
    <x v="4"/>
    <s v="SWD60H-003"/>
    <s v="Rewinding"/>
    <d v="2026-01-27T00:00:00"/>
    <d v="2026-01-29T00:00:00"/>
    <d v="2026-01-29T00:00:00"/>
    <m/>
    <d v="1899-12-30T06:30:00"/>
    <d v="1899-12-30T15:30:00"/>
    <n v="9.0000000000000018"/>
    <x v="0"/>
    <m/>
  </r>
  <r>
    <s v="Bay 6 -_x000a_Generator"/>
    <x v="48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8"/>
    <s v="Jagdev"/>
    <x v="2"/>
    <s v="GEN150-037"/>
    <s v="Engine assembling"/>
    <d v="2026-01-27T00:00:00"/>
    <d v="2026-01-28T00:00:00"/>
    <m/>
    <m/>
    <d v="1899-12-30T06:30:00"/>
    <d v="1899-12-30T15:30:00"/>
    <n v="9.0000000000000018"/>
    <x v="2"/>
    <m/>
  </r>
  <r>
    <s v="Bay 6 -_x000a_Generator"/>
    <x v="48"/>
    <s v="Suraj"/>
    <x v="2"/>
    <s v="GENG100-009"/>
    <s v="Fan hub bearing changing, fan fix, load test."/>
    <d v="2026-01-24T00:00:00"/>
    <d v="2026-01-28T00:00:00"/>
    <m/>
    <m/>
    <d v="1899-12-30T08:30:00"/>
    <d v="1899-12-30T12:00:00"/>
    <n v="3.4999999999999996"/>
    <x v="3"/>
    <m/>
  </r>
  <r>
    <s v="Bay 6 -_x000a_Generator"/>
    <x v="48"/>
    <s v="Anwar"/>
    <x v="1"/>
    <m/>
    <m/>
    <m/>
    <m/>
    <m/>
    <m/>
    <d v="1899-12-30T08:30:00"/>
    <d v="1899-12-30T12:00:00"/>
    <n v="3.4999999999999996"/>
    <x v="1"/>
    <m/>
  </r>
  <r>
    <s v="Bay 6 -_x000a_Generator"/>
    <x v="48"/>
    <s v="Suraj"/>
    <x v="2"/>
    <s v="GENJ60-003"/>
    <s v="Ac alternator &amp; fuel pump fix."/>
    <d v="2026-01-28T00:00:00"/>
    <d v="2026-01-28T00:00:00"/>
    <d v="2026-01-28T00:00:00"/>
    <m/>
    <d v="1899-12-30T13:30:00"/>
    <d v="1899-12-30T17:30:00"/>
    <n v="3.9999999999999991"/>
    <x v="0"/>
    <m/>
  </r>
  <r>
    <s v="Bay 6 -_x000a_Generator"/>
    <x v="48"/>
    <s v="Anwar"/>
    <x v="1"/>
    <m/>
    <m/>
    <m/>
    <m/>
    <m/>
    <m/>
    <d v="1899-12-30T13:30:00"/>
    <d v="1899-12-30T17:30:00"/>
    <n v="3.9999999999999991"/>
    <x v="1"/>
    <m/>
  </r>
  <r>
    <s v="Bay 6 -_x000a_Generator"/>
    <x v="48"/>
    <s v="Suraj"/>
    <x v="8"/>
    <s v="LB-004"/>
    <s v="Load bank repairing &amp; cover removing"/>
    <d v="2026-01-28T00:00:00"/>
    <d v="2026-01-28T00:00:00"/>
    <d v="2026-01-28T00:00:00"/>
    <m/>
    <d v="1899-12-30T12:00:00"/>
    <d v="1899-12-30T15:00:00"/>
    <n v="3"/>
    <x v="0"/>
    <m/>
  </r>
  <r>
    <s v="Bay 4&amp;5 - _x000a_Pumps"/>
    <x v="48"/>
    <s v="Zaheer"/>
    <x v="6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8"/>
    <s v="Bilal"/>
    <x v="1"/>
    <m/>
    <m/>
    <m/>
    <m/>
    <m/>
    <m/>
    <d v="1899-12-30T06:30:00"/>
    <d v="1899-12-30T15:30:00"/>
    <n v="9.0000000000000018"/>
    <x v="1"/>
    <m/>
  </r>
  <r>
    <s v="Bay 4&amp;5 - _x000a_Pumps"/>
    <x v="48"/>
    <s v="Martino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8"/>
    <s v="Vinod"/>
    <x v="6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x v="0"/>
    <m/>
  </r>
  <r>
    <s v="Bay 4&amp;5 - _x000a_Pumps"/>
    <x v="48"/>
    <s v="Suresh S"/>
    <x v="0"/>
    <s v="CP150-882/860/v002"/>
    <s v="Vaccum Pump repair"/>
    <d v="2026-01-28T00:00:00"/>
    <d v="2026-01-28T00:00:00"/>
    <d v="2026-01-28T00:00:00"/>
    <m/>
    <d v="1899-12-30T06:30:00"/>
    <d v="1899-12-30T16:30:00"/>
    <n v="10"/>
    <x v="0"/>
    <m/>
  </r>
  <r>
    <s v="Bay 4&amp;5 - _x000a_Pumps"/>
    <x v="48"/>
    <s v="Suresh"/>
    <x v="0"/>
    <s v="PT175X11"/>
    <s v="Frame &amp; panel board removing &amp; refitting"/>
    <d v="2026-01-24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Mintu"/>
    <x v="1"/>
    <m/>
    <m/>
    <m/>
    <m/>
    <m/>
    <m/>
    <d v="1899-12-30T08:30:00"/>
    <d v="1899-12-30T17:30:00"/>
    <n v="8.9999999999999982"/>
    <x v="1"/>
    <m/>
  </r>
  <r>
    <s v="Bay 4&amp;5 - _x000a_Pumps"/>
    <x v="48"/>
    <s v="Bharathesha"/>
    <x v="0"/>
    <s v="CP150-539"/>
    <s v="Pump dismantling"/>
    <d v="2026-01-22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Harish"/>
    <x v="0"/>
    <s v="PT175-552"/>
    <s v="Pump prepare for assembling"/>
    <d v="2026-01-22T00:00:00"/>
    <d v="2026-01-28T00:00:00"/>
    <d v="2026-01-28T00:00:00"/>
    <m/>
    <d v="1899-12-30T09:30:00"/>
    <d v="1899-12-30T15:30:00"/>
    <n v="6.0000000000000018"/>
    <x v="0"/>
    <m/>
  </r>
  <r>
    <s v="Bay 4&amp;5 - _x000a_Pumps"/>
    <x v="48"/>
    <s v="James"/>
    <x v="0"/>
    <s v="CP150-692"/>
    <s v="Minor repair &amp; water test"/>
    <d v="2026-01-22T00:00:00"/>
    <d v="2026-01-27T00:00:00"/>
    <d v="2026-01-27T00:00:00"/>
    <m/>
    <d v="1899-12-30T06:30:00"/>
    <d v="1899-12-30T09:30:00"/>
    <n v="3"/>
    <x v="0"/>
    <m/>
  </r>
  <r>
    <s v="Bay 4&amp;5 - _x000a_Pumps"/>
    <x v="48"/>
    <s v="Shaji"/>
    <x v="1"/>
    <m/>
    <m/>
    <m/>
    <m/>
    <m/>
    <m/>
    <d v="1899-12-30T13:00:00"/>
    <d v="1899-12-30T14:00:00"/>
    <n v="1.0000000000000018"/>
    <x v="1"/>
    <m/>
  </r>
  <r>
    <s v="Bay 4&amp;5 - _x000a_Pumps"/>
    <x v="48"/>
    <s v="James"/>
    <x v="0"/>
    <s v="CP150V-002"/>
    <s v="Pump dismantling."/>
    <d v="2026-01-28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Ismail"/>
    <x v="0"/>
    <s v="CP150-250"/>
    <s v="Pump assembling waiting for parts"/>
    <d v="2026-01-20T00:00:00"/>
    <d v="2026-01-28T00:00:00"/>
    <d v="2026-01-28T00:00:00"/>
    <m/>
    <d v="1899-12-30T06:30:00"/>
    <d v="1899-12-30T15:30:00"/>
    <n v="9.0000000000000018"/>
    <x v="0"/>
    <m/>
  </r>
  <r>
    <s v="Bay 4&amp;5 - _x000a_Pumps"/>
    <x v="48"/>
    <s v="Shaji"/>
    <x v="1"/>
    <m/>
    <m/>
    <m/>
    <m/>
    <m/>
    <m/>
    <d v="1899-12-30T10:30:00"/>
    <d v="1899-12-30T12:00:00"/>
    <n v="1.5"/>
    <x v="1"/>
    <m/>
  </r>
  <r>
    <s v="Bay 4&amp;5 - _x000a_Pumps"/>
    <x v="48"/>
    <s v="Ismail"/>
    <x v="0"/>
    <s v="CP150-882"/>
    <s v="Pump end repair"/>
    <d v="2026-01-27T00:00:00"/>
    <d v="2026-01-28T00:00:00"/>
    <d v="2026-01-28T00:00:00"/>
    <m/>
    <d v="1899-12-30T09:30:00"/>
    <d v="1899-12-30T15:30:00"/>
    <n v="6.0000000000000018"/>
    <x v="0"/>
    <m/>
  </r>
  <r>
    <s v="Electrical"/>
    <x v="49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49"/>
    <s v="Lijo"/>
    <x v="3"/>
    <s v="SPB7.5-023"/>
    <s v="Repair, test &amp; PDI"/>
    <d v="2026-01-22T00:00:00"/>
    <d v="2026-01-31T00:00:00"/>
    <m/>
    <m/>
    <d v="1899-12-30T08:30:00"/>
    <d v="1899-12-30T17:30:00"/>
    <n v="8.9999999999999982"/>
    <x v="2"/>
    <m/>
  </r>
  <r>
    <s v="Electrical"/>
    <x v="49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49"/>
    <s v="Cherith"/>
    <x v="4"/>
    <s v="SGN-006"/>
    <s v="Inspection &amp; assemble"/>
    <d v="2026-01-28T00:00:00"/>
    <d v="2026-01-29T00:00:00"/>
    <d v="2026-01-29T00:00:00"/>
    <m/>
    <d v="1899-12-30T06:30:00"/>
    <d v="1899-12-30T13:00:00"/>
    <n v="6.5"/>
    <x v="0"/>
    <m/>
  </r>
  <r>
    <s v="Electrical"/>
    <x v="49"/>
    <s v="Aman"/>
    <x v="1"/>
    <m/>
    <m/>
    <m/>
    <m/>
    <m/>
    <m/>
    <d v="1899-12-30T06:30:00"/>
    <d v="1899-12-30T13:00:00"/>
    <n v="6.5"/>
    <x v="1"/>
    <m/>
  </r>
  <r>
    <s v="Electrical"/>
    <x v="49"/>
    <s v="Cherith"/>
    <x v="4"/>
    <s v="SMSP3-021"/>
    <s v="95kw pump fixing"/>
    <d v="2026-01-29T00:00:00"/>
    <d v="2026-01-29T00:00:00"/>
    <d v="2026-01-29T00:00:00"/>
    <m/>
    <d v="1899-12-30T13:00:00"/>
    <d v="1899-12-30T17:30:00"/>
    <n v="4.5"/>
    <x v="0"/>
    <m/>
  </r>
  <r>
    <s v="Electrical"/>
    <x v="49"/>
    <s v="Aman"/>
    <x v="1"/>
    <m/>
    <m/>
    <m/>
    <m/>
    <m/>
    <m/>
    <d v="1899-12-30T13:00:00"/>
    <d v="1899-12-30T17:30:00"/>
    <n v="4.5"/>
    <x v="1"/>
    <m/>
  </r>
  <r>
    <s v="Electrical"/>
    <x v="49"/>
    <s v="Suleman"/>
    <x v="1"/>
    <m/>
    <m/>
    <m/>
    <m/>
    <m/>
    <m/>
    <d v="1899-12-30T13:00:00"/>
    <d v="1899-12-30T17:30:00"/>
    <n v="4.5"/>
    <x v="1"/>
    <m/>
  </r>
  <r>
    <s v="Electrical"/>
    <x v="49"/>
    <s v="Donald"/>
    <x v="4"/>
    <s v="SSD22-002"/>
    <s v="Rotor repairing &amp; assemble"/>
    <d v="2026-01-29T00:00:00"/>
    <d v="2026-01-30T00:00:00"/>
    <m/>
    <m/>
    <d v="1899-12-30T06:30:00"/>
    <d v="1899-12-30T15:30:00"/>
    <n v="9.0000000000000018"/>
    <x v="2"/>
    <m/>
  </r>
  <r>
    <s v="Electrical"/>
    <x v="49"/>
    <s v="Ghiyan"/>
    <x v="4"/>
    <s v="SM530-299"/>
    <s v="Rewinding"/>
    <d v="2026-01-27T00:00:00"/>
    <d v="2026-01-29T00:00:00"/>
    <d v="2026-01-29T00:00:00"/>
    <m/>
    <d v="1899-12-30T06:30:00"/>
    <d v="1899-12-30T12:00:00"/>
    <n v="5.5"/>
    <x v="0"/>
    <m/>
  </r>
  <r>
    <s v="Electrical"/>
    <x v="49"/>
    <s v="Suhaib"/>
    <x v="5"/>
    <s v="Old B:H pump"/>
    <s v="20nos pumps inspection, dismantle &amp; scrap "/>
    <d v="2026-01-28T00:00:00"/>
    <d v="2026-01-29T00:00:00"/>
    <m/>
    <m/>
    <d v="1899-12-30T08:30:00"/>
    <d v="1899-12-30T17:30:00"/>
    <n v="8.9999999999999982"/>
    <x v="2"/>
    <m/>
  </r>
  <r>
    <s v="Electrical"/>
    <x v="49"/>
    <s v="Afsar"/>
    <x v="1"/>
    <m/>
    <m/>
    <m/>
    <m/>
    <m/>
    <m/>
    <d v="1899-12-30T08:30:00"/>
    <d v="1899-12-30T17:30:00"/>
    <n v="8.9999999999999982"/>
    <x v="1"/>
    <m/>
  </r>
  <r>
    <s v="Electrical"/>
    <x v="49"/>
    <s v="Venu"/>
    <x v="4"/>
    <s v="SM530-380"/>
    <s v="Pump assemble"/>
    <d v="2026-01-28T00:00:00"/>
    <d v="2026-01-29T00:00:00"/>
    <m/>
    <m/>
    <d v="1899-12-30T06:30:00"/>
    <d v="1899-12-30T15:30:00"/>
    <n v="9.0000000000000018"/>
    <x v="0"/>
    <m/>
  </r>
  <r>
    <s v="Electrical"/>
    <x v="49"/>
    <s v="Gulam"/>
    <x v="4"/>
    <s v="SWD40H-003"/>
    <s v="Pump assemble"/>
    <d v="2026-01-28T00:00:00"/>
    <d v="2026-01-29T00:00:00"/>
    <d v="2026-01-29T00:00:00"/>
    <m/>
    <d v="1899-12-30T08:30:00"/>
    <d v="1899-12-30T17:30:00"/>
    <n v="8.9999999999999982"/>
    <x v="0"/>
    <m/>
  </r>
  <r>
    <s v="Electrical"/>
    <x v="49"/>
    <s v="Saqib"/>
    <x v="2"/>
    <s v="GEN60-003"/>
    <s v="Inspection &amp; power cable connection."/>
    <d v="2026-01-27T00:00:00"/>
    <d v="2026-01-29T00:00:00"/>
    <d v="2026-01-29T00:00:00"/>
    <m/>
    <d v="1899-12-30T06:30:00"/>
    <d v="1899-12-30T13:00:00"/>
    <n v="6.5"/>
    <x v="0"/>
    <m/>
  </r>
  <r>
    <s v="Bay 6 -_x000a_Generator"/>
    <x v="49"/>
    <s v="Anwar"/>
    <x v="2"/>
    <s v="GENP100-124"/>
    <s v="Load test"/>
    <d v="2026-01-24T00:00:00"/>
    <d v="2026-01-24T00:00:00"/>
    <m/>
    <m/>
    <d v="1899-12-30T08:30:00"/>
    <d v="1899-12-30T13:30:00"/>
    <n v="5"/>
    <x v="2"/>
    <m/>
  </r>
  <r>
    <s v="Bay 6 -_x000a_Generator"/>
    <x v="49"/>
    <s v="Jagdev"/>
    <x v="2"/>
    <s v="GEN150-037"/>
    <s v="Engine assembling"/>
    <d v="2026-01-27T00:00:00"/>
    <d v="2026-01-29T00:00:00"/>
    <m/>
    <m/>
    <d v="1899-12-30T08:30:00"/>
    <d v="1899-12-30T15:30:00"/>
    <n v="7"/>
    <x v="2"/>
    <m/>
  </r>
  <r>
    <s v="Bay 6 -_x000a_Generator"/>
    <x v="49"/>
    <s v="Jagdev"/>
    <x v="8"/>
    <s v="SCRLF19-001"/>
    <s v="steering hydraulic cylinder seal changing"/>
    <d v="2026-01-29T00:00:00"/>
    <d v="2026-01-29T00:00:00"/>
    <d v="2026-01-29T00:00:00"/>
    <m/>
    <d v="1899-12-30T06:30:00"/>
    <d v="1899-12-30T08:30:00"/>
    <n v="2.0000000000000009"/>
    <x v="0"/>
    <m/>
  </r>
  <r>
    <s v="Bay 6 -_x000a_Generator"/>
    <x v="49"/>
    <s v="Anwar"/>
    <x v="1"/>
    <m/>
    <m/>
    <m/>
    <m/>
    <m/>
    <m/>
    <d v="1899-12-30T06:30:00"/>
    <d v="1899-12-30T08:30:00"/>
    <n v="2.0000000000000009"/>
    <x v="1"/>
    <m/>
  </r>
  <r>
    <s v="Bay 6 -_x000a_Generator"/>
    <x v="49"/>
    <s v="Suraj"/>
    <x v="2"/>
    <s v="GENJ60-003"/>
    <s v="Ac alternator &amp; fuel pump fix."/>
    <d v="2026-01-28T00:00:00"/>
    <d v="2026-01-29T00:00:00"/>
    <d v="2026-01-29T00:00:00"/>
    <m/>
    <d v="1899-12-30T08:30:00"/>
    <d v="1899-12-30T15:30:00"/>
    <n v="7"/>
    <x v="0"/>
    <m/>
  </r>
  <r>
    <s v="Bay 6 -_x000a_Generator"/>
    <x v="49"/>
    <s v="Anwar"/>
    <x v="1"/>
    <m/>
    <m/>
    <m/>
    <m/>
    <m/>
    <m/>
    <d v="1899-12-30T08:30:00"/>
    <d v="1899-12-30T15:30:00"/>
    <n v="7"/>
    <x v="1"/>
    <m/>
  </r>
  <r>
    <s v="Bay 6 -_x000a_Generator"/>
    <x v="49"/>
    <s v="Suraj"/>
    <x v="8"/>
    <s v="LB-004"/>
    <s v="Load bank repairing &amp; cover removing"/>
    <d v="2026-01-28T00:00:00"/>
    <d v="2026-01-28T00:00:00"/>
    <m/>
    <m/>
    <d v="1899-12-30T12:00:00"/>
    <d v="1899-12-30T15:00:00"/>
    <n v="3"/>
    <x v="2"/>
    <m/>
  </r>
  <r>
    <s v="Bay 6 -_x000a_Generator"/>
    <x v="49"/>
    <s v="Suraj"/>
    <x v="8"/>
    <s v="General work"/>
    <s v="General work"/>
    <d v="2026-01-29T00:00:00"/>
    <d v="2026-01-29T00:00:00"/>
    <d v="2026-01-29T00:00:00"/>
    <m/>
    <d v="1899-12-30T15:30:00"/>
    <d v="1899-12-30T17:30:00"/>
    <n v="1.9999999999999982"/>
    <x v="0"/>
    <m/>
  </r>
  <r>
    <s v="Bay 4&amp;5 - _x000a_Pumps"/>
    <x v="49"/>
    <s v="Zaheer"/>
    <x v="6"/>
    <s v="AD1500-004"/>
    <s v="Actuator pipe connecting &amp;load test"/>
    <d v="2026-01-23T00:00:00"/>
    <d v="2026-01-31T00:00:00"/>
    <d v="2026-01-31T00:00:00"/>
    <m/>
    <d v="1899-12-30T06:30:00"/>
    <d v="1899-12-30T15:30:00"/>
    <n v="9.0000000000000018"/>
    <x v="0"/>
    <m/>
  </r>
  <r>
    <s v="Bay 4&amp;5 - _x000a_Pumps"/>
    <x v="49"/>
    <s v="Bilal"/>
    <x v="1"/>
    <m/>
    <m/>
    <m/>
    <m/>
    <m/>
    <m/>
    <d v="1899-12-30T06:30:00"/>
    <d v="1899-12-30T15:30:00"/>
    <n v="9.0000000000000018"/>
    <x v="1"/>
    <m/>
  </r>
  <r>
    <s v="Bay 4&amp;5 - _x000a_Pumps"/>
    <x v="49"/>
    <s v="Martino"/>
    <x v="6"/>
    <s v="CD50-004"/>
    <s v="Pump repair"/>
    <d v="2026-01-29T00:00:00"/>
    <d v="2026-01-29T00:00:00"/>
    <d v="2026-01-29T00:00:00"/>
    <m/>
    <d v="1899-12-30T08:30:00"/>
    <d v="1899-12-30T17:30:00"/>
    <n v="8.9999999999999982"/>
    <x v="0"/>
    <m/>
  </r>
  <r>
    <s v="Bay 4&amp;5 - _x000a_Pumps"/>
    <x v="49"/>
    <s v="Vinod"/>
    <x v="8"/>
    <s v="Gate Valve"/>
    <s v="Insppection, washing, repair"/>
    <d v="2026-01-29T00:00:00"/>
    <d v="2026-01-29T00:00:00"/>
    <d v="2026-01-29T00:00:00"/>
    <m/>
    <d v="1899-12-30T08:30:00"/>
    <d v="1899-12-30T17:30:00"/>
    <n v="8.9999999999999982"/>
    <x v="0"/>
    <m/>
  </r>
  <r>
    <s v="Bay 4&amp;5 - _x000a_Pumps"/>
    <x v="49"/>
    <s v="Harish"/>
    <x v="0"/>
    <s v="CP150V-002"/>
    <s v="3XVaccum Pump repair, completely rusty"/>
    <d v="2026-01-29T00:00:00"/>
    <d v="2026-01-29T00:00:00"/>
    <d v="2026-01-29T00:00:00"/>
    <m/>
    <d v="1899-12-30T06:30:00"/>
    <d v="1899-12-30T09:30:00"/>
    <n v="3"/>
    <x v="0"/>
    <m/>
  </r>
  <r>
    <s v="Bay 4&amp;5 - _x000a_Pumps"/>
    <x v="49"/>
    <s v="Suresh"/>
    <x v="0"/>
    <s v="PT175XMozambique"/>
    <s v="Frame &amp; panel board removing &amp; refitting"/>
    <d v="2026-01-24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Mintu"/>
    <x v="1"/>
    <m/>
    <m/>
    <m/>
    <m/>
    <m/>
    <m/>
    <d v="1899-12-30T08:30:00"/>
    <d v="1899-12-30T17:30:00"/>
    <n v="8.9999999999999982"/>
    <x v="1"/>
    <m/>
  </r>
  <r>
    <s v="Bay 4&amp;5 - _x000a_Pumps"/>
    <x v="49"/>
    <s v="Bharathesha"/>
    <x v="0"/>
    <s v="CP150-539"/>
    <s v="Pump assembling"/>
    <d v="2026-01-22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Harish"/>
    <x v="0"/>
    <s v="PT175-552"/>
    <s v="Pump prepare for assembling"/>
    <d v="2026-01-22T00:00:00"/>
    <d v="2026-01-29T00:00:00"/>
    <d v="2026-01-29T00:00:00"/>
    <m/>
    <d v="1899-12-30T09:30:00"/>
    <d v="1899-12-30T15:30:00"/>
    <n v="6.0000000000000018"/>
    <x v="0"/>
    <m/>
  </r>
  <r>
    <s v="Bay 4&amp;5 - _x000a_Pumps"/>
    <x v="49"/>
    <s v="James"/>
    <x v="0"/>
    <s v="CP150V-002"/>
    <s v="pump assemble"/>
    <d v="2026-01-27T00:00:00"/>
    <d v="2026-01-29T00:00:00"/>
    <d v="2026-01-29T00:00:00"/>
    <m/>
    <d v="1899-12-30T06:30:00"/>
    <d v="1899-12-30T15:30:00"/>
    <n v="9.0000000000000018"/>
    <x v="0"/>
    <m/>
  </r>
  <r>
    <s v="Bay 4&amp;5 - _x000a_Pumps"/>
    <x v="49"/>
    <s v="Shaji"/>
    <x v="1"/>
    <m/>
    <m/>
    <m/>
    <m/>
    <m/>
    <m/>
    <d v="1899-12-30T13:00:00"/>
    <d v="1899-12-30T14:00:00"/>
    <n v="1.0000000000000018"/>
    <x v="1"/>
    <m/>
  </r>
  <r>
    <s v="Bay 4&amp;5 - _x000a_Pumps"/>
    <x v="49"/>
    <s v="James"/>
    <x v="0"/>
    <s v="BL150-88"/>
    <s v="Engine repairing ongoing"/>
    <d v="2026-01-29T00:00:00"/>
    <d v="2026-01-29T00:00:00"/>
    <d v="2026-01-29T00:00:00"/>
    <m/>
    <d v="1899-12-30T11:30:00"/>
    <d v="1899-12-30T15:30:00"/>
    <n v="4"/>
    <x v="0"/>
    <m/>
  </r>
  <r>
    <s v="Bay 4&amp;5 - _x000a_Pumps"/>
    <x v="49"/>
    <s v="Ismail"/>
    <x v="0"/>
    <s v="CP150-882"/>
    <s v="Pump end repair"/>
    <d v="2026-01-27T00:00:00"/>
    <d v="2026-01-29T00:00:00"/>
    <d v="2026-01-29T00:00:00"/>
    <m/>
    <d v="1899-12-30T06:30:00"/>
    <d v="1899-12-30T11:30:00"/>
    <n v="5.0000000000000009"/>
    <x v="0"/>
    <m/>
  </r>
  <r>
    <s v="Bay 4&amp;5 - _x000a_Pumps"/>
    <x v="49"/>
    <s v="Shaji"/>
    <x v="1"/>
    <m/>
    <m/>
    <m/>
    <m/>
    <m/>
    <m/>
    <d v="1899-12-30T10:30:00"/>
    <d v="1899-12-30T12:00:00"/>
    <n v="1.5"/>
    <x v="1"/>
    <m/>
  </r>
  <r>
    <s v="Bay 4&amp;5 - _x000a_Pumps"/>
    <x v="49"/>
    <s v="Ismail"/>
    <x v="0"/>
    <s v="PT175-550"/>
    <s v="Pump assembling, connecting rod."/>
    <d v="2026-01-29T00:00:00"/>
    <d v="2026-01-29T00:00:00"/>
    <d v="2026-01-29T00:00:00"/>
    <m/>
    <d v="1899-12-30T11:30:00"/>
    <d v="1899-12-30T15:30:00"/>
    <n v="4"/>
    <x v="0"/>
    <m/>
  </r>
  <r>
    <s v="Electrical"/>
    <x v="50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50"/>
    <s v="Lijo"/>
    <x v="3"/>
    <s v="SPB7.5-023"/>
    <s v="Repair, test &amp; PDI"/>
    <d v="2026-01-29T00:00:00"/>
    <d v="2026-01-31T00:00:00"/>
    <m/>
    <m/>
    <d v="1899-12-30T08:30:00"/>
    <d v="1899-12-30T17:30:00"/>
    <n v="8.9999999999999982"/>
    <x v="2"/>
    <m/>
  </r>
  <r>
    <s v="Electrical"/>
    <x v="50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0"/>
    <s v="Cherith"/>
    <x v="2"/>
    <s v="GENJ250-040"/>
    <s v="Copper cable removing."/>
    <d v="2026-01-30T00:00:00"/>
    <d v="2026-01-31T00:00:00"/>
    <m/>
    <m/>
    <d v="1899-12-30T08:30:00"/>
    <d v="1899-12-30T17:30:00"/>
    <n v="8.9999999999999982"/>
    <x v="2"/>
    <m/>
  </r>
  <r>
    <s v="Electrical"/>
    <x v="50"/>
    <s v="Aman"/>
    <x v="1"/>
    <m/>
    <m/>
    <m/>
    <m/>
    <m/>
    <m/>
    <d v="1899-12-30T08:30:00"/>
    <d v="1899-12-30T17:30:00"/>
    <n v="8.9999999999999982"/>
    <x v="1"/>
    <m/>
  </r>
  <r>
    <s v="Electrical"/>
    <x v="50"/>
    <s v="Donald"/>
    <x v="4"/>
    <s v="SSD22-002"/>
    <s v="Pump assembling"/>
    <d v="2026-01-29T00:00:00"/>
    <d v="2026-01-30T00:00:00"/>
    <m/>
    <m/>
    <d v="1899-12-30T06:30:00"/>
    <d v="1899-12-30T09:30:00"/>
    <n v="3"/>
    <x v="2"/>
    <m/>
  </r>
  <r>
    <s v="Electrical"/>
    <x v="50"/>
    <s v="Ghiyan"/>
    <x v="8"/>
    <s v="LB-004"/>
    <s v="Inspection &amp; repair"/>
    <d v="2026-01-30T00:00:00"/>
    <d v="2026-01-30T00:00:00"/>
    <m/>
    <m/>
    <d v="1899-12-30T06:30:00"/>
    <d v="1899-12-30T10:00:00"/>
    <n v="3.5000000000000009"/>
    <x v="0"/>
    <m/>
  </r>
  <r>
    <s v="Electrical"/>
    <x v="50"/>
    <s v="Suhaib"/>
    <x v="5"/>
    <s v="Old B:H pump"/>
    <s v="15nos pumps inspection &amp; repair, 4nos pump water testing, 4nos pump cable joint"/>
    <d v="2026-01-30T00:00:00"/>
    <d v="2026-01-30T00:00:00"/>
    <m/>
    <m/>
    <d v="1899-12-30T08:30:00"/>
    <d v="1899-12-30T17:30:00"/>
    <n v="8.9999999999999982"/>
    <x v="0"/>
    <m/>
  </r>
  <r>
    <s v="Electrical"/>
    <x v="50"/>
    <s v="Afsar"/>
    <x v="1"/>
    <m/>
    <m/>
    <m/>
    <m/>
    <m/>
    <m/>
    <d v="1899-12-30T08:30:00"/>
    <d v="1899-12-30T17:30:00"/>
    <n v="8.9999999999999982"/>
    <x v="1"/>
    <m/>
  </r>
  <r>
    <s v="Electrical"/>
    <x v="50"/>
    <s v="Venu"/>
    <x v="4"/>
    <s v="SWD60H-003"/>
    <s v="Rotor repairing &amp; assemble"/>
    <d v="2026-01-30T00:00:00"/>
    <d v="2026-01-31T00:00:00"/>
    <m/>
    <m/>
    <d v="1899-12-30T06:30:00"/>
    <d v="1899-12-30T15:30:00"/>
    <n v="9.0000000000000018"/>
    <x v="2"/>
    <m/>
  </r>
  <r>
    <s v="Electrical"/>
    <x v="50"/>
    <s v="Saqib"/>
    <x v="5"/>
    <s v="SWD40N-004"/>
    <s v="Rewinding"/>
    <d v="2026-01-30T00:00:00"/>
    <d v="2026-01-31T00:00:00"/>
    <m/>
    <m/>
    <d v="1899-12-30T06:30:00"/>
    <d v="1899-12-30T15:30:00"/>
    <n v="9.0000000000000018"/>
    <x v="2"/>
    <m/>
  </r>
  <r>
    <s v="Bay 6 -_x000a_Generator"/>
    <x v="50"/>
    <s v="Jagdev"/>
    <x v="2"/>
    <s v="GEN150-037"/>
    <s v="Engine assembling"/>
    <d v="2026-01-27T00:00:00"/>
    <d v="2026-01-30T00:00:00"/>
    <m/>
    <m/>
    <d v="1899-12-30T08:30:00"/>
    <d v="1899-12-30T15:30:00"/>
    <n v="7"/>
    <x v="2"/>
    <m/>
  </r>
  <r>
    <s v="Bay 6 -_x000a_Generator"/>
    <x v="50"/>
    <s v="Suraj"/>
    <x v="2"/>
    <s v="GENJ100-009"/>
    <s v="Canopy&amp; radiator removing"/>
    <d v="2026-01-30T00:00:00"/>
    <d v="2026-01-30T00:00:00"/>
    <m/>
    <m/>
    <d v="1899-12-30T08:30:00"/>
    <d v="1899-12-30T13:30:00"/>
    <n v="5"/>
    <x v="0"/>
    <m/>
  </r>
  <r>
    <s v="Bay 6 -_x000a_Generator"/>
    <x v="50"/>
    <s v="Anwar"/>
    <x v="1"/>
    <m/>
    <m/>
    <m/>
    <m/>
    <m/>
    <m/>
    <d v="1899-12-30T08:30:00"/>
    <d v="1899-12-30T13:30:00"/>
    <n v="5"/>
    <x v="1"/>
    <m/>
  </r>
  <r>
    <s v="Bay 4&amp;5 - _x000a_Pumps"/>
    <x v="50"/>
    <s v="Zaheer"/>
    <x v="6"/>
    <s v="CP1818-020"/>
    <s v="Radiator change"/>
    <d v="2026-01-30T00:00:00"/>
    <d v="2026-02-02T00:00:00"/>
    <m/>
    <m/>
    <d v="1899-12-30T06:30:00"/>
    <d v="1899-12-30T17:30:00"/>
    <n v="11"/>
    <x v="0"/>
    <m/>
  </r>
  <r>
    <s v="Bay 4&amp;5 - _x000a_Pumps"/>
    <x v="50"/>
    <s v="Bilal"/>
    <x v="1"/>
    <m/>
    <m/>
    <m/>
    <m/>
    <m/>
    <m/>
    <d v="1899-12-30T06:30:00"/>
    <d v="1899-12-30T15:30:00"/>
    <n v="9.0000000000000018"/>
    <x v="1"/>
    <m/>
  </r>
  <r>
    <s v="Bay 4&amp;5 - _x000a_Pumps"/>
    <x v="50"/>
    <s v="Martino"/>
    <x v="6"/>
    <s v="CP1212-001"/>
    <s v="General repair"/>
    <d v="2026-01-30T00:00:00"/>
    <d v="2026-02-01T00:00:00"/>
    <m/>
    <m/>
    <d v="1899-12-30T08:30:00"/>
    <d v="1899-12-30T17:30:00"/>
    <n v="8.9999999999999982"/>
    <x v="0"/>
    <m/>
  </r>
  <r>
    <s v="Bay 4&amp;5 - _x000a_Pumps"/>
    <x v="50"/>
    <s v="Vinod"/>
    <x v="1"/>
    <m/>
    <m/>
    <m/>
    <m/>
    <m/>
    <m/>
    <d v="1899-12-30T08:30:00"/>
    <d v="1899-12-30T17:30:00"/>
    <n v="8.9999999999999982"/>
    <x v="1"/>
    <m/>
  </r>
  <r>
    <s v="Bay 4&amp;5 - _x000a_Pumps"/>
    <x v="50"/>
    <s v="Harish"/>
    <x v="0"/>
    <s v="CP150"/>
    <s v="1XVaccum Pump repair."/>
    <d v="2026-01-30T00:00:00"/>
    <d v="2026-01-30T00:00:00"/>
    <m/>
    <m/>
    <d v="1899-12-30T06:30:00"/>
    <d v="1899-12-30T09:30:00"/>
    <n v="3"/>
    <x v="0"/>
    <m/>
  </r>
  <r>
    <s v="Bay 4&amp;5 - _x000a_Pumps"/>
    <x v="50"/>
    <s v="Suresh"/>
    <x v="0"/>
    <s v="PT175XMozambique"/>
    <s v="Frame &amp; panel board removing &amp; refitting ongoing"/>
    <d v="2026-01-24T00:00:00"/>
    <d v="2026-01-30T00:00:00"/>
    <m/>
    <m/>
    <d v="1899-12-30T06:30:00"/>
    <d v="1899-12-30T15:30:00"/>
    <n v="9.0000000000000018"/>
    <x v="0"/>
    <m/>
  </r>
  <r>
    <s v="Bay 4&amp;5 - _x000a_Pumps"/>
    <x v="50"/>
    <s v="Mintu"/>
    <x v="1"/>
    <m/>
    <m/>
    <m/>
    <m/>
    <m/>
    <m/>
    <d v="1899-12-30T08:30:00"/>
    <d v="1899-12-30T17:30:00"/>
    <n v="8.9999999999999982"/>
    <x v="1"/>
    <m/>
  </r>
  <r>
    <s v="Bay 4&amp;5 - _x000a_Pumps"/>
    <x v="50"/>
    <s v="Bharathesha"/>
    <x v="0"/>
    <s v="CP150-539"/>
    <s v="Pump assembling ongoing"/>
    <d v="2026-01-22T00:00:00"/>
    <d v="2026-01-30T00:00:00"/>
    <m/>
    <m/>
    <d v="1899-12-30T06:30:00"/>
    <d v="1899-12-30T15:30:00"/>
    <n v="9.0000000000000018"/>
    <x v="2"/>
    <m/>
  </r>
  <r>
    <s v="Bay 4&amp;5 - _x000a_Pumps"/>
    <x v="50"/>
    <s v="Harish"/>
    <x v="0"/>
    <s v="PT175-552"/>
    <s v="Pump prepare for assembling &amp; gearbox assembling"/>
    <d v="2026-01-27T00:00:00"/>
    <d v="2026-01-30T00:00:00"/>
    <m/>
    <m/>
    <d v="1899-12-30T09:30:00"/>
    <d v="1899-12-30T15:30:00"/>
    <n v="6.0000000000000018"/>
    <x v="2"/>
    <m/>
  </r>
  <r>
    <s v="Bay 4&amp;5 - _x000a_Pumps"/>
    <x v="50"/>
    <s v="James"/>
    <x v="0"/>
    <s v="BL150-088"/>
    <s v="pump assemble"/>
    <d v="2026-01-27T00:00:00"/>
    <d v="2026-01-30T00:00:00"/>
    <m/>
    <m/>
    <d v="1899-12-30T06:30:00"/>
    <d v="1899-12-30T15:30:00"/>
    <n v="9.0000000000000018"/>
    <x v="0"/>
    <m/>
  </r>
  <r>
    <s v="Bay 4&amp;5 - _x000a_Pumps"/>
    <x v="50"/>
    <s v="Shaji"/>
    <x v="1"/>
    <m/>
    <m/>
    <m/>
    <m/>
    <m/>
    <m/>
    <d v="1899-12-30T13:00:00"/>
    <d v="1899-12-30T14:00:00"/>
    <n v="1.0000000000000018"/>
    <x v="1"/>
    <m/>
  </r>
  <r>
    <s v="Bay 4&amp;5 - _x000a_Pumps"/>
    <x v="50"/>
    <s v="Ismail"/>
    <x v="0"/>
    <s v="PT175-550"/>
    <s v="Pump end repair"/>
    <d v="2026-01-27T00:00:00"/>
    <d v="2026-01-30T00:00:00"/>
    <m/>
    <m/>
    <d v="1899-12-30T06:30:00"/>
    <d v="1899-12-30T15:30:00"/>
    <n v="9.0000000000000018"/>
    <x v="0"/>
    <m/>
  </r>
  <r>
    <s v="Bay 4&amp;5 - _x000a_Pumps"/>
    <x v="50"/>
    <s v="Shaji"/>
    <x v="1"/>
    <m/>
    <m/>
    <m/>
    <m/>
    <m/>
    <m/>
    <d v="1899-12-30T10:30:00"/>
    <d v="1899-12-30T12:00:00"/>
    <n v="1.5"/>
    <x v="1"/>
    <m/>
  </r>
  <r>
    <s v="Electrical"/>
    <x v="51"/>
    <s v="Fahad"/>
    <x v="3"/>
    <s v="CPB1.1-002"/>
    <s v="Wiring power &amp; control"/>
    <d v="2026-01-26T00:00:00"/>
    <d v="2026-01-30T00:00:00"/>
    <m/>
    <m/>
    <d v="1899-12-30T06:30:00"/>
    <d v="1899-12-30T15:30:00"/>
    <n v="9.0000000000000018"/>
    <x v="2"/>
    <m/>
  </r>
  <r>
    <s v="Electrical"/>
    <x v="51"/>
    <s v="Fahad"/>
    <x v="3"/>
    <s v="SPB95-002"/>
    <s v="FFD Dismantling for Testing"/>
    <d v="2026-01-31T00:00:00"/>
    <d v="2026-01-31T00:00:00"/>
    <m/>
    <m/>
    <d v="1899-12-30T06:30:00"/>
    <d v="1899-12-30T15:30:00"/>
    <n v="9.0000000000000018"/>
    <x v="2"/>
    <m/>
  </r>
  <r>
    <s v="Electrical"/>
    <x v="51"/>
    <s v="Giyan"/>
    <x v="4"/>
    <s v="SM530-134"/>
    <s v="Re Winding"/>
    <d v="2026-01-31T00:00:00"/>
    <d v="2026-01-31T00:00:00"/>
    <m/>
    <m/>
    <d v="1899-12-30T06:30:00"/>
    <d v="1899-12-30T15:30:00"/>
    <n v="9.0000000000000018"/>
    <x v="2"/>
    <m/>
  </r>
  <r>
    <s v="Electrical"/>
    <x v="51"/>
    <s v="Lijo"/>
    <x v="3"/>
    <s v="SPB7.5-023"/>
    <s v="Repair, test &amp; PDI"/>
    <d v="2026-01-29T00:00:00"/>
    <d v="2026-01-31T00:00:00"/>
    <m/>
    <m/>
    <d v="1899-12-30T08:30:00"/>
    <d v="1899-12-30T17:30:00"/>
    <n v="8.9999999999999982"/>
    <x v="2"/>
    <m/>
  </r>
  <r>
    <s v="Electrical"/>
    <x v="51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1"/>
    <s v="Cherith"/>
    <x v="2"/>
    <s v="GENJ250-040"/>
    <s v="Copper cable removing."/>
    <d v="2026-01-30T00:00:00"/>
    <d v="2026-01-31T00:00:00"/>
    <m/>
    <m/>
    <d v="1899-12-30T08:30:00"/>
    <d v="1899-12-30T17:30:00"/>
    <n v="8.9999999999999982"/>
    <x v="2"/>
    <m/>
  </r>
  <r>
    <s v="Electrical"/>
    <x v="51"/>
    <s v="Aman"/>
    <x v="1"/>
    <m/>
    <m/>
    <m/>
    <m/>
    <m/>
    <m/>
    <d v="1899-12-30T08:30:00"/>
    <d v="1899-12-30T17:30:00"/>
    <n v="8.9999999999999982"/>
    <x v="1"/>
    <m/>
  </r>
  <r>
    <s v="Electrical"/>
    <x v="51"/>
    <s v="Donald"/>
    <x v="4"/>
    <s v="SSD22-002"/>
    <s v="Pump assembling"/>
    <d v="2026-01-29T00:00:00"/>
    <d v="2026-01-31T00:00:00"/>
    <m/>
    <m/>
    <d v="1899-12-30T06:30:00"/>
    <d v="1899-12-30T09:30:00"/>
    <n v="3"/>
    <x v="2"/>
    <m/>
  </r>
  <r>
    <s v="Electrical"/>
    <x v="51"/>
    <s v="Ghiyan"/>
    <x v="4"/>
    <s v="SM530-134"/>
    <s v="Rewinding"/>
    <d v="2026-01-30T00:00:00"/>
    <d v="2026-01-31T00:00:00"/>
    <d v="2026-01-31T00:00:00"/>
    <m/>
    <d v="1899-12-30T06:30:00"/>
    <d v="1899-12-30T15:30:00"/>
    <n v="9.0000000000000018"/>
    <x v="0"/>
    <m/>
  </r>
  <r>
    <s v="Electrical"/>
    <x v="51"/>
    <s v="Afsar"/>
    <x v="1"/>
    <s v="Old B:H pump"/>
    <s v="15nos scrap pump Inspection &amp; repairing"/>
    <d v="2026-01-31T00:00:00"/>
    <d v="2026-01-31T00:00:00"/>
    <d v="2026-01-31T00:00:00"/>
    <m/>
    <d v="1899-12-30T08:30:00"/>
    <d v="1899-12-30T17:30:00"/>
    <n v="8.9999999999999982"/>
    <x v="0"/>
    <m/>
  </r>
  <r>
    <s v="Electrical"/>
    <x v="51"/>
    <s v="Suhaib"/>
    <x v="1"/>
    <m/>
    <m/>
    <m/>
    <m/>
    <m/>
    <m/>
    <d v="1899-12-30T08:30:00"/>
    <d v="1899-12-30T17:30:00"/>
    <n v="8.9999999999999982"/>
    <x v="1"/>
    <m/>
  </r>
  <r>
    <s v="Electrical"/>
    <x v="51"/>
    <s v="Venu"/>
    <x v="4"/>
    <s v="SWD60H-003"/>
    <s v="pump assemble"/>
    <d v="2026-01-30T00:00:00"/>
    <d v="2026-01-31T00:00:00"/>
    <m/>
    <m/>
    <d v="1899-12-30T06:30:00"/>
    <d v="1899-12-30T09:00:00"/>
    <n v="2.5000000000000004"/>
    <x v="2"/>
    <m/>
  </r>
  <r>
    <s v="Electrical"/>
    <x v="51"/>
    <s v="Saqib"/>
    <x v="5"/>
    <s v="SWD40N-004"/>
    <s v="Rewinding"/>
    <d v="2026-01-30T00:00:00"/>
    <d v="2026-01-31T00:00:00"/>
    <m/>
    <m/>
    <d v="1899-12-30T06:30:00"/>
    <d v="1899-12-30T15:30:00"/>
    <n v="9.0000000000000018"/>
    <x v="2"/>
    <m/>
  </r>
  <r>
    <s v="Bay 6 -_x000a_Generator"/>
    <x v="51"/>
    <s v="Jagdev"/>
    <x v="2"/>
    <s v="GEN150-037"/>
    <s v="Engine assembling"/>
    <d v="2026-01-27T00:00:00"/>
    <d v="2026-01-30T00:00:00"/>
    <m/>
    <m/>
    <d v="1899-12-30T08:30:00"/>
    <d v="1899-12-30T15:30:00"/>
    <n v="7"/>
    <x v="2"/>
    <m/>
  </r>
  <r>
    <s v="Bay 6 -_x000a_Generator"/>
    <x v="51"/>
    <s v="Suraj"/>
    <x v="2"/>
    <s v="GEN250-051"/>
    <s v="Engine oil service, general repair, radiator washing,"/>
    <d v="2026-01-31T00:00:00"/>
    <d v="2026-01-31T00:00:00"/>
    <d v="2026-01-31T00:00:00"/>
    <m/>
    <d v="1899-12-30T06:30:00"/>
    <d v="1899-12-30T10:30:00"/>
    <n v="4"/>
    <x v="0"/>
    <m/>
  </r>
  <r>
    <s v="Bay 6 -_x000a_Generator"/>
    <x v="51"/>
    <s v="Anwar"/>
    <x v="1"/>
    <m/>
    <m/>
    <m/>
    <m/>
    <m/>
    <m/>
    <d v="1899-12-30T08:30:00"/>
    <d v="1899-12-30T10:30:00"/>
    <n v="1.9999999999999996"/>
    <x v="1"/>
    <m/>
  </r>
  <r>
    <s v="Bay 6 -_x000a_Generator"/>
    <x v="51"/>
    <s v="Suraj"/>
    <x v="10"/>
    <s v="BFT3-323/336"/>
    <s v="Return adaptor fitting, final fitting"/>
    <d v="2026-01-31T00:00:00"/>
    <d v="2026-01-31T00:00:00"/>
    <d v="2026-01-31T00:00:00"/>
    <m/>
    <d v="1899-12-30T10:30:00"/>
    <d v="1899-12-30T13:30:00"/>
    <n v="3"/>
    <x v="0"/>
    <m/>
  </r>
  <r>
    <s v="Bay 6 -_x000a_Generator"/>
    <x v="51"/>
    <s v="Suraj"/>
    <x v="2"/>
    <s v="GEN100-40"/>
    <s v="Final fitting, breaker cover fitting"/>
    <d v="2026-01-31T00:00:00"/>
    <d v="2026-01-31T00:00:00"/>
    <d v="2026-01-31T00:00:00"/>
    <m/>
    <d v="1899-12-30T13:30:00"/>
    <d v="1899-12-30T15:30:00"/>
    <n v="2.0000000000000009"/>
    <x v="0"/>
    <m/>
  </r>
  <r>
    <s v="Bay 6 -_x000a_Generator"/>
    <x v="51"/>
    <s v="Suraj"/>
    <x v="8"/>
    <s v="General work"/>
    <s v="General work"/>
    <d v="2026-01-31T00:00:00"/>
    <d v="2026-01-31T00:00:00"/>
    <d v="2026-01-31T00:00:00"/>
    <m/>
    <d v="1899-12-30T15:30:00"/>
    <d v="1899-12-30T17:30:00"/>
    <n v="1.9999999999999982"/>
    <x v="0"/>
    <m/>
  </r>
  <r>
    <s v="Bay 4&amp;5 - _x000a_Pumps"/>
    <x v="51"/>
    <s v="Zaheer"/>
    <x v="6"/>
    <s v="CP1818-020"/>
    <s v="Radiator change"/>
    <d v="2026-01-30T00:00:00"/>
    <d v="2026-02-02T00:00:00"/>
    <d v="2026-02-02T00:00:00"/>
    <m/>
    <d v="1899-12-30T06:30:00"/>
    <d v="1899-12-30T17:30:00"/>
    <n v="11"/>
    <x v="0"/>
    <m/>
  </r>
  <r>
    <s v="Bay 4&amp;5 - _x000a_Pumps"/>
    <x v="51"/>
    <s v="Bilal"/>
    <x v="1"/>
    <m/>
    <m/>
    <m/>
    <m/>
    <m/>
    <m/>
    <d v="1899-12-30T06:30:00"/>
    <d v="1899-12-30T15:30:00"/>
    <n v="9.0000000000000018"/>
    <x v="1"/>
    <m/>
  </r>
  <r>
    <s v="Bay 4&amp;5 - _x000a_Pumps"/>
    <x v="51"/>
    <s v="Martino"/>
    <x v="6"/>
    <s v="CP1212-001"/>
    <s v="General repair"/>
    <d v="2026-01-30T00:00:00"/>
    <d v="2026-02-01T00:00:00"/>
    <d v="2026-02-01T00:00:00"/>
    <m/>
    <d v="1899-12-30T08:30:00"/>
    <d v="1899-12-30T17:30:00"/>
    <n v="8.9999999999999982"/>
    <x v="0"/>
    <m/>
  </r>
  <r>
    <s v="Bay 4&amp;5 - _x000a_Pumps"/>
    <x v="51"/>
    <s v="Vinod"/>
    <x v="6"/>
    <s v="CP1818-020"/>
    <s v="General repair"/>
    <d v="2026-01-30T00:00:00"/>
    <d v="2026-02-01T00:00:00"/>
    <d v="2026-02-01T00:00:00"/>
    <m/>
    <d v="1899-12-30T08:30:00"/>
    <d v="1899-12-30T17:30:00"/>
    <n v="8.9999999999999982"/>
    <x v="0"/>
    <m/>
  </r>
  <r>
    <s v="Bay 4&amp;5 - _x000a_Pumps"/>
    <x v="51"/>
    <s v="Mintu"/>
    <x v="0"/>
    <s v="PT-552"/>
    <s v="Engine repair"/>
    <d v="2026-01-31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Suresh"/>
    <x v="0"/>
    <s v="Mozambique pump"/>
    <s v="Frame &amp; panel board removing fabrication work &amp; refitting"/>
    <d v="2026-01-31T00:00:00"/>
    <d v="2026-01-31T00:00:00"/>
    <d v="2026-01-31T00:00:00"/>
    <m/>
    <d v="1899-12-30T08:30:00"/>
    <d v="1899-12-30T17:30:00"/>
    <n v="8.9999999999999982"/>
    <x v="0"/>
    <m/>
  </r>
  <r>
    <s v="Bay 4&amp;5 - _x000a_Pumps"/>
    <x v="51"/>
    <s v="Bharathesha"/>
    <x v="0"/>
    <s v="CP150-539"/>
    <s v="Pump assembling ongoing"/>
    <d v="2026-01-22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Harish"/>
    <x v="0"/>
    <s v="PT175-552"/>
    <s v="Pump prepare for assembling &amp; gearbox assembling"/>
    <d v="2026-01-27T00:00:00"/>
    <d v="2026-01-31T00:00:00"/>
    <d v="2026-01-31T00:00:00"/>
    <m/>
    <d v="1899-12-30T09:30:00"/>
    <d v="1899-12-30T15:30:00"/>
    <n v="6.0000000000000018"/>
    <x v="0"/>
    <m/>
  </r>
  <r>
    <s v="Bay 4&amp;5 - _x000a_Pumps"/>
    <x v="51"/>
    <s v="ISmail"/>
    <x v="0"/>
    <s v="CP150-250"/>
    <s v="Pump assembling ongoing"/>
    <d v="2026-01-31T00:00:00"/>
    <d v="2026-01-31T00:00:00"/>
    <d v="2026-01-31T00:00:00"/>
    <m/>
    <d v="1899-12-30T06:30:00"/>
    <d v="1899-12-30T15:30:00"/>
    <n v="9.0000000000000018"/>
    <x v="0"/>
    <m/>
  </r>
  <r>
    <s v="Bay 4&amp;5 - _x000a_Pumps"/>
    <x v="51"/>
    <s v="Shaji"/>
    <x v="1"/>
    <m/>
    <m/>
    <m/>
    <m/>
    <m/>
    <m/>
    <d v="1899-12-30T10:30:00"/>
    <d v="1899-12-30T12:00:00"/>
    <n v="1.5"/>
    <x v="1"/>
    <m/>
  </r>
  <r>
    <s v="Bay 4&amp;5 - _x000a_Pumps"/>
    <x v="51"/>
    <s v="James"/>
    <x v="0"/>
    <s v="CP150X3"/>
    <s v="Valve casing cleaning &amp; fiber coating"/>
    <d v="2026-01-31T00:00:00"/>
    <d v="2026-01-31T00:00:00"/>
    <d v="2026-01-31T00:00:00"/>
    <m/>
    <d v="1899-12-30T06:30:00"/>
    <d v="1899-12-30T15:30:00"/>
    <n v="9.0000000000000018"/>
    <x v="0"/>
    <m/>
  </r>
  <r>
    <s v="Electrical"/>
    <x v="52"/>
    <s v="Fahad"/>
    <x v="3"/>
    <s v="5XSCP"/>
    <s v="Inspection &amp; repair"/>
    <d v="2026-01-02T00:00:00"/>
    <d v="2026-01-02T00:00:00"/>
    <m/>
    <m/>
    <d v="1899-12-30T06:30:00"/>
    <d v="1899-12-30T15:30:00"/>
    <n v="9.0000000000000018"/>
    <x v="2"/>
    <m/>
  </r>
  <r>
    <s v="Electrical"/>
    <x v="52"/>
    <s v="Lijo"/>
    <x v="3"/>
    <s v="CPB13.8/175"/>
    <s v="Repair &amp; solar fixing"/>
    <d v="2026-01-02T00:00:00"/>
    <d v="2026-01-02T00:00:00"/>
    <m/>
    <m/>
    <d v="1899-12-30T08:30:00"/>
    <d v="1899-12-30T17:30:00"/>
    <n v="8.9999999999999982"/>
    <x v="2"/>
    <m/>
  </r>
  <r>
    <s v="Electrical"/>
    <x v="52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2"/>
    <m/>
  </r>
  <r>
    <s v="Electrical"/>
    <x v="52"/>
    <s v="Cherith"/>
    <x v="2"/>
    <s v="GENJ250-040"/>
    <s v="Copper cable removing."/>
    <d v="2026-02-02T00:00:00"/>
    <d v="2026-02-02T00:00:00"/>
    <d v="2026-02-02T00:00:00"/>
    <m/>
    <d v="1899-12-30T06:30:00"/>
    <d v="1899-12-30T17:30:00"/>
    <n v="11"/>
    <x v="0"/>
    <m/>
  </r>
  <r>
    <s v="Electrical"/>
    <x v="52"/>
    <s v="Aman"/>
    <x v="1"/>
    <m/>
    <m/>
    <m/>
    <m/>
    <m/>
    <m/>
    <d v="1899-12-30T06:30:00"/>
    <d v="1899-12-30T17:30:00"/>
    <n v="11"/>
    <x v="1"/>
    <m/>
  </r>
  <r>
    <s v="Electrical"/>
    <x v="52"/>
    <s v="Donald"/>
    <x v="11"/>
    <s v="SGN-006"/>
    <s v="Water testing"/>
    <d v="2026-02-02T00:00:00"/>
    <d v="2026-02-02T00:00:00"/>
    <d v="2026-02-02T00:00:00"/>
    <m/>
    <d v="1899-12-30T06:30:00"/>
    <d v="1899-12-30T10:00:00"/>
    <n v="3.5000000000000009"/>
    <x v="0"/>
    <m/>
  </r>
  <r>
    <s v="Electrical"/>
    <x v="52"/>
    <s v="Venu"/>
    <x v="1"/>
    <m/>
    <m/>
    <m/>
    <m/>
    <m/>
    <m/>
    <d v="1899-12-30T06:30:00"/>
    <d v="1899-12-30T10:00:00"/>
    <n v="3.5000000000000009"/>
    <x v="1"/>
    <m/>
  </r>
  <r>
    <s v="Electrical"/>
    <x v="52"/>
    <s v="Ghiyan"/>
    <x v="4"/>
    <s v="SM530-134"/>
    <s v="Rewinding"/>
    <d v="2026-02-02T00:00:00"/>
    <d v="2026-02-03T00:00:00"/>
    <m/>
    <m/>
    <d v="1899-12-30T06:30:00"/>
    <d v="1899-12-30T15:30:00"/>
    <n v="9.0000000000000018"/>
    <x v="2"/>
    <m/>
  </r>
  <r>
    <s v="Electrical"/>
    <x v="52"/>
    <s v="Afsar"/>
    <x v="5"/>
    <s v="Old B:H pump"/>
    <s v="15nos scrap pump Inspection &amp; repairing, 4nos cable joints."/>
    <d v="2026-02-02T00:00:00"/>
    <d v="2026-02-02T00:00:00"/>
    <d v="2026-02-02T00:00:00"/>
    <m/>
    <d v="1899-12-30T08:30:00"/>
    <d v="1899-12-30T17:30:00"/>
    <n v="8.9999999999999982"/>
    <x v="0"/>
    <m/>
  </r>
  <r>
    <s v="Electrical"/>
    <x v="52"/>
    <s v="Suhaib"/>
    <x v="1"/>
    <m/>
    <m/>
    <m/>
    <m/>
    <m/>
    <m/>
    <d v="1899-12-30T08:30:00"/>
    <d v="1899-12-30T17:30:00"/>
    <n v="8.9999999999999982"/>
    <x v="1"/>
    <m/>
  </r>
  <r>
    <s v="Electrical"/>
    <x v="52"/>
    <s v="Saqib"/>
    <x v="5"/>
    <s v="SWD40N-004"/>
    <s v="Rewinding"/>
    <d v="2026-02-02T00:00:00"/>
    <d v="2026-02-02T00:00:00"/>
    <d v="2026-02-02T00:00:00"/>
    <m/>
    <d v="1899-12-30T06:30:00"/>
    <d v="1899-12-30T15:30:00"/>
    <n v="9.0000000000000018"/>
    <x v="0"/>
    <m/>
  </r>
  <r>
    <s v="Bay 6 -_x000a_Generator"/>
    <x v="52"/>
    <s v="Jagdev"/>
    <x v="2"/>
    <s v="GEN150-037"/>
    <s v="Engine assembling"/>
    <d v="2026-01-27T00:00:00"/>
    <d v="2026-02-02T00:00:00"/>
    <d v="2026-02-02T00:00:00"/>
    <m/>
    <d v="1899-12-30T08:30:00"/>
    <d v="1899-12-30T15:30:00"/>
    <n v="7"/>
    <x v="0"/>
    <m/>
  </r>
  <r>
    <s v="Bay 6 -_x000a_Generator"/>
    <x v="52"/>
    <s v="Suraj"/>
    <x v="2"/>
    <s v="GEN200-004"/>
    <s v="Engine dismantling."/>
    <d v="2026-02-02T00:00:00"/>
    <d v="2026-02-02T00:00:00"/>
    <m/>
    <m/>
    <d v="1899-12-30T08:30:00"/>
    <d v="1899-12-30T17:30:00"/>
    <n v="8.9999999999999982"/>
    <x v="3"/>
    <m/>
  </r>
  <r>
    <s v="Bay 6 -_x000a_Generator"/>
    <x v="52"/>
    <s v="Mamun"/>
    <x v="1"/>
    <m/>
    <m/>
    <m/>
    <m/>
    <m/>
    <m/>
    <d v="1899-12-30T08:30:00"/>
    <d v="1899-12-30T17:30:00"/>
    <n v="8.9999999999999982"/>
    <x v="1"/>
    <m/>
  </r>
  <r>
    <s v="Bay 6 -_x000a_Generator"/>
    <x v="52"/>
    <s v="Suraj"/>
    <x v="2"/>
    <s v="GEN150-037"/>
    <s v="Foam sheet fixing"/>
    <d v="2026-02-02T00:00:00"/>
    <d v="2026-02-02T00:00:00"/>
    <d v="2026-02-02T00:00:00"/>
    <m/>
    <d v="1899-12-30T04:30:00"/>
    <d v="1899-12-30T17:30:00"/>
    <n v="13"/>
    <x v="0"/>
    <m/>
  </r>
  <r>
    <s v="Bay 4&amp;5 - _x000a_Pumps"/>
    <x v="52"/>
    <s v="Zaheer"/>
    <x v="6"/>
    <s v="CP1818-020"/>
    <s v="Vaccum test, final fitting &amp; PDI 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Bilal"/>
    <x v="1"/>
    <m/>
    <m/>
    <m/>
    <m/>
    <m/>
    <m/>
    <d v="1899-12-30T06:30:00"/>
    <d v="1899-12-30T15:30:00"/>
    <n v="9.0000000000000018"/>
    <x v="1"/>
    <m/>
  </r>
  <r>
    <s v="Bay 4&amp;5 - _x000a_Pumps"/>
    <x v="52"/>
    <s v="Martino"/>
    <x v="6"/>
    <s v="CP1212-026"/>
    <s v="Pump  overhauling"/>
    <d v="2026-02-02T00:00:00"/>
    <d v="2026-02-02T00:00:00"/>
    <d v="2026-02-02T00:00:00"/>
    <m/>
    <d v="1899-12-30T08:30:00"/>
    <d v="1899-12-30T17:30:00"/>
    <n v="8.9999999999999982"/>
    <x v="0"/>
    <m/>
  </r>
  <r>
    <s v="Bay 4&amp;5 - _x000a_Pumps"/>
    <x v="52"/>
    <s v="Vinod"/>
    <x v="6"/>
    <m/>
    <m/>
    <m/>
    <m/>
    <m/>
    <m/>
    <d v="1899-12-30T08:30:00"/>
    <d v="1899-12-30T17:30:00"/>
    <n v="8.9999999999999982"/>
    <x v="1"/>
    <m/>
  </r>
  <r>
    <s v="Bay 4&amp;5 - _x000a_Pumps"/>
    <x v="52"/>
    <s v="Mintu"/>
    <x v="0"/>
    <s v="ZD900-033"/>
    <s v="Engine repair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Suresh"/>
    <x v="0"/>
    <s v="CP150-507"/>
    <s v="pump dismantling"/>
    <d v="2026-02-02T00:00:00"/>
    <d v="2026-02-02T00:00:00"/>
    <d v="2026-02-02T00:00:00"/>
    <m/>
    <d v="1899-12-30T08:30:00"/>
    <d v="1899-12-30T17:30:00"/>
    <n v="8.9999999999999982"/>
    <x v="0"/>
    <m/>
  </r>
  <r>
    <s v="Bay 4&amp;5 - _x000a_Pumps"/>
    <x v="52"/>
    <s v="Bharathesha"/>
    <x v="0"/>
    <s v="CP150-507"/>
    <s v="Engine dismantling."/>
    <d v="2026-02-02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Harish"/>
    <x v="0"/>
    <s v="PT175-552"/>
    <s v="Pump assembling "/>
    <d v="2026-01-29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ISmail"/>
    <x v="0"/>
    <s v="CP150-250"/>
    <s v="Pump assembling ongoing"/>
    <d v="2026-01-31T00:00:00"/>
    <d v="2026-02-02T00:00:00"/>
    <d v="2026-02-02T00:00:00"/>
    <m/>
    <d v="1899-12-30T06:30:00"/>
    <d v="1899-12-30T15:30:00"/>
    <n v="9.0000000000000018"/>
    <x v="0"/>
    <m/>
  </r>
  <r>
    <s v="Bay 4&amp;5 - _x000a_Pumps"/>
    <x v="52"/>
    <s v="Shaji"/>
    <x v="1"/>
    <m/>
    <m/>
    <m/>
    <m/>
    <m/>
    <m/>
    <d v="1899-12-30T06:30:00"/>
    <d v="1899-12-30T15:30:00"/>
    <n v="9.0000000000000018"/>
    <x v="1"/>
    <m/>
  </r>
  <r>
    <s v="Bay 4&amp;5 - _x000a_Pumps"/>
    <x v="52"/>
    <s v="James"/>
    <x v="0"/>
    <s v="ZD900-033"/>
    <s v="Pump dismantling"/>
    <d v="2026-02-02T00:00:00"/>
    <d v="2026-02-02T00:00:00"/>
    <d v="2026-02-02T00:00:00"/>
    <m/>
    <d v="1899-12-30T06:30:00"/>
    <d v="1899-12-30T15:30:00"/>
    <n v="9.0000000000000018"/>
    <x v="0"/>
    <m/>
  </r>
  <r>
    <s v="Electrical"/>
    <x v="53"/>
    <s v="Fahad"/>
    <x v="3"/>
    <s v="SPB3.7-169"/>
    <s v="Repair, test &amp; PDI"/>
    <d v="2026-01-03T00:00:00"/>
    <d v="2026-01-03T00:00:00"/>
    <m/>
    <m/>
    <d v="1899-12-30T06:30:00"/>
    <d v="1899-12-30T15:30:00"/>
    <n v="9.0000000000000018"/>
    <x v="0"/>
    <m/>
  </r>
  <r>
    <s v="Electrical"/>
    <x v="53"/>
    <s v="Lijo"/>
    <x v="3"/>
    <s v="CPB3.7-171"/>
    <s v="Repair &amp; solar fixing"/>
    <d v="2026-01-03T00:00:00"/>
    <d v="2026-01-03T00:00:00"/>
    <m/>
    <m/>
    <d v="1899-12-30T08:30:00"/>
    <d v="1899-12-30T17:30:00"/>
    <n v="8.9999999999999982"/>
    <x v="0"/>
    <m/>
  </r>
  <r>
    <s v="Electrical"/>
    <x v="53"/>
    <s v="Faisal"/>
    <x v="3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x v="0"/>
    <m/>
  </r>
  <r>
    <s v="Electrical"/>
    <x v="53"/>
    <s v="Cherith"/>
    <x v="8"/>
    <s v="FM200X4/300X4"/>
    <s v="Inspection, power &amp; PDI"/>
    <d v="2026-02-03T00:00:00"/>
    <d v="2026-02-03T00:00:00"/>
    <m/>
    <m/>
    <d v="1899-12-30T06:30:00"/>
    <d v="1899-12-30T15:30:00"/>
    <n v="9.0000000000000018"/>
    <x v="0"/>
    <m/>
  </r>
  <r>
    <s v="Electrical"/>
    <x v="53"/>
    <s v="Aman"/>
    <x v="8"/>
    <s v="FM150X4/300X4"/>
    <s v="Inspection, power &amp; PDI"/>
    <d v="2026-02-03T00:00:00"/>
    <d v="2026-02-03T00:00:00"/>
    <m/>
    <m/>
    <d v="1899-12-30T08:30:00"/>
    <d v="1899-12-30T17:30:00"/>
    <n v="8.9999999999999982"/>
    <x v="0"/>
    <m/>
  </r>
  <r>
    <s v="Electrical"/>
    <x v="53"/>
    <s v="Donald"/>
    <x v="11"/>
    <s v="SM1002-273/SSD22-002"/>
    <s v="Water testing"/>
    <d v="2026-02-03T00:00:00"/>
    <d v="2026-02-03T00:00:00"/>
    <m/>
    <m/>
    <d v="1899-12-30T06:30:00"/>
    <d v="1899-12-30T10:00:00"/>
    <n v="3.5000000000000009"/>
    <x v="0"/>
    <m/>
  </r>
  <r>
    <s v="Electrical"/>
    <x v="53"/>
    <s v="Venu"/>
    <x v="1"/>
    <m/>
    <m/>
    <m/>
    <m/>
    <m/>
    <m/>
    <d v="1899-12-30T06:30:00"/>
    <d v="1899-12-30T10:00:00"/>
    <n v="3.5000000000000009"/>
    <x v="1"/>
    <m/>
  </r>
  <r>
    <s v="Electrical"/>
    <x v="53"/>
    <s v="Afsar"/>
    <x v="5"/>
    <s v="Old B:H pump"/>
    <s v="9nos pump Inspection &amp; water tesring"/>
    <d v="2026-02-03T00:00:00"/>
    <d v="2026-02-03T00:00:00"/>
    <m/>
    <m/>
    <d v="1899-12-30T08:30:00"/>
    <d v="1899-12-30T17:30:00"/>
    <n v="8.9999999999999982"/>
    <x v="0"/>
    <m/>
  </r>
  <r>
    <s v="Electrical"/>
    <x v="53"/>
    <s v="Suhaib"/>
    <x v="1"/>
    <m/>
    <m/>
    <m/>
    <m/>
    <m/>
    <m/>
    <d v="1899-12-30T08:30:00"/>
    <d v="1899-12-30T17:30:00"/>
    <n v="8.9999999999999982"/>
    <x v="1"/>
    <m/>
  </r>
  <r>
    <s v="Electrical"/>
    <x v="53"/>
    <s v="Saqib"/>
    <x v="11"/>
    <s v="SM530-134"/>
    <s v="Rewinding"/>
    <d v="2026-02-03T00:00:00"/>
    <d v="2026-02-04T00:00:00"/>
    <m/>
    <m/>
    <d v="1899-12-30T06:30:00"/>
    <d v="1899-12-30T15:30:00"/>
    <n v="9.0000000000000018"/>
    <x v="0"/>
    <m/>
  </r>
  <r>
    <s v="Bay 6 -_x000a_Generator"/>
    <x v="53"/>
    <s v="Jagdev"/>
    <x v="2"/>
    <s v="GEN150-037"/>
    <s v="Engine &amp; ac alternator fixing."/>
    <d v="2026-01-27T00:00:00"/>
    <d v="2026-02-03T00:00:00"/>
    <m/>
    <m/>
    <d v="1899-12-30T06:30:00"/>
    <d v="1899-12-30T15:30:00"/>
    <n v="9.0000000000000018"/>
    <x v="3"/>
    <m/>
  </r>
  <r>
    <s v="Bay 6 -_x000a_Generator"/>
    <x v="53"/>
    <s v="Anwar"/>
    <x v="1"/>
    <m/>
    <m/>
    <m/>
    <m/>
    <m/>
    <m/>
    <d v="1899-12-30T06:30:00"/>
    <d v="1899-12-30T10:00:00"/>
    <n v="3.5000000000000009"/>
    <x v="1"/>
    <m/>
  </r>
  <r>
    <s v="Bay 6 -_x000a_Generator"/>
    <x v="53"/>
    <s v="Suraj"/>
    <x v="6"/>
    <s v="ZD900-065"/>
    <s v="pump assembling"/>
    <d v="2026-02-02T00:00:00"/>
    <d v="2026-02-03T00:00:00"/>
    <m/>
    <m/>
    <d v="1899-12-30T08:30:00"/>
    <d v="1899-12-30T17:30:00"/>
    <n v="8.9999999999999982"/>
    <x v="0"/>
    <m/>
  </r>
  <r>
    <s v="Bay 6 -_x000a_Generator"/>
    <x v="53"/>
    <s v="Anwar"/>
    <x v="1"/>
    <m/>
    <m/>
    <m/>
    <m/>
    <m/>
    <m/>
    <d v="1899-12-30T10:00:00"/>
    <d v="1899-12-30T15:30:00"/>
    <n v="5.5"/>
    <x v="1"/>
    <m/>
  </r>
  <r>
    <s v="Bay 4&amp;5 - _x000a_Pumps"/>
    <x v="53"/>
    <s v="Zaheer"/>
    <x v="6"/>
    <s v="CD180M-22"/>
    <s v="Inspection &amp; general repair"/>
    <d v="2026-02-03T00:00:00"/>
    <d v="2026-02-07T00:00:00"/>
    <m/>
    <m/>
    <d v="1899-12-30T06:30:00"/>
    <d v="1899-12-30T15:30:00"/>
    <n v="9.0000000000000018"/>
    <x v="0"/>
    <m/>
  </r>
  <r>
    <s v="Bay 4&amp;5 - _x000a_Pumps"/>
    <x v="53"/>
    <s v="Bilal"/>
    <x v="6"/>
    <s v="AC375-012"/>
    <s v="Oil Service, general checkup"/>
    <d v="2026-02-03T00:00:00"/>
    <d v="2026-02-03T00:00:00"/>
    <m/>
    <m/>
    <d v="1899-12-30T06:30:00"/>
    <d v="1899-12-30T15:30:00"/>
    <n v="9.0000000000000018"/>
    <x v="0"/>
    <m/>
  </r>
  <r>
    <s v="Bay 4&amp;5 - _x000a_Pumps"/>
    <x v="53"/>
    <s v="Martino"/>
    <x v="6"/>
    <s v="CP1212-026"/>
    <s v="Pump  overhauling"/>
    <d v="2026-02-03T00:00:00"/>
    <d v="2026-02-03T00:00:00"/>
    <m/>
    <m/>
    <d v="1899-12-30T08:30:00"/>
    <d v="1899-12-30T17:30:00"/>
    <n v="8.9999999999999982"/>
    <x v="0"/>
    <m/>
  </r>
  <r>
    <s v="Bay 4&amp;5 - _x000a_Pumps"/>
    <x v="53"/>
    <s v="Vinod"/>
    <x v="6"/>
    <s v="CP1212S17-001"/>
    <s v="Pump  overhauling"/>
    <d v="2026-02-03T00:00:00"/>
    <d v="2026-02-03T00:00:00"/>
    <m/>
    <m/>
    <d v="1899-12-30T08:30:00"/>
    <d v="1899-12-30T17:30:00"/>
    <n v="8.9999999999999982"/>
    <x v="0"/>
    <m/>
  </r>
  <r>
    <s v="Bay 4&amp;5 - _x000a_Pumps"/>
    <x v="53"/>
    <s v="Mintu"/>
    <x v="0"/>
    <s v="ZD900-033"/>
    <s v="Engine repair ongoing"/>
    <d v="2026-02-02T00:00:00"/>
    <d v="2026-02-03T00:00:00"/>
    <m/>
    <m/>
    <d v="1899-12-30T06:30:00"/>
    <d v="1899-12-30T15:30:00"/>
    <n v="9.0000000000000018"/>
    <x v="0"/>
    <m/>
  </r>
  <r>
    <s v="Bay 4&amp;5 - _x000a_Pumps"/>
    <x v="53"/>
    <s v="Suresh"/>
    <x v="0"/>
    <s v="CP150-507"/>
    <s v="Pump prepare for assembling"/>
    <d v="2026-02-02T00:00:00"/>
    <d v="2026-02-03T00:00:00"/>
    <m/>
    <m/>
    <d v="1899-12-30T08:30:00"/>
    <d v="1899-12-30T17:30:00"/>
    <n v="8.9999999999999982"/>
    <x v="0"/>
    <m/>
  </r>
  <r>
    <s v="Bay 4&amp;5 - _x000a_Pumps"/>
    <x v="53"/>
    <s v="Bharathesha"/>
    <x v="0"/>
    <s v="CP150-507"/>
    <s v="Engine prepare for assembling"/>
    <d v="2026-02-02T00:00:00"/>
    <d v="2026-02-03T00:00:00"/>
    <m/>
    <m/>
    <d v="1899-12-30T06:30:00"/>
    <d v="1899-12-30T15:30:00"/>
    <n v="9.0000000000000018"/>
    <x v="0"/>
    <m/>
  </r>
  <r>
    <s v="Bay 4&amp;5 - _x000a_Pumps"/>
    <x v="53"/>
    <s v="Harish"/>
    <x v="0"/>
    <s v="PT175-552"/>
    <s v="Pump assembling ongoing"/>
    <d v="2026-01-29T00:00:00"/>
    <d v="2026-02-03T00:00:00"/>
    <m/>
    <m/>
    <d v="1899-12-30T09:30:00"/>
    <d v="1899-12-30T15:30:00"/>
    <n v="6.0000000000000018"/>
    <x v="0"/>
    <m/>
  </r>
  <r>
    <s v="Bay 4&amp;5 - _x000a_Pumps"/>
    <x v="53"/>
    <s v="Harish"/>
    <x v="0"/>
    <s v="CP150-882"/>
    <s v="Final fitting &amp; minor repair"/>
    <d v="2026-02-03T00:00:00"/>
    <d v="2026-02-03T00:00:00"/>
    <m/>
    <m/>
    <d v="1899-12-30T06:30:00"/>
    <d v="1899-12-30T08:00:00"/>
    <n v="1.5"/>
    <x v="0"/>
    <m/>
  </r>
  <r>
    <s v="Bay 4&amp;5 - _x000a_Pumps"/>
    <x v="53"/>
    <s v="Harish"/>
    <x v="0"/>
    <s v="CP150-259"/>
    <s v="Final fitting &amp; minor repair"/>
    <d v="2026-02-03T00:00:00"/>
    <d v="2026-02-03T00:00:00"/>
    <m/>
    <m/>
    <d v="1899-12-30T08:00:00"/>
    <d v="1899-12-30T09:30:00"/>
    <n v="1.5"/>
    <x v="0"/>
    <m/>
  </r>
  <r>
    <s v="Bay 4&amp;5 - _x000a_Pumps"/>
    <x v="53"/>
    <s v="ISmail"/>
    <x v="0"/>
    <s v="CP150-250"/>
    <s v="Pump assembling ongoing"/>
    <d v="2026-01-31T00:00:00"/>
    <d v="2026-02-03T00:00:00"/>
    <m/>
    <m/>
    <d v="1899-12-30T06:30:00"/>
    <d v="1899-12-30T15:30:00"/>
    <n v="9.0000000000000018"/>
    <x v="0"/>
    <m/>
  </r>
  <r>
    <s v="Bay 4&amp;5 - _x000a_Pumps"/>
    <x v="53"/>
    <s v="Shaji"/>
    <x v="1"/>
    <m/>
    <m/>
    <m/>
    <m/>
    <m/>
    <m/>
    <d v="1899-12-30T06:30:00"/>
    <d v="1899-12-30T15:30:00"/>
    <n v="9.0000000000000018"/>
    <x v="1"/>
    <m/>
  </r>
  <r>
    <s v="Bay 4&amp;5 - _x000a_Pumps"/>
    <x v="53"/>
    <s v="James"/>
    <x v="0"/>
    <s v="ZD900-033"/>
    <s v="Pump prepare for assembling"/>
    <d v="2026-02-02T00:00:00"/>
    <d v="2026-02-03T00:00:00"/>
    <m/>
    <m/>
    <d v="1899-12-30T06:30:00"/>
    <d v="1899-12-30T15:30:00"/>
    <n v="9.0000000000000018"/>
    <x v="0"/>
    <m/>
  </r>
  <r>
    <s v="Electrical"/>
    <x v="54"/>
    <s v="Fahad"/>
    <x v="3"/>
    <s v="SPB3.7-021"/>
    <s v="Repair, test &amp; PDI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Suleman"/>
    <x v="3"/>
    <s v="SPB3.7-054"/>
    <s v="Repair, test &amp; PDI"/>
    <d v="2026-01-04T00:00:00"/>
    <d v="2026-01-04T00:00:00"/>
    <d v="2026-01-04T00:00:00"/>
    <m/>
    <d v="1899-12-30T08:30:00"/>
    <d v="1899-12-30T17:30:00"/>
    <n v="8.9999999999999982"/>
    <x v="0"/>
    <m/>
  </r>
  <r>
    <s v="Electrical"/>
    <x v="54"/>
    <s v="Faisal"/>
    <x v="3"/>
    <s v="DB299/059"/>
    <s v="Repair, test &amp; PDI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Cherith"/>
    <x v="8"/>
    <s v="FM-150/200/300"/>
    <s v="8nos flowmeter inspection &amp; PDI"/>
    <d v="2026-02-03T00:00:00"/>
    <d v="2026-02-04T00:00:00"/>
    <m/>
    <m/>
    <d v="1899-12-30T08:30:00"/>
    <d v="1899-12-30T17:30:00"/>
    <n v="8.9999999999999982"/>
    <x v="2"/>
    <m/>
  </r>
  <r>
    <s v="Electrical"/>
    <x v="54"/>
    <s v="Aman"/>
    <x v="1"/>
    <m/>
    <m/>
    <m/>
    <m/>
    <m/>
    <m/>
    <d v="1899-12-30T08:30:00"/>
    <d v="1899-12-30T17:30:00"/>
    <n v="8.9999999999999982"/>
    <x v="1"/>
    <m/>
  </r>
  <r>
    <s v="Electrical"/>
    <x v="54"/>
    <s v="Ghiyan"/>
    <x v="4"/>
    <s v="SM530"/>
    <s v="Rewinding"/>
    <d v="2026-01-04T00:00:00"/>
    <d v="2026-01-04T00:00:00"/>
    <m/>
    <m/>
    <d v="1899-12-30T06:30:00"/>
    <d v="1899-12-30T15:30:00"/>
    <n v="9.0000000000000018"/>
    <x v="2"/>
    <m/>
  </r>
  <r>
    <s v="Electrical"/>
    <x v="54"/>
    <s v="Donald"/>
    <x v="11"/>
    <s v="SSD18-002"/>
    <s v="inspection &amp; dismantling"/>
    <d v="2026-01-04T00:00:00"/>
    <d v="2026-01-04T00:00:00"/>
    <d v="2026-01-04T00:00:00"/>
    <m/>
    <d v="1899-12-30T06:30:00"/>
    <d v="1899-12-30T15:30:00"/>
    <n v="9.0000000000000018"/>
    <x v="0"/>
    <m/>
  </r>
  <r>
    <s v="Electrical"/>
    <x v="54"/>
    <s v="Venu"/>
    <x v="5"/>
    <s v="SWD60H-003"/>
    <s v="Pump aassembling"/>
    <d v="2026-01-04T00:00:00"/>
    <d v="2026-01-04T00:00:00"/>
    <m/>
    <m/>
    <d v="1899-12-30T06:30:00"/>
    <d v="1899-12-30T15:30:00"/>
    <n v="9.0000000000000018"/>
    <x v="2"/>
    <m/>
  </r>
  <r>
    <s v="Electrical"/>
    <x v="54"/>
    <s v="Afsar"/>
    <x v="5"/>
    <s v="Old B:H pump"/>
    <s v="15nos pump Inspection &amp; scrap/ 4nos pump cable joint"/>
    <d v="2026-02-04T00:00:00"/>
    <d v="2026-02-04T00:00:00"/>
    <d v="2026-02-04T00:00:00"/>
    <m/>
    <d v="1899-12-30T08:30:00"/>
    <d v="1899-12-30T17:30:00"/>
    <n v="8.9999999999999982"/>
    <x v="0"/>
    <m/>
  </r>
  <r>
    <s v="Electrical"/>
    <x v="54"/>
    <s v="Suhaib"/>
    <x v="1"/>
    <m/>
    <m/>
    <m/>
    <m/>
    <m/>
    <m/>
    <d v="1899-12-30T08:30:00"/>
    <d v="1899-12-30T17:30:00"/>
    <n v="8.9999999999999982"/>
    <x v="1"/>
    <m/>
  </r>
  <r>
    <s v="Electrical"/>
    <x v="54"/>
    <s v="Saqib"/>
    <x v="4"/>
    <s v="SM1002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4"/>
    <s v="Jagdev"/>
    <x v="2"/>
    <s v="GEN150-037"/>
    <s v="Engine &amp; ac alternator fixing, canopy fixing"/>
    <d v="2026-01-27T00:00:00"/>
    <d v="2026-01-04T00:00:00"/>
    <d v="2026-01-04T00:00:00"/>
    <m/>
    <d v="1899-12-30T06:30:00"/>
    <d v="1899-12-30T15:30:00"/>
    <n v="9.0000000000000018"/>
    <x v="0"/>
    <m/>
  </r>
  <r>
    <s v="Bay 6 -_x000a_Generator"/>
    <x v="54"/>
    <s v="Suraj"/>
    <x v="2"/>
    <s v="GEN60-80/63/077/065"/>
    <s v="Water washing, general repair &amp; load test"/>
    <d v="2026-02-04T00:00:00"/>
    <d v="2026-02-04T00:00:00"/>
    <d v="2026-02-04T00:00:00"/>
    <m/>
    <d v="1899-12-30T08:30:00"/>
    <d v="1899-12-30T17:30:00"/>
    <n v="8.9999999999999982"/>
    <x v="0"/>
    <m/>
  </r>
  <r>
    <s v="Bay 6 -_x000a_Generator"/>
    <x v="54"/>
    <s v="Anwar"/>
    <x v="1"/>
    <m/>
    <m/>
    <m/>
    <m/>
    <m/>
    <m/>
    <d v="1899-12-30T06:30:00"/>
    <d v="1899-12-30T15:30:00"/>
    <n v="9.0000000000000018"/>
    <x v="1"/>
    <m/>
  </r>
  <r>
    <s v="Bay 6 -_x000a_Generator"/>
    <x v="54"/>
    <s v="Suraj"/>
    <x v="2"/>
    <s v="GEN100-013"/>
    <s v="Final fitting"/>
    <d v="2026-02-04T00:00:00"/>
    <d v="2026-02-04T00:00:00"/>
    <d v="2026-02-04T00:00:00"/>
    <m/>
    <d v="1899-12-30T15:30:00"/>
    <d v="1899-12-30T17:30:00"/>
    <n v="1.9999999999999982"/>
    <x v="0"/>
    <m/>
  </r>
  <r>
    <s v="Bay 4&amp;5 - _x000a_Pumps"/>
    <x v="54"/>
    <s v="Zaheer"/>
    <x v="6"/>
    <s v="CD180M-22"/>
    <s v="Muffler change &amp; general repair work."/>
    <d v="2026-02-04T00:00:00"/>
    <d v="2026-02-07T00:00:00"/>
    <d v="2026-02-07T00:00:00"/>
    <m/>
    <d v="1899-12-30T06:30:00"/>
    <d v="1899-12-30T15:30:00"/>
    <n v="9.0000000000000018"/>
    <x v="0"/>
    <m/>
  </r>
  <r>
    <s v="Bay 4&amp;5 - _x000a_Pumps"/>
    <x v="54"/>
    <s v="Bilal"/>
    <x v="6"/>
    <s v="CD300M-015"/>
    <s v="Inspection &amp; overhauling"/>
    <d v="2026-02-04T00:00:00"/>
    <d v="2026-02-08T00:00:00"/>
    <d v="2026-02-08T00:00:00"/>
    <m/>
    <d v="1899-12-30T06:30:00"/>
    <d v="1899-12-30T15:30:00"/>
    <n v="9.0000000000000018"/>
    <x v="0"/>
    <m/>
  </r>
  <r>
    <s v="Bay 4&amp;5 - _x000a_Pumps"/>
    <x v="54"/>
    <s v="Vinod"/>
    <x v="6"/>
    <s v="CP1212S17-001"/>
    <s v="Pump  assembling"/>
    <d v="2026-02-04T00:00:00"/>
    <d v="2026-02-06T00:00:00"/>
    <d v="2026-02-06T00:00:00"/>
    <m/>
    <d v="1899-12-30T08:30:00"/>
    <d v="1899-12-30T17:30:00"/>
    <n v="8.9999999999999982"/>
    <x v="0"/>
    <m/>
  </r>
  <r>
    <s v="Bay 4&amp;5 - _x000a_Pumps"/>
    <x v="54"/>
    <s v="Mintu"/>
    <x v="0"/>
    <s v="ZD900-033"/>
    <s v="Engine repair ongoing"/>
    <d v="2026-02-02T00:00:00"/>
    <d v="2026-02-04T00:00:00"/>
    <d v="2026-02-04T00:00:00"/>
    <m/>
    <d v="1899-12-30T06:30:00"/>
    <d v="1899-12-30T10:30:00"/>
    <n v="4"/>
    <x v="0"/>
    <m/>
  </r>
  <r>
    <s v="Bay 4&amp;5 - _x000a_Pumps"/>
    <x v="54"/>
    <s v="Suresh"/>
    <x v="0"/>
    <s v="CP150-507"/>
    <s v="Pump prepare for assembling"/>
    <d v="2026-02-02T00:00:00"/>
    <d v="2026-02-03T00:00:00"/>
    <d v="2026-02-03T00:00:00"/>
    <m/>
    <d v="1899-12-30T08:30:00"/>
    <d v="1899-12-30T17:30:00"/>
    <n v="8.9999999999999982"/>
    <x v="0"/>
    <m/>
  </r>
  <r>
    <s v="Bay 4&amp;5 - _x000a_Pumps"/>
    <x v="54"/>
    <s v="Bharathesha"/>
    <x v="0"/>
    <s v="CP150-507"/>
    <s v="Engine assembling"/>
    <d v="2026-02-02T00:00:00"/>
    <d v="2026-02-04T00:00:00"/>
    <d v="2026-02-04T00:00:00"/>
    <m/>
    <d v="1899-12-30T06:30:00"/>
    <d v="1899-12-30T15:30:00"/>
    <n v="9.0000000000000018"/>
    <x v="0"/>
    <m/>
  </r>
  <r>
    <s v="Bay 4&amp;5 - _x000a_Pumps"/>
    <x v="54"/>
    <s v="Suresh"/>
    <x v="0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x v="0"/>
    <m/>
  </r>
  <r>
    <s v="Bay 4&amp;5 - _x000a_Pumps"/>
    <x v="54"/>
    <s v="Harish"/>
    <x v="0"/>
    <s v="PT175-552"/>
    <s v="Pump assembling, water testing &amp; engine repair"/>
    <d v="2026-01-29T00:00:00"/>
    <d v="2026-02-04T00:00:00"/>
    <d v="2026-02-04T00:00:00"/>
    <m/>
    <d v="1899-12-30T06:30:00"/>
    <d v="1899-12-30T12:30:00"/>
    <n v="6.0000000000000018"/>
    <x v="0"/>
    <m/>
  </r>
  <r>
    <s v="Bay 4&amp;5 - _x000a_Pumps"/>
    <x v="54"/>
    <s v="Mintu"/>
    <x v="1"/>
    <m/>
    <m/>
    <m/>
    <m/>
    <m/>
    <m/>
    <d v="1899-12-30T10:30:00"/>
    <d v="1899-12-30T12:30:00"/>
    <n v="2.0000000000000009"/>
    <x v="1"/>
    <m/>
  </r>
  <r>
    <s v="Bay 4&amp;5 - _x000a_Pumps"/>
    <x v="54"/>
    <s v="Harish"/>
    <x v="0"/>
    <s v="CP150V-015"/>
    <s v="Pump repair &amp; water test"/>
    <d v="2026-02-04T00:00:00"/>
    <d v="2026-02-04T00:00:00"/>
    <d v="2026-02-04T00:00:00"/>
    <m/>
    <d v="1899-12-30T12:30:00"/>
    <d v="1899-12-30T15:30:00"/>
    <n v="3"/>
    <x v="0"/>
    <m/>
  </r>
  <r>
    <s v="Bay 4&amp;5 - _x000a_Pumps"/>
    <x v="54"/>
    <s v="Mintu"/>
    <x v="8"/>
    <s v="SCRLFT19-001"/>
    <s v="hydraulic hose repair"/>
    <d v="2026-02-04T00:00:00"/>
    <d v="2026-02-04T00:00:00"/>
    <d v="2026-02-04T00:00:00"/>
    <m/>
    <d v="1899-12-30T13:30:00"/>
    <d v="1899-12-30T14:00:00"/>
    <n v="0.50000000000000089"/>
    <x v="0"/>
    <m/>
  </r>
  <r>
    <s v="Bay 4&amp;5 - _x000a_Pumps"/>
    <x v="54"/>
    <s v="ISmail"/>
    <x v="0"/>
    <s v="CP150-250"/>
    <s v="Pump assembling ongoing"/>
    <d v="2026-01-31T00:00:00"/>
    <d v="2026-02-04T00:00:00"/>
    <d v="2026-02-04T00:00:00"/>
    <m/>
    <d v="1899-12-30T06:30:00"/>
    <d v="1899-12-30T15:30:00"/>
    <n v="9.0000000000000018"/>
    <x v="0"/>
    <m/>
  </r>
  <r>
    <s v="Bay 4&amp;5 - _x000a_Pumps"/>
    <x v="54"/>
    <s v="Shaji"/>
    <x v="1"/>
    <m/>
    <m/>
    <m/>
    <m/>
    <m/>
    <m/>
    <d v="1899-12-30T06:30:00"/>
    <d v="1899-12-30T15:30:00"/>
    <n v="9.0000000000000018"/>
    <x v="1"/>
    <m/>
  </r>
  <r>
    <s v="Bay 4&amp;5 - _x000a_Pumps"/>
    <x v="54"/>
    <s v="ISmail"/>
    <x v="0"/>
    <s v="CP150V-062"/>
    <s v="Engine &amp; pump repair ongoing"/>
    <d v="2026-02-02T00:00:00"/>
    <d v="2026-02-04T00:00:00"/>
    <d v="2026-02-04T00:00:00"/>
    <m/>
    <d v="1899-12-30T14:00:00"/>
    <d v="1899-12-30T17:30:00"/>
    <n v="3.4999999999999982"/>
    <x v="0"/>
    <m/>
  </r>
  <r>
    <s v="Bay 4&amp;5 - _x000a_Pumps"/>
    <x v="54"/>
    <s v="Mintu"/>
    <x v="1"/>
    <m/>
    <m/>
    <m/>
    <m/>
    <m/>
    <m/>
    <d v="1899-12-30T12:30:00"/>
    <d v="1899-12-30T15:30:00"/>
    <n v="3"/>
    <x v="1"/>
    <m/>
  </r>
  <r>
    <s v="Bay 4&amp;5 - _x000a_Pumps"/>
    <x v="54"/>
    <s v="James"/>
    <x v="0"/>
    <s v="ZD900-033"/>
    <s v="Pump assembling"/>
    <d v="2026-02-02T00:00:00"/>
    <d v="2026-02-04T00:00:00"/>
    <d v="2026-02-04T00:00:00"/>
    <m/>
    <d v="1899-12-30T06:30:00"/>
    <d v="1899-12-30T15:30:00"/>
    <n v="9.0000000000000018"/>
    <x v="0"/>
    <m/>
  </r>
  <r>
    <s v="Electrical"/>
    <x v="55"/>
    <s v="Fahad"/>
    <x v="3"/>
    <s v="SPB2.2-020"/>
    <s v="Repair, test &amp; PDI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Suleman"/>
    <x v="3"/>
    <s v="SPB7.5-025/003"/>
    <s v="Repair, test &amp; PDI"/>
    <d v="2026-01-05T00:00:00"/>
    <d v="2026-01-05T00:00:00"/>
    <d v="2026-01-05T00:00:00"/>
    <m/>
    <d v="1899-12-30T08:30:00"/>
    <d v="1899-12-30T17:30:00"/>
    <n v="8.9999999999999982"/>
    <x v="0"/>
    <m/>
  </r>
  <r>
    <s v="Electrical"/>
    <x v="55"/>
    <s v="Faisal"/>
    <x v="3"/>
    <s v="SPB2.2-034"/>
    <s v="Repair, test &amp; PDI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Cherith"/>
    <x v="8"/>
    <s v="FM-150/200/300"/>
    <s v="Inspection &amp; PDI"/>
    <d v="2026-02-05T00:00:00"/>
    <d v="2026-02-05T00:00:00"/>
    <m/>
    <m/>
    <d v="1899-12-30T08:30:00"/>
    <d v="1899-12-30T12:00:00"/>
    <n v="3.4999999999999996"/>
    <x v="2"/>
    <m/>
  </r>
  <r>
    <s v="Electrical"/>
    <x v="55"/>
    <s v="Aman"/>
    <x v="1"/>
    <m/>
    <m/>
    <m/>
    <m/>
    <m/>
    <m/>
    <d v="1899-12-30T08:30:00"/>
    <d v="1899-12-30T12:00:00"/>
    <n v="3.4999999999999996"/>
    <x v="1"/>
    <m/>
  </r>
  <r>
    <s v="Electrical"/>
    <x v="55"/>
    <s v="Cherith"/>
    <x v="2"/>
    <s v="GENJ250-040"/>
    <s v="Cleaning &amp; paper instenciling"/>
    <d v="2026-02-05T00:00:00"/>
    <d v="2026-02-05T00:00:00"/>
    <m/>
    <m/>
    <d v="1899-12-30T12:00:00"/>
    <d v="1899-12-30T17:30:00"/>
    <n v="5.4999999999999991"/>
    <x v="2"/>
    <m/>
  </r>
  <r>
    <s v="Electrical"/>
    <x v="55"/>
    <s v="Aman"/>
    <x v="1"/>
    <m/>
    <m/>
    <m/>
    <m/>
    <m/>
    <m/>
    <d v="1899-12-30T12:00:00"/>
    <d v="1899-12-30T17:30:00"/>
    <n v="5.4999999999999991"/>
    <x v="1"/>
    <m/>
  </r>
  <r>
    <s v="Electrical"/>
    <x v="55"/>
    <s v="Ghiyan"/>
    <x v="2"/>
    <s v="GEN60-013/003"/>
    <s v="Pwer cable connection."/>
    <d v="2026-01-05T00:00:00"/>
    <d v="2026-01-05T00:00:00"/>
    <d v="2026-01-05T00:00:00"/>
    <m/>
    <d v="1899-12-30T06:30:00"/>
    <d v="1899-12-30T15:30:00"/>
    <n v="9.0000000000000018"/>
    <x v="0"/>
    <m/>
  </r>
  <r>
    <s v="Electrical"/>
    <x v="55"/>
    <s v="Donald"/>
    <x v="11"/>
    <s v="SM1002-019"/>
    <s v="inspection &amp; dismantling"/>
    <d v="2026-01-04T00:00:00"/>
    <d v="2026-01-05T00:00:00"/>
    <d v="2026-01-05T00:00:00"/>
    <m/>
    <d v="1899-12-30T06:30:00"/>
    <d v="1899-12-30T15:30:00"/>
    <n v="9.0000000000000018"/>
    <x v="0"/>
    <m/>
  </r>
  <r>
    <s v="Electrical"/>
    <x v="55"/>
    <s v="Venu"/>
    <x v="11"/>
    <s v="SWD60N-003"/>
    <s v="Pump aassembling"/>
    <d v="2026-01-04T00:00:00"/>
    <d v="2026-01-05T00:00:00"/>
    <d v="2026-01-05T00:00:00"/>
    <m/>
    <d v="1899-12-30T06:30:00"/>
    <d v="1899-12-30T12:00:00"/>
    <n v="5.5"/>
    <x v="0"/>
    <m/>
  </r>
  <r>
    <s v="Electrical"/>
    <x v="55"/>
    <s v="Venu"/>
    <x v="11"/>
    <s v="SM530/419"/>
    <s v="Inspection &amp; dismantle"/>
    <d v="2026-01-05T00:00:00"/>
    <d v="2026-01-05T00:00:00"/>
    <d v="2026-01-05T00:00:00"/>
    <m/>
    <d v="1899-12-30T12:00:00"/>
    <d v="1899-12-30T15:30:00"/>
    <n v="3.5000000000000009"/>
    <x v="0"/>
    <m/>
  </r>
  <r>
    <s v="Electrical"/>
    <x v="55"/>
    <s v="Suhaib"/>
    <x v="5"/>
    <s v="Old B:H pump"/>
    <s v="15nos pump inspection &amp; prepare for scrap."/>
    <d v="2026-01-05T00:00:00"/>
    <d v="2026-01-05T00:00:00"/>
    <d v="2026-01-05T00:00:00"/>
    <m/>
    <d v="1899-12-30T08:30:00"/>
    <d v="1899-12-30T17:30:00"/>
    <n v="8.9999999999999982"/>
    <x v="0"/>
    <m/>
  </r>
  <r>
    <s v="Electrical"/>
    <x v="55"/>
    <s v="Saqib"/>
    <x v="4"/>
    <s v="SM1002-179"/>
    <s v="Rewinding"/>
    <d v="2026-02-04T00:00:00"/>
    <d v="2026-01-05T00:00:00"/>
    <m/>
    <m/>
    <d v="1899-12-30T06:30:00"/>
    <d v="1899-12-30T15:30:00"/>
    <n v="9.0000000000000018"/>
    <x v="2"/>
    <m/>
  </r>
  <r>
    <s v="Bay 6 -_x000a_Generator"/>
    <x v="55"/>
    <s v="Suraj"/>
    <x v="2"/>
    <s v="GEN60-41"/>
    <s v="Coolant connection, pipe fitting, starting &amp; voltage setting, load test"/>
    <d v="2026-02-05T00:00:00"/>
    <d v="2026-02-05T00:00:00"/>
    <m/>
    <m/>
    <d v="1899-12-30T08:30:00"/>
    <d v="1899-12-30T11:30:00"/>
    <n v="3"/>
    <x v="2"/>
    <m/>
  </r>
  <r>
    <s v="Bay 6 -_x000a_Generator"/>
    <x v="55"/>
    <s v="Anwar"/>
    <x v="1"/>
    <m/>
    <m/>
    <m/>
    <m/>
    <m/>
    <m/>
    <d v="1899-12-30T08:30:00"/>
    <d v="1899-12-30T11:30:00"/>
    <n v="3"/>
    <x v="1"/>
    <m/>
  </r>
  <r>
    <s v="Bay 6 -_x000a_Generator"/>
    <x v="55"/>
    <s v="Suraj"/>
    <x v="2"/>
    <s v="GEN60-27"/>
    <s v="Final fitting"/>
    <d v="2026-01-05T00:00:00"/>
    <d v="2026-01-05T00:00:00"/>
    <d v="2026-01-05T00:00:00"/>
    <m/>
    <d v="1899-12-30T15:30:00"/>
    <d v="1899-12-30T16:30:00"/>
    <n v="0.99999999999999911"/>
    <x v="0"/>
    <m/>
  </r>
  <r>
    <s v="Bay 6 -_x000a_Generator"/>
    <x v="55"/>
    <s v="Suraj"/>
    <x v="8"/>
    <s v="General work"/>
    <s v="General work"/>
    <d v="2026-01-05T00:00:00"/>
    <d v="2026-01-05T00:00:00"/>
    <d v="2026-01-05T00:00:00"/>
    <m/>
    <d v="1899-12-30T16:30:00"/>
    <d v="1899-12-30T17:30:00"/>
    <n v="0.99999999999999911"/>
    <x v="0"/>
    <m/>
  </r>
  <r>
    <s v="Bay 6 -_x000a_Generator"/>
    <x v="55"/>
    <s v="Anwar"/>
    <x v="2"/>
    <s v="GENG100-009"/>
    <s v="radiator fixed"/>
    <d v="2026-01-05T00:00:00"/>
    <d v="2026-01-05T00:00:00"/>
    <d v="2026-01-05T00:00:00"/>
    <m/>
    <d v="1899-12-30T11:30:00"/>
    <d v="1899-12-30T15:30:00"/>
    <n v="4"/>
    <x v="0"/>
    <m/>
  </r>
  <r>
    <s v="Bay 6 -_x000a_Generator"/>
    <x v="55"/>
    <s v="Mamun"/>
    <x v="6"/>
    <s v="CD180M-22"/>
    <s v="Installation on test bay for water test."/>
    <d v="2026-02-05T00:00:00"/>
    <d v="2026-02-07T00:00:00"/>
    <d v="2026-02-07T00:00:00"/>
    <m/>
    <d v="1899-12-30T06:30:00"/>
    <d v="1899-12-30T15:30:00"/>
    <n v="9.0000000000000018"/>
    <x v="0"/>
    <m/>
  </r>
  <r>
    <s v="Bay 6 -_x000a_Generator"/>
    <x v="55"/>
    <s v="Anwar"/>
    <x v="1"/>
    <m/>
    <m/>
    <m/>
    <m/>
    <m/>
    <m/>
    <d v="1899-12-30T08:30:00"/>
    <d v="1899-12-30T17:30:00"/>
    <n v="8.9999999999999982"/>
    <x v="1"/>
    <m/>
  </r>
  <r>
    <s v="Bay 4&amp;5 - _x000a_Pumps"/>
    <x v="55"/>
    <s v="Zaheer"/>
    <x v="6"/>
    <s v="CP1212S17-001"/>
    <s v="Pump assembling"/>
    <d v="2026-02-05T00:00:00"/>
    <d v="2026-02-06T00:00:00"/>
    <d v="2026-02-06T00:00:00"/>
    <m/>
    <d v="1899-12-30T08:30:00"/>
    <d v="1899-12-30T17:30:00"/>
    <n v="8.9999999999999982"/>
    <x v="0"/>
    <m/>
  </r>
  <r>
    <s v="Bay 4&amp;5 - _x000a_Pumps"/>
    <x v="55"/>
    <s v="Vinod"/>
    <x v="1"/>
    <m/>
    <m/>
    <m/>
    <m/>
    <m/>
    <m/>
    <d v="1899-12-30T06:30:00"/>
    <d v="1899-12-30T15:30:00"/>
    <n v="9.0000000000000018"/>
    <x v="1"/>
    <m/>
  </r>
  <r>
    <s v="Bay 4&amp;5 - _x000a_Pumps"/>
    <x v="55"/>
    <s v="Bilal"/>
    <x v="6"/>
    <s v="CP1212S17-026"/>
    <s v="Seramle coating"/>
    <d v="2026-02-05T00:00:00"/>
    <d v="2026-02-06T00:00:00"/>
    <d v="2026-02-06T00:00:00"/>
    <m/>
    <d v="1899-12-30T06:30:00"/>
    <d v="1899-12-30T15:30:00"/>
    <n v="9.0000000000000018"/>
    <x v="0"/>
    <m/>
  </r>
  <r>
    <s v="Bay 4&amp;5 - _x000a_Pumps"/>
    <x v="55"/>
    <s v="Martino"/>
    <x v="6"/>
    <s v="CD300M-015"/>
    <s v="Mechanical seal change"/>
    <d v="2026-02-05T00:00:00"/>
    <d v="2026-02-08T00:00:00"/>
    <d v="2026-02-08T00:00:00"/>
    <m/>
    <d v="1899-12-30T06:30:00"/>
    <d v="1899-12-30T15:30:00"/>
    <n v="9.0000000000000018"/>
    <x v="0"/>
    <m/>
  </r>
  <r>
    <s v="Bay 4&amp;5 - _x000a_Pumps"/>
    <x v="55"/>
    <s v="Mintu"/>
    <x v="0"/>
    <s v="CP150V-062"/>
    <s v="Engine &amp; pump repair ongoing"/>
    <d v="2026-02-02T00:00:00"/>
    <d v="2026-02-05T00:00:00"/>
    <d v="2026-02-05T00:00:00"/>
    <m/>
    <d v="1899-12-30T14:30:00"/>
    <d v="1899-12-30T17:30:00"/>
    <n v="3"/>
    <x v="0"/>
    <m/>
  </r>
  <r>
    <s v="Bay 4&amp;5 - _x000a_Pumps"/>
    <x v="55"/>
    <s v="Suresh"/>
    <x v="0"/>
    <s v="CP150V-073"/>
    <s v="Pump repair &amp; water test"/>
    <d v="2026-02-05T00:00:00"/>
    <d v="2026-02-05T00:00:00"/>
    <d v="2026-02-05T00:00:00"/>
    <m/>
    <d v="1899-12-30T08:30:00"/>
    <d v="1899-12-30T17:30:00"/>
    <n v="8.9999999999999982"/>
    <x v="0"/>
    <m/>
  </r>
  <r>
    <s v="Bay 4&amp;5 - _x000a_Pumps"/>
    <x v="55"/>
    <s v="Bharathesha"/>
    <x v="0"/>
    <s v="CP150-507"/>
    <s v="Engine assembling"/>
    <d v="2026-02-02T00:00:00"/>
    <d v="2026-02-05T00:00:00"/>
    <d v="2026-02-05T00:00:00"/>
    <m/>
    <d v="1899-12-30T06:30:00"/>
    <d v="1899-12-30T15:30:00"/>
    <n v="9.0000000000000018"/>
    <x v="0"/>
    <m/>
  </r>
  <r>
    <s v="Bay 4&amp;5 - _x000a_Pumps"/>
    <x v="55"/>
    <s v="Suresh"/>
    <x v="0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x v="0"/>
    <m/>
  </r>
  <r>
    <s v="Bay 4&amp;5 - _x000a_Pumps"/>
    <x v="55"/>
    <s v="Harish"/>
    <x v="0"/>
    <s v="CP150-309"/>
    <s v="Pump dismantling"/>
    <d v="2026-02-05T00:00:00"/>
    <d v="2026-02-05T00:00:00"/>
    <d v="2026-02-05T00:00:00"/>
    <m/>
    <d v="1899-12-30T08:30:00"/>
    <d v="1899-12-30T15:30:00"/>
    <n v="7"/>
    <x v="0"/>
    <m/>
  </r>
  <r>
    <s v="Bay 4&amp;5 - _x000a_Pumps"/>
    <x v="55"/>
    <s v="Harish"/>
    <x v="0"/>
    <s v="CP150-692"/>
    <s v="final fitting"/>
    <d v="2026-02-05T00:00:00"/>
    <d v="2026-02-05T00:00:00"/>
    <d v="2026-02-05T00:00:00"/>
    <m/>
    <d v="1899-12-30T06:30:00"/>
    <d v="1899-12-30T08:30:00"/>
    <n v="2.0000000000000009"/>
    <x v="0"/>
    <m/>
  </r>
  <r>
    <s v="Bay 4&amp;5 - _x000a_Pumps"/>
    <x v="55"/>
    <s v="Harish"/>
    <x v="0"/>
    <s v="CP150V-015"/>
    <s v="Pump repair &amp; water test"/>
    <d v="2026-02-04T00:00:00"/>
    <d v="2026-02-04T00:00:00"/>
    <d v="2026-02-04T00:00:00"/>
    <m/>
    <d v="1899-12-30T12:30:00"/>
    <d v="1899-12-30T15:30:00"/>
    <n v="3"/>
    <x v="0"/>
    <m/>
  </r>
  <r>
    <s v="Bay 4&amp;5 - _x000a_Pumps"/>
    <x v="55"/>
    <s v="ISmail"/>
    <x v="0"/>
    <s v="CP150-250"/>
    <s v="Pump water test &amp; repair"/>
    <d v="2026-01-31T00:00:00"/>
    <d v="2026-02-05T00:00:00"/>
    <d v="2026-02-05T00:00:00"/>
    <m/>
    <d v="1899-12-30T06:30:00"/>
    <d v="1899-12-30T12:30:00"/>
    <n v="6.0000000000000018"/>
    <x v="0"/>
    <m/>
  </r>
  <r>
    <s v="Bay 4&amp;5 - _x000a_Pumps"/>
    <x v="55"/>
    <s v="Shaji"/>
    <x v="1"/>
    <m/>
    <m/>
    <m/>
    <m/>
    <m/>
    <m/>
    <d v="1899-12-30T06:30:00"/>
    <d v="1899-12-30T15:30:00"/>
    <n v="9.0000000000000018"/>
    <x v="1"/>
    <m/>
  </r>
  <r>
    <s v="Bay 4&amp;5 - _x000a_Pumps"/>
    <x v="55"/>
    <s v="James"/>
    <x v="0"/>
    <s v="ZD900-033"/>
    <s v="Pump assembling ongoing"/>
    <d v="2026-02-02T00:00:00"/>
    <d v="2026-02-05T00:00:00"/>
    <d v="2026-02-05T00:00:00"/>
    <m/>
    <d v="1899-12-30T06:30:00"/>
    <d v="1899-12-30T15:30:00"/>
    <n v="9.0000000000000018"/>
    <x v="0"/>
    <m/>
  </r>
  <r>
    <s v="Electrical"/>
    <x v="56"/>
    <s v="Fahad"/>
    <x v="3"/>
    <s v="SPB3.7-109"/>
    <s v="Repair, test &amp; PDI"/>
    <d v="2026-01-06T00:00:00"/>
    <d v="2026-01-06T00:00:00"/>
    <m/>
    <m/>
    <d v="1899-12-30T06:30:00"/>
    <d v="1899-12-30T15:30:00"/>
    <n v="9.0000000000000018"/>
    <x v="0"/>
    <m/>
  </r>
  <r>
    <s v="Electrical"/>
    <x v="56"/>
    <s v="Suleman"/>
    <x v="3"/>
    <s v="SPB7.5-194"/>
    <s v="Repair, test &amp; PDI"/>
    <d v="2026-01-06T00:00:00"/>
    <d v="2026-01-06T00:00:00"/>
    <m/>
    <m/>
    <d v="1899-12-30T08:30:00"/>
    <d v="1899-12-30T17:30:00"/>
    <n v="8.9999999999999982"/>
    <x v="2"/>
    <m/>
  </r>
  <r>
    <s v="Electrical"/>
    <x v="56"/>
    <s v="Faisal"/>
    <x v="3"/>
    <s v="SPB3.7-029"/>
    <s v="Repair, test &amp; PDI"/>
    <d v="2026-01-06T00:00:00"/>
    <d v="2026-01-06T00:00:00"/>
    <m/>
    <m/>
    <d v="1899-12-30T06:30:00"/>
    <d v="1899-12-30T15:30:00"/>
    <n v="9.0000000000000018"/>
    <x v="0"/>
    <m/>
  </r>
  <r>
    <s v="Electrical"/>
    <x v="56"/>
    <s v="Cherith"/>
    <x v="2"/>
    <s v="GENJ250-040"/>
    <s v="Cleaning &amp; paper instenciling"/>
    <d v="2026-02-05T00:00:00"/>
    <d v="2026-02-06T00:00:00"/>
    <m/>
    <m/>
    <d v="1899-12-30T06:30:00"/>
    <d v="1899-12-30T17:30:00"/>
    <n v="11"/>
    <x v="2"/>
    <m/>
  </r>
  <r>
    <s v="Electrical"/>
    <x v="56"/>
    <s v="Aman"/>
    <x v="1"/>
    <m/>
    <m/>
    <m/>
    <m/>
    <m/>
    <m/>
    <d v="1899-12-30T06:30:00"/>
    <d v="1899-12-30T17:30:00"/>
    <n v="11"/>
    <x v="1"/>
    <m/>
  </r>
  <r>
    <s v="Electrical"/>
    <x v="56"/>
    <s v="Ghiyan"/>
    <x v="4"/>
    <s v="SM530-611"/>
    <s v="Rewinding &amp; connection."/>
    <d v="2026-01-04T00:00:00"/>
    <d v="2026-01-06T00:00:00"/>
    <m/>
    <m/>
    <d v="1899-12-30T06:30:00"/>
    <d v="1899-12-30T15:30:00"/>
    <n v="9.0000000000000018"/>
    <x v="2"/>
    <m/>
  </r>
  <r>
    <s v="Electrical"/>
    <x v="56"/>
    <s v="Donald"/>
    <x v="4"/>
    <s v="SM1002-019"/>
    <s v="Water Test"/>
    <d v="2026-01-05T00:00:00"/>
    <d v="2026-02-07T00:00:00"/>
    <m/>
    <m/>
    <d v="1899-12-30T06:30:00"/>
    <d v="1899-12-30T15:30:00"/>
    <n v="9.0000000000000018"/>
    <x v="2"/>
    <m/>
  </r>
  <r>
    <s v="Electrical"/>
    <x v="56"/>
    <s v="Venu"/>
    <x v="4"/>
    <s v="SM530/419"/>
    <s v="Servicing &amp; pump assemble"/>
    <d v="2026-01-06T00:00:00"/>
    <d v="2026-01-06T00:00:00"/>
    <m/>
    <m/>
    <d v="1899-12-30T06:30:00"/>
    <d v="1899-12-30T15:30:00"/>
    <n v="9.0000000000000018"/>
    <x v="2"/>
    <m/>
  </r>
  <r>
    <s v="Electrical"/>
    <x v="56"/>
    <s v="Suhaib"/>
    <x v="5"/>
    <s v="Old B:H pump"/>
    <s v="15nos pump inspection &amp; repair."/>
    <d v="2026-02-06T00:00:00"/>
    <d v="2026-02-07T00:00:00"/>
    <m/>
    <m/>
    <d v="1899-12-30T08:30:00"/>
    <d v="1899-12-30T17:30:00"/>
    <n v="8.9999999999999982"/>
    <x v="2"/>
    <m/>
  </r>
  <r>
    <s v="Electrical"/>
    <x v="56"/>
    <s v="Afsar"/>
    <x v="1"/>
    <m/>
    <m/>
    <m/>
    <m/>
    <m/>
    <m/>
    <d v="1899-12-30T08:30:00"/>
    <d v="1899-12-30T17:30:00"/>
    <n v="8.9999999999999982"/>
    <x v="1"/>
    <m/>
  </r>
  <r>
    <s v="Electrical"/>
    <x v="56"/>
    <s v="Saqib"/>
    <x v="4"/>
    <s v="SM1002-179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6"/>
    <s v="Jagdev"/>
    <x v="2"/>
    <s v="GEN7-008"/>
    <s v="General repair, gasket setting"/>
    <d v="2026-01-06T00:00:00"/>
    <d v="2026-01-06T00:00:00"/>
    <m/>
    <m/>
    <d v="1899-12-30T06:30:00"/>
    <d v="1899-12-30T08:30:00"/>
    <n v="2.0000000000000009"/>
    <x v="0"/>
    <m/>
  </r>
  <r>
    <s v="Bay 6 -_x000a_Generator"/>
    <x v="56"/>
    <s v="Jagdev"/>
    <x v="2"/>
    <s v="GENS100-067"/>
    <s v="General repair, fuel tank cleaning,load test"/>
    <d v="2026-01-06T00:00:00"/>
    <d v="2026-01-06T00:00:00"/>
    <m/>
    <m/>
    <d v="1899-12-30T08:30:00"/>
    <d v="1899-12-30T15:30:00"/>
    <n v="7"/>
    <x v="3"/>
    <m/>
  </r>
  <r>
    <s v="Bay 6 -_x000a_Generator"/>
    <x v="56"/>
    <s v="Suraj"/>
    <x v="2"/>
    <s v="GEN60-41"/>
    <s v="Silencer bellow changing, load test"/>
    <d v="2026-01-24T00:00:00"/>
    <d v="2026-02-06T00:00:00"/>
    <m/>
    <m/>
    <d v="1899-12-30T08:30:00"/>
    <d v="1899-12-30T11:30:00"/>
    <n v="3"/>
    <x v="3"/>
    <m/>
  </r>
  <r>
    <s v="Bay 6 -_x000a_Generator"/>
    <x v="56"/>
    <s v="Anwar"/>
    <x v="1"/>
    <m/>
    <m/>
    <m/>
    <m/>
    <m/>
    <m/>
    <d v="1899-12-30T08:30:00"/>
    <d v="1899-12-30T11:30:00"/>
    <n v="3"/>
    <x v="1"/>
    <m/>
  </r>
  <r>
    <s v="Bay 6 -_x000a_Generator"/>
    <x v="56"/>
    <s v="Suraj"/>
    <x v="2"/>
    <s v="GENJ60-003"/>
    <s v="Load test"/>
    <d v="2026-01-05T00:00:00"/>
    <d v="2026-02-06T00:00:00"/>
    <m/>
    <m/>
    <d v="1899-12-30T11:30:00"/>
    <d v="1899-12-30T13:30:00"/>
    <n v="1.9999999999999996"/>
    <x v="0"/>
    <m/>
  </r>
  <r>
    <s v="Bay 6 -_x000a_Generator"/>
    <x v="56"/>
    <s v="Anwar"/>
    <x v="1"/>
    <m/>
    <m/>
    <m/>
    <m/>
    <m/>
    <m/>
    <d v="1899-12-30T11:30:00"/>
    <d v="1899-12-30T13:30:00"/>
    <n v="1.9999999999999996"/>
    <x v="1"/>
    <m/>
  </r>
  <r>
    <s v="Bay 6 -_x000a_Generator"/>
    <x v="56"/>
    <s v="Suraj"/>
    <x v="8"/>
    <s v="General work"/>
    <s v="General work"/>
    <d v="2026-01-06T00:00:00"/>
    <d v="2026-01-06T00:00:00"/>
    <m/>
    <m/>
    <d v="1899-12-30T13:30:00"/>
    <d v="1899-12-30T15:30:00"/>
    <n v="2.0000000000000009"/>
    <x v="0"/>
    <m/>
  </r>
  <r>
    <s v="Bay 6 -_x000a_Generator"/>
    <x v="56"/>
    <s v="Suraj"/>
    <x v="2"/>
    <s v="GEN80-014"/>
    <s v="Final fitting"/>
    <d v="2026-01-06T00:00:00"/>
    <d v="2026-01-06T00:00:00"/>
    <m/>
    <m/>
    <d v="1899-12-30T15:30:00"/>
    <d v="1899-12-30T17:30:00"/>
    <n v="1.9999999999999982"/>
    <x v="0"/>
    <m/>
  </r>
  <r>
    <s v="Bay 6 -_x000a_Generator"/>
    <x v="56"/>
    <s v="Mamun"/>
    <x v="6"/>
    <s v="CD180M-22"/>
    <s v="Fuel tank clean &amp; vaccum test"/>
    <d v="2026-02-06T00:00:00"/>
    <d v="2026-02-07T00:00:00"/>
    <m/>
    <m/>
    <d v="1899-12-30T06:30:00"/>
    <d v="1899-12-30T15:30:00"/>
    <n v="9.0000000000000018"/>
    <x v="0"/>
    <m/>
  </r>
  <r>
    <s v="Bay 6 -_x000a_Generator"/>
    <x v="56"/>
    <s v="Anwar"/>
    <x v="6"/>
    <s v="CD300M-015"/>
    <s v="water test"/>
    <d v="2026-02-06T00:00:00"/>
    <d v="2026-02-07T00:00:00"/>
    <m/>
    <m/>
    <d v="1899-12-30T08:30:00"/>
    <d v="1899-12-30T17:30:00"/>
    <n v="8.9999999999999982"/>
    <x v="2"/>
    <m/>
  </r>
  <r>
    <s v="Bay 4&amp;5 - _x000a_Pumps"/>
    <x v="56"/>
    <s v="Zaheer"/>
    <x v="6"/>
    <s v="SCT700-01"/>
    <s v="Engine removing"/>
    <d v="2026-02-06T00:00:00"/>
    <d v="2026-02-15T00:00:00"/>
    <m/>
    <m/>
    <d v="1899-12-30T08:30:00"/>
    <d v="1899-12-30T17:30:00"/>
    <n v="8.9999999999999982"/>
    <x v="0"/>
    <m/>
  </r>
  <r>
    <s v="Bay 4&amp;5 - _x000a_Pumps"/>
    <x v="56"/>
    <s v="Vinod"/>
    <x v="1"/>
    <m/>
    <m/>
    <m/>
    <m/>
    <m/>
    <m/>
    <d v="1899-12-30T06:30:00"/>
    <d v="1899-12-30T15:30:00"/>
    <n v="9.0000000000000018"/>
    <x v="1"/>
    <m/>
  </r>
  <r>
    <s v="Bay 4&amp;5 - _x000a_Pumps"/>
    <x v="56"/>
    <s v="Bilal"/>
    <x v="6"/>
    <s v="SCT700-01"/>
    <s v="Engine removing"/>
    <d v="2026-02-06T00:00:00"/>
    <d v="2026-02-15T00:00:00"/>
    <m/>
    <m/>
    <d v="1899-12-30T06:30:00"/>
    <d v="1899-12-30T15:30:00"/>
    <n v="9.0000000000000018"/>
    <x v="0"/>
    <m/>
  </r>
  <r>
    <s v="Bay 4&amp;5 - _x000a_Pumps"/>
    <x v="56"/>
    <s v="Martino"/>
    <x v="6"/>
    <s v="CD300M-015"/>
    <s v="Installation, water &amp; vaccum test"/>
    <d v="2026-02-06T00:00:00"/>
    <d v="2026-02-06T00:00:00"/>
    <m/>
    <m/>
    <d v="1899-12-30T08:30:00"/>
    <d v="1899-12-30T17:30:00"/>
    <n v="8.9999999999999982"/>
    <x v="2"/>
    <m/>
  </r>
  <r>
    <s v="Bay 4&amp;5 - _x000a_Pumps"/>
    <x v="56"/>
    <s v="Mintu"/>
    <x v="0"/>
    <s v="CP150V-040"/>
    <s v="Cylinder head dismantling"/>
    <d v="2026-02-02T00:00:00"/>
    <d v="2026-02-06T00:00:00"/>
    <m/>
    <m/>
    <d v="1899-12-30T06:30:00"/>
    <d v="1899-12-30T17:30:00"/>
    <n v="11"/>
    <x v="0"/>
    <m/>
  </r>
  <r>
    <s v="Bay 4&amp;5 - _x000a_Pumps"/>
    <x v="56"/>
    <s v="Suresh"/>
    <x v="0"/>
    <s v="CP150V-073"/>
    <s v="Pump repair &amp; water test"/>
    <d v="2026-02-05T00:00:00"/>
    <d v="2026-02-05T00:00:00"/>
    <m/>
    <m/>
    <d v="1899-12-30T08:30:00"/>
    <d v="1899-12-30T17:30:00"/>
    <n v="8.9999999999999982"/>
    <x v="2"/>
    <m/>
  </r>
  <r>
    <s v="Bay 4&amp;5 - _x000a_Pumps"/>
    <x v="56"/>
    <s v="Bharathesha"/>
    <x v="0"/>
    <s v="CP150-507"/>
    <s v="Engine fixing on pump with all connections."/>
    <d v="2026-02-02T00:00:00"/>
    <d v="2026-02-06T00:00:00"/>
    <m/>
    <m/>
    <d v="1899-12-30T06:30:00"/>
    <d v="1899-12-30T15:30:00"/>
    <n v="9.0000000000000018"/>
    <x v="2"/>
    <m/>
  </r>
  <r>
    <s v="Bay 4&amp;5 - _x000a_Pumps"/>
    <x v="56"/>
    <s v="Suresh"/>
    <x v="0"/>
    <s v="CP150V-004"/>
    <s v="Pump repair &amp; water test"/>
    <d v="2026-02-06T00:00:00"/>
    <d v="2026-02-06T00:00:00"/>
    <m/>
    <m/>
    <d v="1899-12-30T08:30:00"/>
    <d v="1899-12-30T17:30:00"/>
    <n v="8.9999999999999982"/>
    <x v="2"/>
    <m/>
  </r>
  <r>
    <s v="Bay 4&amp;5 - _x000a_Pumps"/>
    <x v="56"/>
    <s v="Harish"/>
    <x v="0"/>
    <s v="CP150-309"/>
    <s v="Pump prepapre for assembling"/>
    <d v="2026-02-05T00:00:00"/>
    <d v="2026-02-06T00:00:00"/>
    <m/>
    <m/>
    <d v="1899-12-30T08:30:00"/>
    <d v="1899-12-30T15:30:00"/>
    <n v="7"/>
    <x v="2"/>
    <m/>
  </r>
  <r>
    <s v="Bay 4&amp;5 - _x000a_Pumps"/>
    <x v="56"/>
    <s v="Harish"/>
    <x v="0"/>
    <s v="PT175-552"/>
    <s v="final fitting"/>
    <d v="2026-02-06T00:00:00"/>
    <d v="2026-02-06T00:00:00"/>
    <m/>
    <m/>
    <d v="1899-12-30T06:30:00"/>
    <d v="1899-12-30T08:30:00"/>
    <n v="2.0000000000000009"/>
    <x v="0"/>
    <m/>
  </r>
  <r>
    <s v="Bay 4&amp;5 - _x000a_Pumps"/>
    <x v="56"/>
    <s v="Harish"/>
    <x v="0"/>
    <s v="CP150V-015"/>
    <s v="Pump repair &amp; water test"/>
    <d v="2026-02-04T00:00:00"/>
    <d v="2026-02-04T00:00:00"/>
    <m/>
    <m/>
    <d v="1899-12-30T12:30:00"/>
    <d v="1899-12-30T15:30:00"/>
    <n v="3"/>
    <x v="2"/>
    <m/>
  </r>
  <r>
    <s v="Bay 4&amp;5 - _x000a_Pumps"/>
    <x v="56"/>
    <s v="ISmail"/>
    <x v="0"/>
    <s v="ZD900-065"/>
    <s v="Pump water test &amp; repair"/>
    <d v="2026-02-06T00:00:00"/>
    <d v="2026-02-06T00:00:00"/>
    <m/>
    <m/>
    <d v="1899-12-30T06:30:00"/>
    <d v="1899-12-30T10:00:00"/>
    <n v="3.5000000000000009"/>
    <x v="2"/>
    <m/>
  </r>
  <r>
    <s v="Bay 4&amp;5 - _x000a_Pumps"/>
    <x v="56"/>
    <s v="Shaji"/>
    <x v="1"/>
    <m/>
    <m/>
    <m/>
    <m/>
    <m/>
    <m/>
    <d v="1899-12-30T06:30:00"/>
    <d v="1899-12-30T15:30:00"/>
    <n v="9.0000000000000018"/>
    <x v="1"/>
    <m/>
  </r>
  <r>
    <s v="Bay 4&amp;5 - _x000a_Pumps"/>
    <x v="56"/>
    <s v="James"/>
    <x v="0"/>
    <s v="ZD900-033"/>
    <s v="Pump repair &amp; water test"/>
    <d v="2026-02-02T00:00:00"/>
    <d v="2026-02-06T00:00:00"/>
    <m/>
    <m/>
    <d v="1899-12-30T06:30:00"/>
    <d v="1899-12-30T10:30:00"/>
    <n v="4"/>
    <x v="0"/>
    <m/>
  </r>
  <r>
    <s v="Electrical"/>
    <x v="57"/>
    <s v="Suleman"/>
    <x v="3"/>
    <s v="SPB7.5-194"/>
    <s v="Repair, test &amp; PDI"/>
    <d v="2026-01-06T00:00:00"/>
    <d v="2026-02-07T00:00:00"/>
    <m/>
    <m/>
    <d v="1899-12-30T06:30:00"/>
    <d v="1899-12-30T15:30:00"/>
    <n v="9.0000000000000018"/>
    <x v="2"/>
    <m/>
  </r>
  <r>
    <s v="Electrical"/>
    <x v="57"/>
    <s v="Faisal"/>
    <x v="3"/>
    <s v="SPB3.7-029"/>
    <s v="Repair, test &amp; PDI"/>
    <d v="2026-01-06T00:00:00"/>
    <d v="2026-01-06T00:00:00"/>
    <m/>
    <m/>
    <d v="1899-12-30T06:30:00"/>
    <d v="1899-12-30T15:30:00"/>
    <n v="9.0000000000000018"/>
    <x v="2"/>
    <m/>
  </r>
  <r>
    <s v="Electrical"/>
    <x v="57"/>
    <s v="Cherith"/>
    <x v="2"/>
    <s v="GENJ250-040"/>
    <s v="Cleaning &amp; paper instenciling"/>
    <d v="2026-02-05T00:00:00"/>
    <d v="2026-02-06T00:00:00"/>
    <m/>
    <m/>
    <d v="1899-12-30T06:30:00"/>
    <d v="1899-12-30T17:30:00"/>
    <n v="11"/>
    <x v="2"/>
    <m/>
  </r>
  <r>
    <s v="Electrical"/>
    <x v="57"/>
    <s v="Aman"/>
    <x v="1"/>
    <m/>
    <m/>
    <m/>
    <m/>
    <m/>
    <m/>
    <d v="1899-12-30T06:30:00"/>
    <d v="1899-12-30T17:30:00"/>
    <n v="11"/>
    <x v="1"/>
    <m/>
  </r>
  <r>
    <s v="Electrical"/>
    <x v="57"/>
    <s v="Ghiyan"/>
    <x v="4"/>
    <s v="SM530-611"/>
    <s v="Rewinding &amp; connection."/>
    <d v="2026-01-04T00:00:00"/>
    <d v="2026-01-06T00:00:00"/>
    <m/>
    <m/>
    <d v="1899-12-30T06:30:00"/>
    <d v="1899-12-30T12:00:00"/>
    <n v="5.5"/>
    <x v="2"/>
    <m/>
  </r>
  <r>
    <s v="Electrical"/>
    <x v="57"/>
    <s v="Donald"/>
    <x v="4"/>
    <s v="SM1002-019"/>
    <s v="Water Test"/>
    <d v="2026-01-05T00:00:00"/>
    <d v="2026-02-07T00:00:00"/>
    <m/>
    <m/>
    <d v="1899-12-30T06:30:00"/>
    <d v="1899-12-30T15:30:00"/>
    <n v="9.0000000000000018"/>
    <x v="2"/>
    <m/>
  </r>
  <r>
    <s v="Electrical"/>
    <x v="57"/>
    <s v="Venu"/>
    <x v="4"/>
    <s v="SM530/419"/>
    <s v="Servicing &amp; pump assemble"/>
    <d v="2026-01-06T00:00:00"/>
    <d v="2026-01-06T00:00:00"/>
    <m/>
    <m/>
    <d v="1899-12-30T06:30:00"/>
    <d v="1899-12-30T15:30:00"/>
    <n v="9.0000000000000018"/>
    <x v="2"/>
    <m/>
  </r>
  <r>
    <s v="Electrical"/>
    <x v="57"/>
    <s v="Suhaib"/>
    <x v="5"/>
    <s v="Old B:H pump"/>
    <s v="15nos pump inspection &amp; repair."/>
    <d v="2026-02-06T00:00:00"/>
    <d v="2026-02-07T00:00:00"/>
    <m/>
    <m/>
    <d v="1899-12-30T08:30:00"/>
    <d v="1899-12-30T17:30:00"/>
    <n v="8.9999999999999982"/>
    <x v="2"/>
    <m/>
  </r>
  <r>
    <s v="Electrical"/>
    <x v="57"/>
    <s v="Afsar"/>
    <x v="1"/>
    <m/>
    <m/>
    <m/>
    <m/>
    <m/>
    <m/>
    <d v="1899-12-30T08:30:00"/>
    <d v="1899-12-30T17:30:00"/>
    <n v="8.9999999999999982"/>
    <x v="1"/>
    <m/>
  </r>
  <r>
    <s v="Electrical"/>
    <x v="57"/>
    <s v="Saqib"/>
    <x v="4"/>
    <s v="SM1002-179"/>
    <s v="Rewinding"/>
    <d v="2026-02-04T00:00:00"/>
    <d v="2026-02-07T00:00:00"/>
    <m/>
    <m/>
    <d v="1899-12-30T06:30:00"/>
    <d v="1899-12-30T15:30:00"/>
    <n v="9.0000000000000018"/>
    <x v="2"/>
    <m/>
  </r>
  <r>
    <s v="Bay 6 -_x000a_Generator"/>
    <x v="57"/>
    <s v="Jagdev"/>
    <x v="2"/>
    <s v="GENS100-067"/>
    <s v="General repair, fuel tank cleaning,load test"/>
    <d v="2026-01-06T00:00:00"/>
    <d v="2026-01-07T00:00:00"/>
    <d v="2026-01-07T00:00:00"/>
    <m/>
    <d v="1899-12-30T08:30:00"/>
    <d v="1899-12-30T10:30:00"/>
    <n v="1.9999999999999996"/>
    <x v="0"/>
    <m/>
  </r>
  <r>
    <s v="Bay 6 -_x000a_Generator"/>
    <x v="57"/>
    <s v="Suraj"/>
    <x v="2"/>
    <s v="GEN60-41"/>
    <s v="Radiator Cleaning"/>
    <d v="2026-01-24T00:00:00"/>
    <d v="2026-02-07T00:00:00"/>
    <d v="2026-02-07T00:00:00"/>
    <m/>
    <d v="1899-12-30T10:30:00"/>
    <d v="1899-12-30T02:30:00"/>
    <n v="16"/>
    <x v="0"/>
    <m/>
  </r>
  <r>
    <s v="Bay 6 -_x000a_Generator"/>
    <x v="57"/>
    <s v="Anwar"/>
    <x v="1"/>
    <m/>
    <m/>
    <m/>
    <m/>
    <m/>
    <m/>
    <d v="1899-12-30T08:30:00"/>
    <d v="1899-12-30T11:30:00"/>
    <n v="3"/>
    <x v="1"/>
    <m/>
  </r>
  <r>
    <s v="Bay 6 -_x000a_Generator"/>
    <x v="57"/>
    <s v="Suraj"/>
    <x v="2"/>
    <s v="GENJ60-003"/>
    <s v="Load test"/>
    <d v="2026-01-05T00:00:00"/>
    <d v="2026-02-06T00:00:00"/>
    <d v="2026-02-06T00:00:00"/>
    <m/>
    <d v="1899-12-30T11:30:00"/>
    <d v="1899-12-30T13:30:00"/>
    <n v="1.9999999999999996"/>
    <x v="0"/>
    <m/>
  </r>
  <r>
    <s v="Bay 6 -_x000a_Generator"/>
    <x v="57"/>
    <s v="Anwar"/>
    <x v="1"/>
    <m/>
    <m/>
    <m/>
    <m/>
    <m/>
    <m/>
    <d v="1899-12-30T11:30:00"/>
    <d v="1899-12-30T13:30:00"/>
    <n v="1.9999999999999996"/>
    <x v="1"/>
    <m/>
  </r>
  <r>
    <s v="Bay 6 -_x000a_Generator"/>
    <x v="57"/>
    <s v="Suraj"/>
    <x v="8"/>
    <s v="General work"/>
    <s v="General work"/>
    <d v="2026-01-06T00:00:00"/>
    <d v="2026-01-06T00:00:00"/>
    <d v="2026-01-06T00:00:00"/>
    <m/>
    <d v="1899-12-30T13:30:00"/>
    <d v="1899-12-30T15:30:00"/>
    <n v="2.0000000000000009"/>
    <x v="0"/>
    <m/>
  </r>
  <r>
    <s v="Bay 6 -_x000a_Generator"/>
    <x v="57"/>
    <s v="Suraj"/>
    <x v="2"/>
    <s v="GEN80-014"/>
    <s v="Final fitting"/>
    <d v="2026-01-06T00:00:00"/>
    <d v="2026-01-06T00:00:00"/>
    <d v="2026-01-06T00:00:00"/>
    <m/>
    <d v="1899-12-30T15:30:00"/>
    <d v="1899-12-30T17:30:00"/>
    <n v="1.9999999999999982"/>
    <x v="0"/>
    <m/>
  </r>
  <r>
    <s v="Bay 6 -_x000a_Generator"/>
    <x v="57"/>
    <s v="Anwar"/>
    <x v="6"/>
    <s v="CD300M-015"/>
    <s v="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Zaheer"/>
    <x v="6"/>
    <s v="SCT700-01"/>
    <s v="Engine removing"/>
    <d v="2026-02-06T00:00:00"/>
    <d v="2026-02-15T00:00:00"/>
    <d v="2026-02-15T00:00:00"/>
    <m/>
    <d v="1899-12-30T08:30:00"/>
    <d v="1899-12-30T17:30:00"/>
    <n v="8.9999999999999982"/>
    <x v="0"/>
    <m/>
  </r>
  <r>
    <s v="Bay 4&amp;5 - _x000a_Pumps"/>
    <x v="57"/>
    <s v="Vinod"/>
    <x v="1"/>
    <m/>
    <m/>
    <m/>
    <m/>
    <m/>
    <m/>
    <d v="1899-12-30T06:30:00"/>
    <d v="1899-12-30T15:30:00"/>
    <n v="9.0000000000000018"/>
    <x v="1"/>
    <m/>
  </r>
  <r>
    <s v="Bay 4&amp;5 - _x000a_Pumps"/>
    <x v="57"/>
    <s v="Vinod"/>
    <x v="6"/>
    <s v="SCT700-01"/>
    <s v="Engine removing"/>
    <d v="2026-02-06T00:00:00"/>
    <d v="2026-02-15T00:00:00"/>
    <d v="2026-02-15T00:00:00"/>
    <m/>
    <d v="1899-12-30T06:30:00"/>
    <d v="1899-12-30T15:30:00"/>
    <n v="9.0000000000000018"/>
    <x v="0"/>
    <m/>
  </r>
  <r>
    <s v="Bay 4&amp;5 - _x000a_Pumps"/>
    <x v="57"/>
    <s v="Martino"/>
    <x v="6"/>
    <s v="CD300M-015"/>
    <s v="Installation, water &amp; vaccum test"/>
    <d v="2026-02-06T00:00:00"/>
    <d v="2026-02-06T00:00:00"/>
    <d v="2026-02-06T00:00:00"/>
    <m/>
    <d v="1899-12-30T08:30:00"/>
    <d v="1899-12-30T17:30:00"/>
    <n v="8.9999999999999982"/>
    <x v="0"/>
    <m/>
  </r>
  <r>
    <s v="Bay 4&amp;5 - _x000a_Pumps"/>
    <x v="57"/>
    <s v="Martino"/>
    <x v="6"/>
    <s v="CP108-004"/>
    <s v="Installation, water &amp; vaccum test"/>
    <d v="2026-02-06T00:00:00"/>
    <d v="2026-02-08T00:00:00"/>
    <d v="2026-02-08T00:00:00"/>
    <m/>
    <d v="1899-12-30T08:30:00"/>
    <d v="1899-12-30T17:30:00"/>
    <n v="8.9999999999999982"/>
    <x v="0"/>
    <m/>
  </r>
  <r>
    <s v="Bay 4&amp;5 - _x000a_Pumps"/>
    <x v="57"/>
    <s v="Martino"/>
    <x v="6"/>
    <s v="CP108-004"/>
    <s v="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Mintu"/>
    <x v="0"/>
    <s v="CP150V-040"/>
    <s v="Cylinder head dismantling"/>
    <d v="2026-02-02T00:00:00"/>
    <d v="2026-02-07T00:00:00"/>
    <d v="2026-02-07T00:00:00"/>
    <m/>
    <d v="1899-12-30T06:30:00"/>
    <d v="1899-12-30T17:30:00"/>
    <n v="11"/>
    <x v="0"/>
    <m/>
  </r>
  <r>
    <s v="Bay 4&amp;5 - _x000a_Pumps"/>
    <x v="57"/>
    <s v="Bharathesha"/>
    <x v="0"/>
    <s v="CP150-507"/>
    <s v="Engine fixing on pump with all connections."/>
    <d v="2026-02-02T00:00:00"/>
    <d v="2026-02-07T00:00:00"/>
    <d v="2026-02-07T00:00:00"/>
    <m/>
    <d v="1899-12-30T06:30:00"/>
    <d v="1899-12-30T15:30:00"/>
    <n v="9.0000000000000018"/>
    <x v="0"/>
    <m/>
  </r>
  <r>
    <s v="Bay 4&amp;5 - _x000a_Pumps"/>
    <x v="57"/>
    <s v="Harish"/>
    <x v="0"/>
    <s v="CP150-309"/>
    <s v="Pump prepapre for assembling"/>
    <d v="2026-02-05T00:00:00"/>
    <d v="2026-02-06T00:00:00"/>
    <m/>
    <m/>
    <d v="1899-12-30T08:30:00"/>
    <d v="1899-12-30T15:30:00"/>
    <n v="7"/>
    <x v="2"/>
    <m/>
  </r>
  <r>
    <s v="Bay 4&amp;5 - _x000a_Pumps"/>
    <x v="57"/>
    <s v="ISmail"/>
    <x v="0"/>
    <s v="ZD900-065"/>
    <s v="Pump water test &amp; repair"/>
    <d v="2026-02-06T00:00:00"/>
    <d v="2026-02-06T00:00:00"/>
    <d v="2026-02-06T00:00:00"/>
    <m/>
    <d v="1899-12-30T06:30:00"/>
    <d v="1899-12-30T10:00:00"/>
    <n v="3.5000000000000009"/>
    <x v="0"/>
    <m/>
  </r>
  <r>
    <s v="Bay 4&amp;5 - _x000a_Pumps"/>
    <x v="57"/>
    <s v="Shaji"/>
    <x v="1"/>
    <m/>
    <m/>
    <m/>
    <m/>
    <m/>
    <m/>
    <d v="1899-12-30T06:30:00"/>
    <d v="1899-12-30T15:30:00"/>
    <n v="9.0000000000000018"/>
    <x v="1"/>
    <m/>
  </r>
  <r>
    <s v="Bay 4&amp;5 - _x000a_Pumps"/>
    <x v="57"/>
    <s v="James"/>
    <x v="0"/>
    <s v="ZD900-033"/>
    <s v="Pump repair &amp; water test"/>
    <d v="2026-02-02T00:00:00"/>
    <d v="2026-02-06T00:00:00"/>
    <d v="2026-02-06T00:00:00"/>
    <m/>
    <d v="1899-12-30T06:30:00"/>
    <d v="1899-12-30T10:30:00"/>
    <n v="4"/>
    <x v="0"/>
    <m/>
  </r>
  <r>
    <s v="Bay 6 -_x000a_Generator"/>
    <x v="57"/>
    <s v="Jagdev"/>
    <x v="2"/>
    <s v="GEN150-037"/>
    <s v="Raduiator Fixing, Fuel Tank Cleaning &amp; Valve Clearance"/>
    <d v="2026-02-07T00:00:00"/>
    <d v="2026-02-07T00:00:00"/>
    <d v="2026-02-07T00:00:00"/>
    <m/>
    <d v="1899-12-30T06:30:00"/>
    <d v="1899-12-30T11:30:00"/>
    <n v="5.0000000000000009"/>
    <x v="0"/>
    <m/>
  </r>
  <r>
    <s v="Bay 6 -_x000a_Generator"/>
    <x v="57"/>
    <s v="Suraj"/>
    <x v="2"/>
    <s v="GENG80-005"/>
    <s v="Genearal Repair"/>
    <d v="2026-02-07T00:00:00"/>
    <d v="2026-02-07T00:00:00"/>
    <d v="2026-02-07T00:00:00"/>
    <m/>
    <d v="1899-12-30T11:30:00"/>
    <d v="1899-12-30T03:30:00"/>
    <n v="16"/>
    <x v="0"/>
    <m/>
  </r>
  <r>
    <s v="Electrical"/>
    <x v="57"/>
    <s v="Faisal"/>
    <x v="3"/>
    <s v="SPB3.7-097"/>
    <s v="Repair, test &amp; PDI"/>
    <d v="2026-02-07T00:00:00"/>
    <d v="2026-02-07T00:00:00"/>
    <d v="2026-02-07T00:00:00"/>
    <m/>
    <d v="1899-12-30T06:30:00"/>
    <d v="1899-12-30T15:30:00"/>
    <n v="9.0000000000000018"/>
    <x v="0"/>
    <m/>
  </r>
  <r>
    <s v="Electrical"/>
    <x v="57"/>
    <s v="Suleman"/>
    <x v="3"/>
    <s v="3XSPB Panel"/>
    <s v="PDI &amp; Dispatching"/>
    <d v="2026-02-07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Harish"/>
    <x v="0"/>
    <s v="ZD900-032E"/>
    <s v="Final Fitting PDI &amp; Flow testing"/>
    <d v="2026-02-07T00:00:00"/>
    <d v="2026-02-07T00:00:00"/>
    <d v="2026-02-07T00:00:00"/>
    <m/>
    <d v="1899-12-30T06:30:00"/>
    <d v="1899-12-30T10:30:00"/>
    <n v="4"/>
    <x v="0"/>
    <m/>
  </r>
  <r>
    <s v="Bay 4&amp;5 - _x000a_Pumps"/>
    <x v="57"/>
    <s v="Suresh"/>
    <x v="0"/>
    <s v="CP150V-004"/>
    <s v="Pump repair &amp; water test"/>
    <d v="2026-02-06T00:00:00"/>
    <d v="2026-02-07T00:00:00"/>
    <d v="2026-02-07T00:00:00"/>
    <m/>
    <d v="1899-12-30T08:30:00"/>
    <d v="1899-12-30T17:30:00"/>
    <n v="8.9999999999999982"/>
    <x v="0"/>
    <m/>
  </r>
  <r>
    <s v="Bay 4&amp;5 - _x000a_Pumps"/>
    <x v="57"/>
    <s v="Shaji"/>
    <x v="0"/>
    <m/>
    <s v="Pump repair &amp; water test"/>
    <d v="2026-02-06T00:00:00"/>
    <d v="2026-02-07T00:00:00"/>
    <d v="2026-02-07T00:00:00"/>
    <m/>
    <d v="1899-12-30T06:30:00"/>
    <d v="1899-12-30T15:30:00"/>
    <n v="9.0000000000000018"/>
    <x v="0"/>
    <m/>
  </r>
  <r>
    <s v="Bay 4&amp;5 - _x000a_Pumps"/>
    <x v="56"/>
    <s v="James"/>
    <x v="0"/>
    <s v="CP150-309"/>
    <s v="Pump Repair"/>
    <d v="2026-02-06T00:00:00"/>
    <d v="2026-02-06T00:00:00"/>
    <m/>
    <m/>
    <d v="1899-12-30T08:30:00"/>
    <d v="1899-12-30T15:30:00"/>
    <n v="7"/>
    <x v="0"/>
    <m/>
  </r>
  <r>
    <s v="Electrical"/>
    <x v="58"/>
    <s v="Fahad"/>
    <x v="3"/>
    <s v="SPB3.7-058"/>
    <s v="Repair, test &amp; PDI"/>
    <d v="2026-01-09T00:00:00"/>
    <d v="2026-01-09T00:00:00"/>
    <m/>
    <m/>
    <d v="1899-12-30T06:30:00"/>
    <d v="1899-12-30T15:30:00"/>
    <n v="9.0000000000000018"/>
    <x v="2"/>
    <m/>
  </r>
  <r>
    <s v="Electrical"/>
    <x v="58"/>
    <s v="Suleman"/>
    <x v="3"/>
    <s v="DB-091"/>
    <s v="3XSPB PDI &amp; dispatching"/>
    <d v="2026-01-09T00:00:00"/>
    <d v="2026-01-09T00:00:00"/>
    <m/>
    <m/>
    <d v="1899-12-30T08:30:00"/>
    <d v="1899-12-30T17:30:00"/>
    <n v="8.9999999999999982"/>
    <x v="2"/>
    <m/>
  </r>
  <r>
    <s v="Electrical"/>
    <x v="58"/>
    <s v="Faisal"/>
    <x v="3"/>
    <s v="SPB3.7-094"/>
    <s v="Repair, test &amp; PDI"/>
    <d v="2026-01-09T00:00:00"/>
    <d v="2026-01-09T00:00:00"/>
    <m/>
    <m/>
    <d v="1899-12-30T06:30:00"/>
    <d v="1899-12-30T15:30:00"/>
    <n v="9.0000000000000018"/>
    <x v="2"/>
    <m/>
  </r>
  <r>
    <s v="Electrical"/>
    <x v="58"/>
    <s v="Cherith"/>
    <x v="2"/>
    <s v="GENJ250-040"/>
    <s v="Slot paper &amp; coil making"/>
    <d v="2026-02-05T00:00:00"/>
    <d v="2026-02-11T00:00:00"/>
    <m/>
    <m/>
    <d v="1899-12-30T06:30:00"/>
    <d v="1899-12-30T17:30:00"/>
    <n v="11"/>
    <x v="2"/>
    <m/>
  </r>
  <r>
    <s v="Electrical"/>
    <x v="58"/>
    <s v="Aman"/>
    <x v="1"/>
    <m/>
    <m/>
    <m/>
    <m/>
    <m/>
    <m/>
    <d v="1899-12-30T06:30:00"/>
    <d v="1899-12-30T17:30:00"/>
    <n v="11"/>
    <x v="1"/>
    <m/>
  </r>
  <r>
    <s v="Electrical"/>
    <x v="58"/>
    <s v="Gihan"/>
    <x v="4"/>
    <s v="SM530-611"/>
    <s v="Rewinding &amp; connection."/>
    <d v="2026-01-05T00:00:00"/>
    <d v="2026-01-09T00:00:00"/>
    <m/>
    <m/>
    <d v="1899-12-30T06:30:00"/>
    <d v="1899-12-30T12:00:00"/>
    <n v="5.5"/>
    <x v="0"/>
    <m/>
  </r>
  <r>
    <s v="Electrical"/>
    <x v="58"/>
    <s v="Gihan"/>
    <x v="4"/>
    <s v="SM530-355"/>
    <s v="Winding cutting &amp; cleaning."/>
    <d v="2026-01-09T00:00:00"/>
    <d v="2026-01-09T00:00:00"/>
    <m/>
    <m/>
    <d v="1899-12-30T13:00:00"/>
    <d v="1899-12-30T15:30:00"/>
    <n v="2.5000000000000018"/>
    <x v="2"/>
    <m/>
  </r>
  <r>
    <s v="Electrical"/>
    <x v="58"/>
    <s v="Donald"/>
    <x v="4"/>
    <s v="SSD18-002"/>
    <s v="Inspection &amp; pump parts cleaning."/>
    <d v="2026-01-09T00:00:00"/>
    <d v="2026-01-09T00:00:00"/>
    <m/>
    <m/>
    <d v="1899-12-30T06:30:00"/>
    <d v="1899-12-30T12:00:00"/>
    <n v="5.5"/>
    <x v="2"/>
    <m/>
  </r>
  <r>
    <s v="Electrical"/>
    <x v="58"/>
    <s v="Donald"/>
    <x v="4"/>
    <s v="SM1002-019"/>
    <s v="Water testing"/>
    <d v="2026-01-09T00:00:00"/>
    <d v="2026-01-09T00:00:00"/>
    <m/>
    <m/>
    <d v="1899-12-30T13:00:00"/>
    <d v="1899-12-30T15:30:00"/>
    <n v="2.5000000000000018"/>
    <x v="0"/>
    <m/>
  </r>
  <r>
    <s v="Electrical"/>
    <x v="58"/>
    <s v="Venu"/>
    <x v="4"/>
    <s v="SM530-546"/>
    <s v="Rotor repairing &amp; assemble"/>
    <d v="2026-01-09T00:00:00"/>
    <d v="2026-01-10T00:00:00"/>
    <m/>
    <m/>
    <d v="1899-12-30T06:30:00"/>
    <d v="1899-12-30T15:30:00"/>
    <n v="9.0000000000000018"/>
    <x v="0"/>
    <m/>
  </r>
  <r>
    <s v="Electrical"/>
    <x v="58"/>
    <s v="Suhaib"/>
    <x v="5"/>
    <s v="Old B:H pump"/>
    <s v="15nos pump inspection &amp; repair."/>
    <d v="2026-02-09T00:00:00"/>
    <d v="2026-02-09T00:00:00"/>
    <m/>
    <m/>
    <d v="1899-12-30T08:30:00"/>
    <d v="1899-12-30T17:30:00"/>
    <n v="8.9999999999999982"/>
    <x v="0"/>
    <m/>
  </r>
  <r>
    <s v="Electrical"/>
    <x v="58"/>
    <s v="Afsar"/>
    <x v="1"/>
    <m/>
    <m/>
    <m/>
    <m/>
    <m/>
    <m/>
    <d v="1899-12-30T08:30:00"/>
    <d v="1899-12-30T17:30:00"/>
    <n v="8.9999999999999982"/>
    <x v="1"/>
    <m/>
  </r>
  <r>
    <s v="Electrical"/>
    <x v="58"/>
    <s v="Saqib"/>
    <x v="4"/>
    <s v="SM1002-179"/>
    <s v="Rewinding &amp; connection."/>
    <d v="2026-02-04T00:00:00"/>
    <d v="2026-02-09T00:00:00"/>
    <m/>
    <m/>
    <d v="1899-12-30T06:30:00"/>
    <d v="1899-12-30T12:00:00"/>
    <n v="5.5"/>
    <x v="0"/>
    <m/>
  </r>
  <r>
    <s v="Electrical"/>
    <x v="58"/>
    <s v="Saqib"/>
    <x v="4"/>
    <s v="SM1002-200"/>
    <s v="Winding cutting &amp; cleaning."/>
    <d v="2026-02-09T00:00:00"/>
    <d v="2026-02-09T00:00:00"/>
    <m/>
    <m/>
    <d v="1899-12-30T13:00:00"/>
    <d v="1899-12-30T15:30:00"/>
    <n v="2.5000000000000018"/>
    <x v="2"/>
    <m/>
  </r>
  <r>
    <s v="Bay 6 -_x000a_Generator"/>
    <x v="58"/>
    <s v="Suraj"/>
    <x v="2"/>
    <s v="GEN150-021"/>
    <s v="Radiator fixing &amp; fuel tank cleaning."/>
    <d v="2026-01-09T00:00:00"/>
    <d v="2026-01-09T00:00:00"/>
    <m/>
    <m/>
    <d v="1899-12-30T08:30:00"/>
    <d v="1899-12-30T13:30:00"/>
    <n v="5"/>
    <x v="2"/>
    <m/>
  </r>
  <r>
    <s v="Bay 6 -_x000a_Generator"/>
    <x v="58"/>
    <s v="Jagdev"/>
    <x v="2"/>
    <s v="GEN150-037"/>
    <s v="Panel board &amp; air filter modification."/>
    <d v="2026-01-27T00:00:00"/>
    <d v="2026-02-09T00:00:00"/>
    <m/>
    <m/>
    <d v="1899-12-30T06:30:00"/>
    <d v="1899-12-30T08:30:00"/>
    <n v="2.0000000000000009"/>
    <x v="0"/>
    <m/>
  </r>
  <r>
    <s v="Bay 6 -_x000a_Generator"/>
    <x v="58"/>
    <s v="Anwar"/>
    <x v="1"/>
    <m/>
    <m/>
    <m/>
    <m/>
    <m/>
    <m/>
    <d v="1899-12-30T06:30:00"/>
    <d v="1899-12-30T08:30:00"/>
    <n v="2.0000000000000009"/>
    <x v="1"/>
    <m/>
  </r>
  <r>
    <s v="Bay 6 -_x000a_Generator"/>
    <x v="58"/>
    <s v="Jagdev"/>
    <x v="2"/>
    <s v="GENJ100-008"/>
    <s v="Fuel pump &amp; injector removing"/>
    <d v="2026-02-09T00:00:00"/>
    <d v="2026-02-09T00:00:00"/>
    <m/>
    <m/>
    <d v="1899-12-30T08:30:00"/>
    <d v="1899-12-30T12:00:00"/>
    <n v="3.4999999999999996"/>
    <x v="0"/>
    <m/>
  </r>
  <r>
    <s v="Bay 6 -_x000a_Generator"/>
    <x v="58"/>
    <s v="Anwar"/>
    <x v="1"/>
    <m/>
    <m/>
    <m/>
    <m/>
    <m/>
    <m/>
    <d v="1899-12-30T08:30:00"/>
    <d v="1899-12-30T12:00:00"/>
    <n v="3.4999999999999996"/>
    <x v="1"/>
    <m/>
  </r>
  <r>
    <s v="Bay 6 -_x000a_Generator"/>
    <x v="58"/>
    <s v="Suraj"/>
    <x v="2"/>
    <s v="GEN240-010/015"/>
    <s v="PDI &amp; flowfinity/ bracket cover bolt welding."/>
    <d v="2026-01-09T00:00:00"/>
    <d v="2026-01-09T00:00:00"/>
    <m/>
    <m/>
    <d v="1899-12-30T13:30:00"/>
    <d v="1899-12-30T14:30:00"/>
    <n v="0.99999999999999911"/>
    <x v="0"/>
    <m/>
  </r>
  <r>
    <s v="Bay 6 -_x000a_Generator"/>
    <x v="58"/>
    <s v="Suraj"/>
    <x v="8"/>
    <s v="General work"/>
    <s v="General work &amp; system work."/>
    <d v="2026-01-09T00:00:00"/>
    <d v="2026-01-09T00:00:00"/>
    <m/>
    <m/>
    <d v="1899-12-30T16:30:00"/>
    <d v="1899-12-30T17:30:00"/>
    <n v="0.99999999999999911"/>
    <x v="2"/>
    <m/>
  </r>
  <r>
    <s v="Bay 6 -_x000a_Generator"/>
    <x v="58"/>
    <s v="Mamun"/>
    <x v="6"/>
    <s v="HL260M-004"/>
    <s v="Inspection &amp; fuel tank cleaning."/>
    <d v="2026-02-09T00:00:00"/>
    <d v="2026-02-09T00:00:00"/>
    <m/>
    <m/>
    <d v="1899-12-30T06:30:00"/>
    <d v="1899-12-30T15:30:00"/>
    <n v="9.0000000000000018"/>
    <x v="2"/>
    <m/>
  </r>
  <r>
    <s v="Bay 6 -_x000a_Generator"/>
    <x v="58"/>
    <s v="Anwar"/>
    <x v="6"/>
    <s v="CD300M-015"/>
    <s v="water test"/>
    <d v="2026-02-09T00:00:00"/>
    <d v="2026-02-09T00:00:00"/>
    <m/>
    <m/>
    <d v="1899-12-30T08:30:00"/>
    <d v="1899-12-30T17:30:00"/>
    <n v="8.9999999999999982"/>
    <x v="2"/>
    <m/>
  </r>
  <r>
    <s v="Bay 4&amp;5 - _x000a_Pumps"/>
    <x v="58"/>
    <s v="Zaheer"/>
    <x v="6"/>
    <s v="SCT700-01"/>
    <s v="Making a new SKD PUMP"/>
    <d v="2026-02-06T00:00:00"/>
    <d v="2026-02-15T00:00:00"/>
    <m/>
    <m/>
    <d v="1899-12-30T06:30:00"/>
    <d v="1899-12-30T17:30:00"/>
    <n v="11"/>
    <x v="2"/>
    <m/>
  </r>
  <r>
    <s v="Bay 4&amp;5 - _x000a_Pumps"/>
    <x v="58"/>
    <s v="Vinod"/>
    <x v="1"/>
    <m/>
    <m/>
    <m/>
    <m/>
    <m/>
    <m/>
    <d v="1899-12-30T06:30:00"/>
    <d v="1899-12-30T17:30:00"/>
    <n v="11"/>
    <x v="1"/>
    <m/>
  </r>
  <r>
    <s v="Bay 4&amp;5 - _x000a_Pumps"/>
    <x v="58"/>
    <s v="Bilal"/>
    <x v="6"/>
    <s v="SCT700-01"/>
    <s v="Making a new SKD PUMP"/>
    <d v="2026-02-06T00:00:00"/>
    <d v="2026-02-15T00:00:00"/>
    <m/>
    <m/>
    <d v="1899-12-30T08:30:00"/>
    <d v="1899-12-30T17:30:00"/>
    <n v="8.9999999999999982"/>
    <x v="2"/>
    <m/>
  </r>
  <r>
    <s v="Bay 4&amp;5 - _x000a_Pumps"/>
    <x v="58"/>
    <s v="Martino"/>
    <x v="6"/>
    <s v="CD300M-015"/>
    <s v="Installation, water &amp; vaccum test"/>
    <d v="2026-02-09T00:00:00"/>
    <d v="2026-02-09T00:00:00"/>
    <m/>
    <m/>
    <d v="1899-12-30T08:30:00"/>
    <d v="1899-12-30T17:30:00"/>
    <n v="8.9999999999999982"/>
    <x v="2"/>
    <m/>
  </r>
  <r>
    <s v="Bay 4&amp;5 - _x000a_Pumps"/>
    <x v="58"/>
    <s v="Mintu"/>
    <x v="0"/>
    <s v="CP150V-040"/>
    <s v="Cylinder head assembling"/>
    <d v="2026-02-02T00:00:00"/>
    <d v="2026-02-09T00:00:00"/>
    <m/>
    <m/>
    <d v="1899-12-30T06:30:00"/>
    <d v="1899-12-30T15:30:00"/>
    <n v="9.0000000000000018"/>
    <x v="0"/>
    <m/>
  </r>
  <r>
    <s v="Bay 4&amp;5 - _x000a_Pumps"/>
    <x v="58"/>
    <s v="Bharathesha"/>
    <x v="0"/>
    <s v="CP150x2"/>
    <s v="Engine fixing on pump with all connections."/>
    <d v="2026-02-09T00:00:00"/>
    <d v="2026-02-09T00:00:00"/>
    <m/>
    <m/>
    <d v="1899-12-30T06:30:00"/>
    <d v="1899-12-30T14:30:00"/>
    <n v="8"/>
    <x v="0"/>
    <m/>
  </r>
  <r>
    <s v="Bay 4&amp;5 - _x000a_Pumps"/>
    <x v="58"/>
    <s v="Harish"/>
    <x v="0"/>
    <s v="CP150-704"/>
    <s v="Engine dismantling."/>
    <d v="2026-02-09T00:00:00"/>
    <d v="2026-02-09T00:00:00"/>
    <m/>
    <m/>
    <d v="1899-12-30T06:30:00"/>
    <d v="1899-12-30T15:30:00"/>
    <n v="9.0000000000000018"/>
    <x v="0"/>
    <m/>
  </r>
  <r>
    <s v="Bay 4&amp;5 - _x000a_Pumps"/>
    <x v="58"/>
    <s v="ISmail"/>
    <x v="0"/>
    <s v="CP150V-004"/>
    <s v="Pump &amp; engine repair"/>
    <d v="2026-02-06T00:00:00"/>
    <d v="2026-02-09T00:00:00"/>
    <m/>
    <m/>
    <d v="1899-12-30T06:30:00"/>
    <d v="1899-12-30T14:30:00"/>
    <n v="8"/>
    <x v="0"/>
    <m/>
  </r>
  <r>
    <s v="Bay 4&amp;5 - _x000a_Pumps"/>
    <x v="58"/>
    <s v="Shaji"/>
    <x v="1"/>
    <m/>
    <m/>
    <m/>
    <m/>
    <m/>
    <m/>
    <d v="1899-12-30T06:30:00"/>
    <d v="1899-12-30T14:30:00"/>
    <n v="8"/>
    <x v="1"/>
    <m/>
  </r>
  <r>
    <s v="Bay 4&amp;5 - _x000a_Pumps"/>
    <x v="58"/>
    <s v="ISmail"/>
    <x v="0"/>
    <s v="CP150-250"/>
    <s v="Final fitting"/>
    <d v="2026-02-09T00:00:00"/>
    <d v="2026-02-09T00:00:00"/>
    <m/>
    <m/>
    <d v="1899-12-30T14:30:00"/>
    <d v="1899-12-30T15:30:00"/>
    <n v="1.0000000000000018"/>
    <x v="0"/>
    <m/>
  </r>
  <r>
    <s v="Bay 4&amp;5 - _x000a_Pumps"/>
    <x v="58"/>
    <s v="James"/>
    <x v="0"/>
    <s v="CP150-661"/>
    <s v="Floaded engine dismantling."/>
    <d v="2026-02-09T00:00:00"/>
    <d v="2026-02-09T00:00:00"/>
    <m/>
    <m/>
    <d v="1899-12-30T08:30:00"/>
    <d v="1899-12-30T15:30:00"/>
    <n v="7"/>
    <x v="0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m/>
    <x v="2"/>
    <m/>
    <x v="1"/>
    <m/>
    <m/>
    <m/>
    <m/>
    <m/>
    <m/>
    <m/>
    <m/>
    <m/>
    <x v="1"/>
    <m/>
  </r>
  <r>
    <s v="Electrical"/>
    <x v="59"/>
    <s v="Lijo"/>
    <x v="3"/>
    <s v="SPB3.7-029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Shahanawaz"/>
    <x v="3"/>
    <s v="SPB3.7-058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Sulaiman"/>
    <x v="3"/>
    <s v="SCP141-228"/>
    <s v="Repair &amp; test"/>
    <d v="2026-01-10T00:00:00"/>
    <d v="2026-01-10T00:00:00"/>
    <m/>
    <m/>
    <d v="1899-12-30T08:30:00"/>
    <d v="1899-12-30T13:00:00"/>
    <n v="4.4999999999999982"/>
    <x v="0"/>
    <m/>
  </r>
  <r>
    <s v="Electrical"/>
    <x v="59"/>
    <s v="Cherith"/>
    <x v="2"/>
    <s v="GENJ250-040"/>
    <s v="Slot paper &amp; coil making"/>
    <d v="2026-02-05T00:00:00"/>
    <d v="2026-02-11T00:00:00"/>
    <m/>
    <m/>
    <d v="1899-12-30T06:30:00"/>
    <d v="1899-12-30T17:30:00"/>
    <n v="11"/>
    <x v="2"/>
    <m/>
  </r>
  <r>
    <s v="Electrical"/>
    <x v="59"/>
    <s v="Aman"/>
    <x v="12"/>
    <s v="&quot;"/>
    <s v="Slot paper &amp; coil making"/>
    <d v="2026-02-05T00:00:00"/>
    <d v="2026-02-11T00:00:00"/>
    <m/>
    <m/>
    <d v="1899-12-30T06:30:00"/>
    <d v="1899-12-30T17:30:00"/>
    <n v="11"/>
    <x v="4"/>
    <m/>
  </r>
  <r>
    <s v="Electrical"/>
    <x v="59"/>
    <s v="Gihan"/>
    <x v="4"/>
    <s v="SM530-353"/>
    <s v="Winding stator cleaning &amp; slot paper making"/>
    <d v="2026-01-09T00:00:00"/>
    <d v="2026-01-10T00:00:00"/>
    <m/>
    <m/>
    <d v="1899-12-30T06:30:00"/>
    <d v="1899-12-30T15:30:00"/>
    <n v="9.0000000000000018"/>
    <x v="3"/>
    <m/>
  </r>
  <r>
    <s v="Electrical"/>
    <x v="59"/>
    <s v="Donald"/>
    <x v="4"/>
    <s v="SSD18-002"/>
    <s v="Rotor repairing &amp; assemble"/>
    <d v="2026-01-10T00:00:00"/>
    <d v="2026-01-10T00:00:00"/>
    <m/>
    <m/>
    <d v="1899-12-30T06:30:00"/>
    <d v="1899-12-30T15:30:00"/>
    <n v="9.0000000000000018"/>
    <x v="0"/>
    <m/>
  </r>
  <r>
    <s v="Electrical"/>
    <x v="59"/>
    <s v="Venu"/>
    <x v="4"/>
    <s v="SM530-546"/>
    <s v="Pump assemble &amp; water testing."/>
    <d v="2026-01-09T00:00:00"/>
    <d v="2026-01-10T00:00:00"/>
    <m/>
    <m/>
    <d v="1899-12-30T06:30:00"/>
    <d v="1899-12-30T15:30:00"/>
    <n v="9.0000000000000018"/>
    <x v="0"/>
    <m/>
  </r>
  <r>
    <s v="Electrical"/>
    <x v="59"/>
    <s v="Suhaib"/>
    <x v="5"/>
    <s v="Old B:H pump"/>
    <s v="20nos pump inspection &amp; repair scrap."/>
    <d v="2026-01-10T00:00:00"/>
    <d v="2026-01-10T00:00:00"/>
    <m/>
    <m/>
    <d v="1899-12-30T08:30:00"/>
    <d v="1899-12-30T17:30:00"/>
    <n v="8.9999999999999982"/>
    <x v="0"/>
    <m/>
  </r>
  <r>
    <s v="Electrical"/>
    <x v="59"/>
    <s v="Afsar"/>
    <x v="12"/>
    <s v="&quot;"/>
    <s v="20nos pump inspection &amp; repair scrap."/>
    <d v="2026-01-10T00:00:00"/>
    <d v="2026-01-10T00:00:00"/>
    <m/>
    <m/>
    <d v="1899-12-30T08:30:00"/>
    <d v="1899-12-30T17:30:00"/>
    <n v="8.9999999999999982"/>
    <x v="4"/>
    <m/>
  </r>
  <r>
    <s v="Electrical"/>
    <x v="59"/>
    <s v="Saqib"/>
    <x v="4"/>
    <s v="SM1002-200"/>
    <s v="Winding stator cleaning &amp; slot paper making"/>
    <d v="2026-02-09T00:00:00"/>
    <d v="2026-02-10T00:00:00"/>
    <m/>
    <m/>
    <d v="1899-12-30T06:30:00"/>
    <d v="1899-12-30T15:30:00"/>
    <n v="9.0000000000000018"/>
    <x v="2"/>
    <m/>
  </r>
  <r>
    <s v="Bay 6 -_x000a_Generator"/>
    <x v="59"/>
    <s v="Jagdev"/>
    <x v="2"/>
    <s v="GENS100-067"/>
    <s v="Safety Guard removing, radiator washing."/>
    <d v="2026-02-07T00:00:00"/>
    <d v="2026-02-10T00:00:00"/>
    <m/>
    <m/>
    <d v="1899-12-30T06:30:00"/>
    <d v="1899-12-30T08:30:00"/>
    <n v="2.0000000000000009"/>
    <x v="0"/>
    <m/>
  </r>
  <r>
    <s v="Bay 6 -_x000a_Generator"/>
    <x v="59"/>
    <s v="Anwar"/>
    <x v="12"/>
    <s v="&quot;"/>
    <s v="Safety Guard removing, radiator washing."/>
    <d v="2026-02-07T00:00:00"/>
    <d v="2026-02-10T00:00:00"/>
    <m/>
    <m/>
    <d v="1899-12-30T06:30:00"/>
    <d v="1899-12-30T08:30:00"/>
    <n v="2.0000000000000009"/>
    <x v="4"/>
    <m/>
  </r>
  <r>
    <s v="Bay 6 -_x000a_Generator"/>
    <x v="59"/>
    <s v="Suraj"/>
    <x v="2"/>
    <s v="GEN150-021"/>
    <s v="Load test, coolant change."/>
    <d v="2026-02-09T00:00:00"/>
    <d v="2026-02-10T00:00:00"/>
    <m/>
    <m/>
    <d v="1899-12-30T08:30:00"/>
    <d v="1899-12-30T10:30:00"/>
    <n v="1.9999999999999996"/>
    <x v="0"/>
    <m/>
  </r>
  <r>
    <s v="Bay 6 -_x000a_Generator"/>
    <x v="59"/>
    <s v="Anwar"/>
    <x v="12"/>
    <s v="&quot;"/>
    <s v="Load test, coolant change."/>
    <d v="2026-02-09T00:00:00"/>
    <d v="2026-02-10T00:00:00"/>
    <m/>
    <m/>
    <d v="1899-12-30T08:30:00"/>
    <d v="1899-12-30T10:30:00"/>
    <n v="1.9999999999999996"/>
    <x v="4"/>
    <m/>
  </r>
  <r>
    <s v="Bay 6 -_x000a_Generator"/>
    <x v="59"/>
    <s v="Suraj"/>
    <x v="2"/>
    <s v="GENG100-009"/>
    <s v="Oil Cooler &amp; silencer fitting, load test"/>
    <d v="2026-01-27T00:00:00"/>
    <d v="2026-02-10T00:00:00"/>
    <m/>
    <m/>
    <d v="1899-12-30T10:30:00"/>
    <d v="1899-12-30T15:30:00"/>
    <n v="5.0000000000000009"/>
    <x v="0"/>
    <m/>
  </r>
  <r>
    <s v="Bay 6 -_x000a_Generator"/>
    <x v="59"/>
    <s v="Anwar"/>
    <x v="12"/>
    <s v="&quot;"/>
    <s v="General work &amp; system work."/>
    <d v="2026-01-27T00:00:00"/>
    <d v="2026-02-10T00:00:00"/>
    <m/>
    <m/>
    <d v="1899-12-30T10:30:00"/>
    <d v="1899-12-30T15:30:00"/>
    <n v="5.0000000000000009"/>
    <x v="4"/>
    <m/>
  </r>
  <r>
    <s v="Bay 6 -_x000a_Generator"/>
    <x v="59"/>
    <s v="Jagdev"/>
    <x v="2"/>
    <s v="GENJ100-017"/>
    <s v="Genera repair, fuel tank &amp; radiator cleaning, Load test"/>
    <d v="2026-02-10T00:00:00"/>
    <d v="2026-02-10T00:00:00"/>
    <m/>
    <m/>
    <d v="1899-12-30T08:30:00"/>
    <d v="1899-12-30T12:30:00"/>
    <n v="4"/>
    <x v="0"/>
    <m/>
  </r>
  <r>
    <s v="Bay 6 -_x000a_Generator"/>
    <x v="59"/>
    <s v="Jagdev"/>
    <x v="2"/>
    <s v="GENG100-024"/>
    <s v="Genera repair, fuel tank &amp; radiator cleaning, Load test"/>
    <d v="2026-02-10T00:00:00"/>
    <d v="2026-02-10T00:00:00"/>
    <m/>
    <m/>
    <d v="1899-12-30T12:30:00"/>
    <d v="1899-12-30T15:30:00"/>
    <n v="3"/>
    <x v="0"/>
    <m/>
  </r>
  <r>
    <s v="Bay 6 -_x000a_Generator"/>
    <x v="59"/>
    <s v="Suraj"/>
    <x v="12"/>
    <s v="&quot;"/>
    <s v="Genera repair, fuel tank &amp; radiator cleaning, Load test"/>
    <d v="2026-02-10T00:00:00"/>
    <d v="2026-02-10T00:00:00"/>
    <m/>
    <m/>
    <d v="1899-12-30T15:30:00"/>
    <d v="1899-12-30T17:30:00"/>
    <n v="1.9999999999999982"/>
    <x v="4"/>
    <m/>
  </r>
  <r>
    <s v="Bay 6 -_x000a_Generator"/>
    <x v="59"/>
    <s v="Martino"/>
    <x v="6"/>
    <s v="HL260M-004"/>
    <s v="Inspection &amp; fuel tank cleaning &amp; vaccum test"/>
    <d v="2026-02-10T00:00:00"/>
    <d v="2026-02-13T00:00:00"/>
    <m/>
    <m/>
    <d v="1899-12-30T08:30:00"/>
    <d v="1899-12-30T17:30:00"/>
    <n v="8.9999999999999982"/>
    <x v="0"/>
    <m/>
  </r>
  <r>
    <s v="Bay 6 -_x000a_Generator"/>
    <x v="59"/>
    <s v="Anwar"/>
    <x v="12"/>
    <s v="&quot;"/>
    <s v="water test"/>
    <d v="2026-02-10T00:00:00"/>
    <d v="2026-02-13T00:00:00"/>
    <m/>
    <m/>
    <d v="1899-12-30T08:30:00"/>
    <d v="1899-12-30T17:30:00"/>
    <n v="8.9999999999999982"/>
    <x v="4"/>
    <m/>
  </r>
  <r>
    <s v="Bay 4&amp;5 - _x000a_Pumps"/>
    <x v="59"/>
    <s v="Zaheer"/>
    <x v="6"/>
    <s v="SKD250"/>
    <s v="Making a new SKD PUMP"/>
    <d v="2026-02-10T00:00:00"/>
    <d v="2026-02-15T00:00:00"/>
    <m/>
    <m/>
    <d v="1899-12-30T06:30:00"/>
    <d v="1899-12-30T17:30:00"/>
    <n v="11"/>
    <x v="0"/>
    <m/>
  </r>
  <r>
    <s v="Bay 4&amp;5 - _x000a_Pumps"/>
    <x v="59"/>
    <s v="Vinod"/>
    <x v="12"/>
    <s v="&quot;"/>
    <m/>
    <d v="2026-02-10T00:00:00"/>
    <d v="2026-02-15T00:00:00"/>
    <m/>
    <m/>
    <d v="1899-12-30T06:30:00"/>
    <d v="1899-12-30T17:30:00"/>
    <n v="11"/>
    <x v="4"/>
    <m/>
  </r>
  <r>
    <s v="Bay 4&amp;5 - _x000a_Pumps"/>
    <x v="59"/>
    <s v="Bilal"/>
    <x v="6"/>
    <s v="SKD250"/>
    <s v="Making a new SKD PUMP"/>
    <d v="2026-02-10T00:00:00"/>
    <d v="2026-02-15T00:00:00"/>
    <m/>
    <m/>
    <d v="1899-12-30T08:30:00"/>
    <d v="1899-12-30T17:30:00"/>
    <n v="8.9999999999999982"/>
    <x v="0"/>
    <m/>
  </r>
  <r>
    <s v="Bay 4&amp;5 - _x000a_Pumps"/>
    <x v="59"/>
    <s v="Mamun"/>
    <x v="6"/>
    <s v="SKD250"/>
    <s v="Making a new SKD PUMP"/>
    <d v="2026-02-10T00:00:00"/>
    <d v="2026-02-15T00:00:00"/>
    <m/>
    <m/>
    <d v="1899-12-30T06:30:00"/>
    <d v="1899-12-30T17:30:00"/>
    <n v="11"/>
    <x v="0"/>
    <m/>
  </r>
  <r>
    <s v="Bay 4&amp;5 - _x000a_Pumps"/>
    <x v="59"/>
    <s v="Mintu"/>
    <x v="0"/>
    <s v="CP150V-040"/>
    <s v="Engine top over hauling ongoing"/>
    <d v="2026-02-07T00:00:00"/>
    <d v="2026-02-10T00:00:00"/>
    <m/>
    <m/>
    <d v="1899-12-30T06:30:00"/>
    <d v="1899-12-30T15:30:00"/>
    <n v="9.0000000000000018"/>
    <x v="2"/>
    <m/>
  </r>
  <r>
    <s v="Bay 4&amp;5 - _x000a_Pumps"/>
    <x v="59"/>
    <s v="Shaji"/>
    <x v="12"/>
    <s v="&quot;"/>
    <m/>
    <m/>
    <m/>
    <m/>
    <m/>
    <d v="1899-12-30T06:30:00"/>
    <d v="1899-12-30T08:30:00"/>
    <n v="2.0000000000000009"/>
    <x v="1"/>
    <m/>
  </r>
  <r>
    <s v="Bay 4&amp;5 - _x000a_Pumps"/>
    <x v="59"/>
    <s v="Bharathesha"/>
    <x v="0"/>
    <s v="CP150x2"/>
    <s v="Engine fixing on pump with all connections."/>
    <d v="2026-02-10T00:00:00"/>
    <d v="2026-02-10T00:00:00"/>
    <m/>
    <m/>
    <d v="1899-12-30T06:30:00"/>
    <d v="1899-12-30T15:30:00"/>
    <n v="9.0000000000000018"/>
    <x v="2"/>
    <m/>
  </r>
  <r>
    <s v="Bay 4&amp;5 - _x000a_Pumps"/>
    <x v="59"/>
    <s v="Harish"/>
    <x v="0"/>
    <s v="CP150-704"/>
    <s v="Engine dismantling &amp; pump repair"/>
    <d v="2026-02-09T00:00:00"/>
    <d v="2026-02-10T00:00:00"/>
    <m/>
    <m/>
    <d v="1899-12-30T06:30:00"/>
    <d v="1899-12-30T15:30:00"/>
    <n v="9.0000000000000018"/>
    <x v="2"/>
    <m/>
  </r>
  <r>
    <s v="Bay 4&amp;5 - _x000a_Pumps"/>
    <x v="59"/>
    <s v="ISmail"/>
    <x v="0"/>
    <s v="CP150-507"/>
    <s v="Pump overhauling"/>
    <d v="2026-02-10T00:00:00"/>
    <d v="2026-02-10T00:00:00"/>
    <m/>
    <m/>
    <d v="1899-12-30T10:30:00"/>
    <d v="1899-12-30T17:30:00"/>
    <n v="6.9999999999999991"/>
    <x v="0"/>
    <m/>
  </r>
  <r>
    <s v="Bay 4&amp;5 - _x000a_Pumps"/>
    <x v="59"/>
    <s v="Shaji"/>
    <x v="12"/>
    <s v="&quot;"/>
    <s v="Pump overhauling"/>
    <d v="2026-02-10T00:00:00"/>
    <d v="2026-02-10T00:00:00"/>
    <m/>
    <m/>
    <d v="1899-12-30T08:30:00"/>
    <d v="1899-12-30T10:30:00"/>
    <n v="1.9999999999999996"/>
    <x v="4"/>
    <m/>
  </r>
  <r>
    <s v="Bay 4&amp;5 - _x000a_Pumps"/>
    <x v="59"/>
    <s v="Ismail"/>
    <x v="0"/>
    <s v="CP150-707"/>
    <s v="Engine &amp; pump minor repair"/>
    <m/>
    <m/>
    <m/>
    <m/>
    <d v="1899-12-30T06:30:00"/>
    <d v="1899-12-30T10:30:00"/>
    <n v="4"/>
    <x v="0"/>
    <m/>
  </r>
  <r>
    <s v="Bay 4&amp;5 - _x000a_Pumps"/>
    <x v="59"/>
    <s v="James"/>
    <x v="0"/>
    <s v="CP150-661"/>
    <s v="Floaded engine dismantling."/>
    <d v="2026-02-09T00:00:00"/>
    <d v="2026-02-10T00:00:00"/>
    <m/>
    <m/>
    <d v="1899-12-30T06:30:00"/>
    <d v="1899-12-30T15:30:00"/>
    <n v="9.0000000000000018"/>
    <x v="2"/>
    <m/>
  </r>
  <r>
    <s v="Bay 4&amp;5 - _x000a_Pumps"/>
    <x v="59"/>
    <s v="Shaji"/>
    <x v="12"/>
    <s v="&quot;"/>
    <s v="Pump overhauling"/>
    <d v="2026-02-09T00:00:00"/>
    <d v="2026-02-10T00:00:00"/>
    <m/>
    <m/>
    <d v="1899-12-30T13:00:00"/>
    <d v="1899-12-30T14:00:00"/>
    <n v="1.0000000000000018"/>
    <x v="4"/>
    <m/>
  </r>
  <r>
    <s v="Bay 4&amp;5 - _x000a_Pumps"/>
    <x v="59"/>
    <s v="Shaji"/>
    <x v="8"/>
    <s v="General/System work"/>
    <s v="MCS work order"/>
    <d v="2026-02-10T00:00:00"/>
    <d v="2026-02-10T00:00:00"/>
    <m/>
    <m/>
    <d v="1899-12-30T14:00:00"/>
    <d v="1899-12-30T15:30:00"/>
    <n v="1.5"/>
    <x v="2"/>
    <m/>
  </r>
  <r>
    <s v="Bay 4&amp;5 - _x000a_Pumps"/>
    <x v="59"/>
    <s v="Shaji"/>
    <x v="0"/>
    <s v="CP150-783"/>
    <m/>
    <m/>
    <m/>
    <m/>
    <m/>
    <d v="1899-12-30T10:30:00"/>
    <d v="1899-12-30T12:30:00"/>
    <n v="2.0000000000000009"/>
    <x v="0"/>
    <m/>
  </r>
  <r>
    <s v="Electrical"/>
    <x v="60"/>
    <s v="Vergelin Lijo"/>
    <x v="3"/>
    <s v="SPB3.7-134"/>
    <s v="Repair &amp; test"/>
    <m/>
    <m/>
    <m/>
    <m/>
    <d v="1899-12-30T08:30:00"/>
    <d v="1899-12-30T10:30:00"/>
    <n v="1.9999999999999996"/>
    <x v="0"/>
    <m/>
  </r>
  <r>
    <s v="Electrical"/>
    <x v="60"/>
    <s v="Mohammad Shahanwaz"/>
    <x v="12"/>
    <s v="&quot;"/>
    <s v="Repair &amp; test"/>
    <m/>
    <m/>
    <m/>
    <m/>
    <d v="1899-12-30T10:30:00"/>
    <d v="1899-12-30T13:30:00"/>
    <n v="3"/>
    <x v="4"/>
    <m/>
  </r>
  <r>
    <s v="Electrical"/>
    <x v="60"/>
    <s v="Mohammad Shahanwaz"/>
    <x v="3"/>
    <s v="DB-166"/>
    <s v="Repair &amp; test"/>
    <m/>
    <m/>
    <m/>
    <m/>
    <d v="1899-12-30T08:30:00"/>
    <d v="1899-12-30T13:00:00"/>
    <n v="4.4999999999999982"/>
    <x v="0"/>
    <m/>
  </r>
  <r>
    <s v="Electrical"/>
    <x v="60"/>
    <s v="Mohammad Shahanwaz"/>
    <x v="3"/>
    <s v="SPB2.2-020"/>
    <s v="Repair &amp; test"/>
    <m/>
    <m/>
    <m/>
    <m/>
    <d v="1899-12-30T14:00:00"/>
    <d v="1899-12-30T17:30:00"/>
    <n v="3.4999999999999982"/>
    <x v="0"/>
    <m/>
  </r>
  <r>
    <s v="Electrical"/>
    <x v="60"/>
    <s v="Vergelin Lijo"/>
    <x v="3"/>
    <s v="SPB7.5-194"/>
    <s v="Repair &amp; test"/>
    <m/>
    <m/>
    <m/>
    <m/>
    <d v="1899-12-30T10:30:00"/>
    <d v="1899-12-30T13:00:00"/>
    <m/>
    <x v="0"/>
    <m/>
  </r>
  <r>
    <s v="Electrical"/>
    <x v="60"/>
    <s v="Vergelin Lijo"/>
    <x v="3"/>
    <s v="SLP138/175"/>
    <s v="Repair &amp; test"/>
    <m/>
    <m/>
    <m/>
    <m/>
    <d v="1899-12-30T13:00:00"/>
    <d v="1899-12-30T17:30:00"/>
    <m/>
    <x v="2"/>
    <m/>
  </r>
  <r>
    <s v="Electrical"/>
    <x v="60"/>
    <s v="Suleman Jehan Zeb"/>
    <x v="12"/>
    <s v="&quot;"/>
    <s v="Repair &amp; test"/>
    <m/>
    <m/>
    <m/>
    <m/>
    <d v="1899-12-30T13:00:00"/>
    <d v="1899-12-30T17:30:00"/>
    <m/>
    <x v="4"/>
    <m/>
  </r>
  <r>
    <s v="Electrical"/>
    <x v="60"/>
    <s v="Charith Madusanka"/>
    <x v="2"/>
    <s v="GENJ250-040"/>
    <s v="Coil making for rewinding"/>
    <m/>
    <m/>
    <m/>
    <m/>
    <d v="1899-12-30T06:30:00"/>
    <d v="1899-12-30T17:30:00"/>
    <n v="11"/>
    <x v="2"/>
    <m/>
  </r>
  <r>
    <s v="Electrical"/>
    <x v="60"/>
    <s v="Amanur Rub Farooqui"/>
    <x v="12"/>
    <s v="&quot;"/>
    <s v="Slot paper &amp; coil making"/>
    <m/>
    <m/>
    <m/>
    <m/>
    <d v="1899-12-30T06:30:00"/>
    <d v="1899-12-30T17:30:00"/>
    <n v="11"/>
    <x v="4"/>
    <m/>
  </r>
  <r>
    <s v="Electrical"/>
    <x v="60"/>
    <s v="Charith Madusanka"/>
    <x v="8"/>
    <s v="FM200/300/700"/>
    <s v="Inspection &amp; PDI"/>
    <m/>
    <m/>
    <m/>
    <m/>
    <d v="1899-12-30T08:30:00"/>
    <d v="1899-12-30T17:30:00"/>
    <m/>
    <x v="2"/>
    <m/>
  </r>
  <r>
    <s v="Electrical"/>
    <x v="60"/>
    <s v="Amanur Rub Farooqui"/>
    <x v="12"/>
    <s v="&quot;"/>
    <s v="Inspection &amp; PDI"/>
    <m/>
    <m/>
    <m/>
    <m/>
    <d v="1899-12-30T08:30:00"/>
    <d v="1899-12-30T17:30:00"/>
    <m/>
    <x v="4"/>
    <m/>
  </r>
  <r>
    <s v="Electrical"/>
    <x v="60"/>
    <s v="Donald"/>
    <x v="4"/>
    <s v="SSD18-002"/>
    <s v="Pump water testing"/>
    <m/>
    <m/>
    <m/>
    <m/>
    <d v="1899-12-30T06:30:00"/>
    <d v="1899-12-30T08:30:00"/>
    <n v="2.0000000000000009"/>
    <x v="0"/>
    <m/>
  </r>
  <r>
    <s v="Electrical"/>
    <x v="60"/>
    <s v="Venu Maranattu"/>
    <x v="12"/>
    <s v="&quot;"/>
    <s v="Pump water testing"/>
    <m/>
    <m/>
    <m/>
    <m/>
    <d v="1899-12-30T06:30:00"/>
    <d v="1899-12-30T08:30:00"/>
    <n v="2.0000000000000009"/>
    <x v="4"/>
    <m/>
  </r>
  <r>
    <s v="Electrical"/>
    <x v="60"/>
    <s v="Venu Maranattu"/>
    <x v="4"/>
    <s v="SM530-355"/>
    <s v="Rotor repairing &amp; pump assemble"/>
    <m/>
    <m/>
    <m/>
    <m/>
    <d v="1899-12-30T08:30:00"/>
    <s v="15;30"/>
    <m/>
    <x v="2"/>
    <m/>
  </r>
  <r>
    <s v="Electrical"/>
    <x v="60"/>
    <s v="Donald"/>
    <x v="4"/>
    <s v="SM1002-276"/>
    <s v="Inspection&amp; pump repair"/>
    <m/>
    <m/>
    <m/>
    <m/>
    <d v="1899-12-30T08:30:00"/>
    <s v="15;30"/>
    <m/>
    <x v="2"/>
    <m/>
  </r>
  <r>
    <s v="Electrical"/>
    <x v="60"/>
    <s v="Afsar Khan Zar Ali Khan"/>
    <x v="5"/>
    <s v="Old B:H pump"/>
    <s v="15nos pump inspection &amp; repair scrap."/>
    <m/>
    <m/>
    <m/>
    <m/>
    <d v="1899-12-30T08:30:00"/>
    <d v="1899-12-30T17:30:00"/>
    <n v="8.9999999999999982"/>
    <x v="0"/>
    <m/>
  </r>
  <r>
    <s v="Electrical"/>
    <x v="60"/>
    <s v="Suhaib Puthan Peedikakkal"/>
    <x v="12"/>
    <s v="&quot;"/>
    <s v="15nos pump inspection &amp; repair scrap."/>
    <m/>
    <m/>
    <m/>
    <m/>
    <d v="1899-12-30T08:30:00"/>
    <d v="1899-12-30T17:30:00"/>
    <n v="8.9999999999999982"/>
    <x v="4"/>
    <m/>
  </r>
  <r>
    <s v="Electrical"/>
    <x v="60"/>
    <s v="Saqib Khan"/>
    <x v="4"/>
    <s v="SM1002-200"/>
    <s v="Coil making for rewinding"/>
    <m/>
    <m/>
    <m/>
    <m/>
    <d v="1899-12-30T06:30:00"/>
    <d v="1899-12-30T15:30:00"/>
    <n v="9.0000000000000018"/>
    <x v="2"/>
    <m/>
  </r>
  <r>
    <s v="Bay 6 -_x000a_Generator"/>
    <x v="60"/>
    <s v="Jagdev Singh"/>
    <x v="2"/>
    <s v="GENG100-024"/>
    <s v="Ac alternator cleaning &amp; service, general repair"/>
    <m/>
    <m/>
    <m/>
    <m/>
    <d v="1899-12-30T06:30:00"/>
    <d v="1899-12-30T12:30:00"/>
    <n v="6.0000000000000018"/>
    <x v="0"/>
    <m/>
  </r>
  <r>
    <s v="Bay 6 -_x000a_Generator"/>
    <x v="60"/>
    <s v="Suraj Sunil"/>
    <x v="2"/>
    <s v="GEN200-014"/>
    <s v="Engine oil service, radiator cleaning &amp; washing."/>
    <m/>
    <m/>
    <m/>
    <m/>
    <d v="1899-12-30T08:30:00"/>
    <d v="1899-12-30T13:30:00"/>
    <n v="5"/>
    <x v="2"/>
    <m/>
  </r>
  <r>
    <s v="Bay 6 -_x000a_Generator"/>
    <x v="60"/>
    <s v="Saeed Anwar"/>
    <x v="12"/>
    <s v="&quot;"/>
    <s v="Load test, coolant change."/>
    <m/>
    <m/>
    <m/>
    <m/>
    <d v="1899-12-30T08:30:00"/>
    <d v="1899-12-30T13:30:00"/>
    <n v="5"/>
    <x v="4"/>
    <m/>
  </r>
  <r>
    <s v="Bay 6 -_x000a_Generator"/>
    <x v="60"/>
    <s v="Suraj Sunil"/>
    <x v="2"/>
    <s v="GEN60-041"/>
    <s v="Engine block cleaning, load test"/>
    <m/>
    <m/>
    <m/>
    <m/>
    <d v="1899-12-30T13:30:00"/>
    <d v="1899-12-30T17:30:00"/>
    <n v="3.9999999999999991"/>
    <x v="0"/>
    <m/>
  </r>
  <r>
    <s v="Bay 6 -_x000a_Generator"/>
    <x v="60"/>
    <s v="Saeed Anwar"/>
    <x v="12"/>
    <s v="&quot;"/>
    <s v="General work &amp; system work."/>
    <m/>
    <m/>
    <m/>
    <m/>
    <d v="1899-12-30T13:30:00"/>
    <d v="1899-12-30T15:30:00"/>
    <n v="2.0000000000000009"/>
    <x v="4"/>
    <m/>
  </r>
  <r>
    <s v="Bay 6 -_x000a_Generator"/>
    <x v="60"/>
    <s v="Jagdev Singh"/>
    <x v="2"/>
    <s v="GENS100-067"/>
    <s v="Safety guard fixing &amp; final fitting."/>
    <m/>
    <m/>
    <m/>
    <m/>
    <d v="1899-12-30T08:30:00"/>
    <d v="1899-12-30T12:30:00"/>
    <n v="4"/>
    <x v="0"/>
    <m/>
  </r>
  <r>
    <s v="Bay 6 -_x000a_Generator"/>
    <x v="60"/>
    <s v="Martino Archin Buabin"/>
    <x v="6"/>
    <s v="HL260M-004"/>
    <s v="Water &amp; vaccum test."/>
    <m/>
    <m/>
    <m/>
    <m/>
    <d v="1899-12-30T08:30:00"/>
    <d v="1899-12-30T17:30:00"/>
    <n v="8.9999999999999982"/>
    <x v="0"/>
    <m/>
  </r>
  <r>
    <s v="Bay 6 -_x000a_Generator"/>
    <x v="60"/>
    <s v="Saeed Anwar"/>
    <x v="12"/>
    <s v="&quot;"/>
    <s v="Water &amp; vaccum test."/>
    <m/>
    <m/>
    <m/>
    <m/>
    <d v="1899-12-30T08:30:00"/>
    <d v="1899-12-30T17:30:00"/>
    <n v="8.9999999999999982"/>
    <x v="4"/>
    <m/>
  </r>
  <r>
    <s v="Bay 4&amp;5 - _x000a_Pumps"/>
    <x v="60"/>
    <s v="Vinod Vijayan"/>
    <x v="6"/>
    <s v="SKD250"/>
    <s v="Making a new SKD PUMP"/>
    <m/>
    <m/>
    <m/>
    <m/>
    <d v="1899-12-30T06:30:00"/>
    <d v="1899-12-30T15:30:00"/>
    <n v="9.0000000000000018"/>
    <x v="0"/>
    <m/>
  </r>
  <r>
    <s v="Bay 4&amp;5 - _x000a_Pumps"/>
    <x v="60"/>
    <s v="Jahir Nurul Islam"/>
    <x v="12"/>
    <s v="&quot;"/>
    <s v="Making a new SKD PUMP"/>
    <m/>
    <m/>
    <m/>
    <m/>
    <d v="1899-12-30T06:30:00"/>
    <d v="1899-12-30T15:30:00"/>
    <n v="9.0000000000000018"/>
    <x v="4"/>
    <m/>
  </r>
  <r>
    <s v="Bay 4&amp;5 - _x000a_Pumps"/>
    <x v="60"/>
    <s v="Mohammad Moniruzzaman"/>
    <x v="6"/>
    <s v="SKD250"/>
    <s v="Pump alignment"/>
    <m/>
    <m/>
    <m/>
    <m/>
    <d v="1899-12-30T06:30:00"/>
    <d v="1899-12-30T17:30:00"/>
    <n v="11"/>
    <x v="0"/>
    <m/>
  </r>
  <r>
    <s v="Bay 4&amp;5 - _x000a_Pumps"/>
    <x v="60"/>
    <s v="Muhammad Billal"/>
    <x v="6"/>
    <s v="SKD250"/>
    <s v="Ready water picks"/>
    <m/>
    <m/>
    <m/>
    <m/>
    <d v="1899-12-30T08:30:00"/>
    <d v="1899-12-30T17:30:00"/>
    <n v="8.9999999999999982"/>
    <x v="0"/>
    <m/>
  </r>
  <r>
    <s v="Bay 4&amp;5 - _x000a_Pumps"/>
    <x v="60"/>
    <s v="Haras Hussaon"/>
    <x v="0"/>
    <s v="CP150V-073/015/054"/>
    <s v="Final fitting"/>
    <m/>
    <m/>
    <m/>
    <m/>
    <d v="1899-12-30T06:30:00"/>
    <d v="1899-12-30T11:00:00"/>
    <n v="4.5"/>
    <x v="0"/>
    <m/>
  </r>
  <r>
    <s v="Bay 4&amp;5 - _x000a_Pumps"/>
    <x v="60"/>
    <s v="Shaj Muthiraparamibil Balan"/>
    <x v="12"/>
    <s v="&quot;"/>
    <m/>
    <m/>
    <m/>
    <m/>
    <m/>
    <d v="1899-12-30T06:30:00"/>
    <d v="1899-12-30T08:30:00"/>
    <n v="2.0000000000000009"/>
    <x v="4"/>
    <m/>
  </r>
  <r>
    <s v="Bay 4&amp;5 - _x000a_Pumps"/>
    <x v="60"/>
    <s v="Mintu Kumar"/>
    <x v="0"/>
    <s v="CP150-661"/>
    <s v="Engine &amp; pump prepare for assembling."/>
    <m/>
    <m/>
    <m/>
    <m/>
    <d v="1899-12-30T06:30:00"/>
    <d v="1899-12-30T17:30:00"/>
    <n v="11"/>
    <x v="0"/>
    <m/>
  </r>
  <r>
    <s v="Bay 4&amp;5 - _x000a_Pumps"/>
    <x v="60"/>
    <s v="James Adukutwah"/>
    <x v="12"/>
    <s v="&quot;"/>
    <s v="Engine dismantling &amp; pump repair"/>
    <m/>
    <m/>
    <m/>
    <m/>
    <d v="1899-12-30T06:30:00"/>
    <d v="1899-12-30T17:30:00"/>
    <n v="11"/>
    <x v="4"/>
    <m/>
  </r>
  <r>
    <s v="Bay 4&amp;5 - _x000a_Pumps"/>
    <x v="60"/>
    <s v="Bharathesha Shubhakara Jain"/>
    <x v="0"/>
    <s v="CP150-539"/>
    <s v="Pump prepare for assembling."/>
    <m/>
    <m/>
    <m/>
    <m/>
    <d v="1899-12-30T06:30:00"/>
    <d v="1899-12-30T17:30:00"/>
    <n v="11"/>
    <x v="0"/>
    <m/>
  </r>
  <r>
    <s v="Bay 4&amp;5 - _x000a_Pumps"/>
    <x v="60"/>
    <s v="Haras Hussaon"/>
    <x v="0"/>
    <s v="CP150V-004/062"/>
    <s v="Fuel tank cleaning, final fitting."/>
    <m/>
    <m/>
    <m/>
    <m/>
    <d v="1899-12-30T11:00:00"/>
    <d v="1899-12-30T16:00:00"/>
    <n v="5"/>
    <x v="0"/>
    <m/>
  </r>
  <r>
    <s v="Bay 4&amp;5 - _x000a_Pumps"/>
    <x v="60"/>
    <s v="Ismail Mostofa"/>
    <x v="0"/>
    <s v="CP150-507"/>
    <s v="Pump assembling."/>
    <m/>
    <m/>
    <m/>
    <m/>
    <d v="1899-12-30T06:30:00"/>
    <d v="1899-12-30T17:30:00"/>
    <n v="11"/>
    <x v="0"/>
    <m/>
  </r>
  <r>
    <s v="Bay 4&amp;5 - _x000a_Pumps"/>
    <x v="60"/>
    <s v="Shaj Muthiraparamibil Balan"/>
    <x v="8"/>
    <s v="General/System work"/>
    <s v="General work &amp; system work."/>
    <m/>
    <m/>
    <m/>
    <m/>
    <d v="1899-12-30T08:30:00"/>
    <d v="1899-12-30T15:30:00"/>
    <n v="7"/>
    <x v="0"/>
    <m/>
  </r>
  <r>
    <s v="Electrical"/>
    <x v="61"/>
    <s v="Vergelin Lijo"/>
    <x v="3"/>
    <s v="SCP-138"/>
    <s v="Repair &amp; test"/>
    <d v="1899-12-30T08:30:00"/>
    <d v="1899-12-30T10:30:00"/>
    <n v="1.9999999999999996"/>
    <s v="Completed"/>
    <d v="1899-12-30T08:30:00"/>
    <d v="1899-12-30T17:30:00"/>
    <n v="8.9999999999999982"/>
    <x v="2"/>
    <m/>
  </r>
  <r>
    <s v="Electrical"/>
    <x v="61"/>
    <s v="Mohammad Shahanwaz"/>
    <x v="3"/>
    <s v="SCP-175"/>
    <s v="Repair &amp; test"/>
    <d v="1899-12-30T08:30:00"/>
    <d v="1899-12-30T13:00:00"/>
    <n v="4.4999999999999982"/>
    <s v="Completed"/>
    <d v="1899-12-30T08:30:00"/>
    <d v="1899-12-30T17:30:00"/>
    <n v="8.9999999999999982"/>
    <x v="2"/>
    <m/>
  </r>
  <r>
    <s v="Electrical"/>
    <x v="61"/>
    <s v="Charith Madusanka"/>
    <x v="8"/>
    <s v="FM300/700"/>
    <s v="Inspection &amp; PDI"/>
    <d v="1899-12-30T06:30:00"/>
    <d v="1899-12-30T17:30:00"/>
    <n v="11"/>
    <s v="Ongoing"/>
    <d v="1899-12-30T06:30:00"/>
    <d v="1899-12-30T13:00:00"/>
    <n v="6.5"/>
    <x v="2"/>
    <m/>
  </r>
  <r>
    <s v="Electrical"/>
    <x v="61"/>
    <s v="Amanur Rub Farooqui"/>
    <x v="12"/>
    <s v="&quot;"/>
    <s v="Slot paper &amp; coil making"/>
    <d v="1899-12-30T06:30:00"/>
    <d v="1899-12-30T17:30:00"/>
    <n v="11"/>
    <s v="&quot;"/>
    <d v="1899-12-30T06:30:00"/>
    <d v="1899-12-30T13:00:00"/>
    <n v="6.5"/>
    <x v="4"/>
    <m/>
  </r>
  <r>
    <s v="Electrical"/>
    <x v="61"/>
    <s v="Charith Madusanka"/>
    <x v="8"/>
    <s v="FM200/300/700"/>
    <s v="Inspection &amp; PDI"/>
    <d v="1899-12-30T08:30:00"/>
    <d v="1899-12-30T17:30:00"/>
    <m/>
    <s v="Ongoing"/>
    <d v="1899-12-30T08:30:00"/>
    <d v="1899-12-30T17:30:00"/>
    <m/>
    <x v="2"/>
    <m/>
  </r>
  <r>
    <s v="Electrical"/>
    <x v="61"/>
    <s v="Amanur Rub Farooqui"/>
    <x v="12"/>
    <s v="&quot;"/>
    <s v="Inspection &amp; PDI"/>
    <d v="1899-12-30T08:30:00"/>
    <d v="1899-12-30T17:30:00"/>
    <m/>
    <s v="&quot;"/>
    <d v="1899-12-30T08:30:00"/>
    <d v="1899-12-30T17:30:00"/>
    <m/>
    <x v="4"/>
    <m/>
  </r>
  <r>
    <s v="Electrical"/>
    <x v="61"/>
    <s v="Donald"/>
    <x v="4"/>
    <s v="SM1002-276"/>
    <s v="Inspection &amp; pump repair"/>
    <d v="1899-12-30T06:30:00"/>
    <d v="1899-12-30T08:30:00"/>
    <n v="2.0000000000000009"/>
    <s v="Completed"/>
    <d v="1899-12-30T06:30:00"/>
    <d v="1899-12-30T12:00:00"/>
    <n v="5.5"/>
    <x v="0"/>
    <m/>
  </r>
  <r>
    <s v="Electrical"/>
    <x v="61"/>
    <s v="Venu Maranattu"/>
    <x v="4"/>
    <s v="SM530-355"/>
    <s v="Rotor repairing &amp; pump assemble"/>
    <d v="1899-12-30T08:30:00"/>
    <s v="15;30"/>
    <m/>
    <s v="Ongoing"/>
    <d v="1899-12-30T08:30:00"/>
    <d v="1899-12-30T12:00:00"/>
    <n v="3.4999999999999996"/>
    <x v="0"/>
    <m/>
  </r>
  <r>
    <s v="Electrical"/>
    <x v="61"/>
    <s v="Donald"/>
    <x v="4"/>
    <s v="SM1002-276"/>
    <s v="Inspection&amp; pump repair"/>
    <d v="1899-12-30T08:30:00"/>
    <s v="15;30"/>
    <m/>
    <s v="Ongoing"/>
    <d v="1899-12-30T08:30:00"/>
    <d v="1899-12-30T12:00:00"/>
    <n v="3.4999999999999996"/>
    <x v="2"/>
    <m/>
  </r>
  <r>
    <s v="Electrical"/>
    <x v="61"/>
    <s v="Donald"/>
    <x v="4"/>
    <s v="SF300-001"/>
    <s v="Inspection &amp; PDI"/>
    <m/>
    <m/>
    <m/>
    <m/>
    <d v="1899-12-30T12:00:00"/>
    <d v="1899-12-30T15:30:00"/>
    <n v="3.5000000000000009"/>
    <x v="2"/>
    <m/>
  </r>
  <r>
    <s v="Electrical"/>
    <x v="61"/>
    <s v="Venu Maranattu"/>
    <x v="12"/>
    <s v="&quot;"/>
    <s v="Inspection &amp; PDI"/>
    <m/>
    <m/>
    <m/>
    <m/>
    <d v="1899-12-30T12:00:00"/>
    <d v="1899-12-30T15:30:00"/>
    <n v="3.5000000000000009"/>
    <x v="4"/>
    <m/>
  </r>
  <r>
    <s v="Electrical"/>
    <x v="61"/>
    <s v="Afsar Khan Zar Ali Khan"/>
    <x v="5"/>
    <s v="Old B:H pump"/>
    <s v="15nos pump inspection &amp; repair scrap."/>
    <d v="1899-12-30T08:30:00"/>
    <d v="1899-12-30T17:30:00"/>
    <n v="8.9999999999999982"/>
    <s v="Completed"/>
    <d v="1899-12-30T08:30:00"/>
    <d v="1899-12-30T17:30:00"/>
    <n v="8.9999999999999982"/>
    <x v="2"/>
    <m/>
  </r>
  <r>
    <s v="Electrical"/>
    <x v="61"/>
    <s v="Suhaib Puthan Peedikakkal"/>
    <x v="12"/>
    <s v="&quot;"/>
    <s v="15nos pump inspection &amp; repair scrap."/>
    <d v="1899-12-30T08:30:00"/>
    <d v="1899-12-30T17:30:00"/>
    <n v="8.9999999999999982"/>
    <s v="&quot;"/>
    <d v="1899-12-30T08:30:00"/>
    <d v="1899-12-30T17:30:00"/>
    <n v="8.9999999999999982"/>
    <x v="4"/>
    <m/>
  </r>
  <r>
    <s v="Electrical"/>
    <x v="61"/>
    <s v="Saqib Khan"/>
    <x v="4"/>
    <s v="SM1002-200"/>
    <s v="Rewinding &amp; connection."/>
    <d v="1899-12-30T06:30:00"/>
    <d v="1899-12-30T15:30:00"/>
    <n v="9.0000000000000018"/>
    <s v="Ongoing"/>
    <d v="1899-12-30T06:30:00"/>
    <d v="1899-12-30T15:30:00"/>
    <n v="9.0000000000000018"/>
    <x v="2"/>
    <m/>
  </r>
  <r>
    <s v="Bay 6 -_x000a_Generator"/>
    <x v="61"/>
    <s v="Suraj Sunil"/>
    <x v="2"/>
    <s v="GENG100-024"/>
    <s v="Ac alternator cleaning &amp; service, general repair"/>
    <d v="1899-12-30T06:30:00"/>
    <d v="1899-12-30T12:30:00"/>
    <n v="6.0000000000000018"/>
    <s v="Completed"/>
    <d v="1899-12-30T06:30:00"/>
    <d v="1899-12-30T12:30:00"/>
    <n v="6.0000000000000018"/>
    <x v="0"/>
    <m/>
  </r>
  <r>
    <s v="Bay 6 -_x000a_Generator"/>
    <x v="61"/>
    <s v="Suraj Sunil"/>
    <x v="2"/>
    <s v="GEN150-021"/>
    <s v="Fuel tank cleaning &amp; washing."/>
    <d v="1899-12-30T08:30:00"/>
    <d v="1899-12-30T13:30:00"/>
    <n v="5"/>
    <s v="Ongoing"/>
    <d v="1899-12-30T06:30:00"/>
    <d v="1899-12-30T10:30:00"/>
    <n v="4"/>
    <x v="0"/>
    <m/>
  </r>
  <r>
    <s v="Bay 6 -_x000a_Generator"/>
    <x v="61"/>
    <s v="Saeed Anwar"/>
    <x v="12"/>
    <s v="&quot;"/>
    <s v="Load test, coolant change."/>
    <d v="1899-12-30T08:30:00"/>
    <d v="1899-12-30T13:30:00"/>
    <n v="5"/>
    <s v="&quot;"/>
    <d v="1899-12-30T06:30:00"/>
    <d v="1899-12-30T10:30:00"/>
    <n v="4"/>
    <x v="4"/>
    <m/>
  </r>
  <r>
    <s v="Bay 6 -_x000a_Generator"/>
    <x v="61"/>
    <s v="Suraj Sunil"/>
    <x v="2"/>
    <s v="GENJ60-065"/>
    <s v="General repair &amp; Load test"/>
    <d v="1899-12-30T13:30:00"/>
    <d v="1899-12-30T17:30:00"/>
    <n v="3.9999999999999991"/>
    <s v="Completed"/>
    <d v="1899-12-30T13:30:00"/>
    <d v="1899-12-30T15:30:00"/>
    <n v="2.0000000000000009"/>
    <x v="2"/>
    <m/>
  </r>
  <r>
    <s v="Bay 6 -_x000a_Generator"/>
    <x v="61"/>
    <s v="Saeed Anwar"/>
    <x v="12"/>
    <s v="&quot;"/>
    <s v="General repair &amp; Load test"/>
    <d v="1899-12-30T13:30:00"/>
    <d v="1899-12-30T15:30:00"/>
    <n v="2.0000000000000009"/>
    <s v="&quot;"/>
    <d v="1899-12-30T13:30:00"/>
    <d v="1899-12-30T15:30:00"/>
    <n v="2.0000000000000009"/>
    <x v="4"/>
    <m/>
  </r>
  <r>
    <s v="Bay 6 -_x000a_Generator"/>
    <x v="61"/>
    <s v="Suraj Sunil"/>
    <x v="2"/>
    <s v="GEN80-016"/>
    <s v="General repair &amp; Load test"/>
    <d v="1899-12-30T08:30:00"/>
    <d v="1899-12-30T12:30:00"/>
    <n v="4"/>
    <s v="Completed"/>
    <d v="1899-12-30T15:30:00"/>
    <d v="1899-12-30T17:30:00"/>
    <n v="1.9999999999999982"/>
    <x v="2"/>
    <m/>
  </r>
  <r>
    <s v="Bay 6 -_x000a_Generator"/>
    <x v="61"/>
    <s v="Martino Archin Buabin"/>
    <x v="6"/>
    <s v="HL260M-004"/>
    <s v="Water &amp; vaccum test."/>
    <d v="1899-12-30T08:30:00"/>
    <d v="1899-12-30T17:30:00"/>
    <n v="8.9999999999999982"/>
    <s v="Completed"/>
    <d v="1899-12-30T08:30:00"/>
    <d v="1899-12-30T17:30:00"/>
    <n v="8.9999999999999982"/>
    <x v="2"/>
    <m/>
  </r>
  <r>
    <s v="Bay 6 -_x000a_Generator"/>
    <x v="61"/>
    <s v="Saeed Anwar"/>
    <x v="12"/>
    <s v="&quot;"/>
    <s v="Water &amp; vaccum test."/>
    <d v="1899-12-30T08:30:00"/>
    <d v="1899-12-30T17:30:00"/>
    <n v="8.9999999999999982"/>
    <s v="&quot;"/>
    <d v="1899-12-30T08:30:00"/>
    <d v="1899-12-30T17:30:00"/>
    <n v="8.9999999999999982"/>
    <x v="4"/>
    <m/>
  </r>
  <r>
    <s v="Bay 4&amp;5 - _x000a_Pumps"/>
    <x v="61"/>
    <s v="Vinod Vijayan"/>
    <x v="6"/>
    <s v="SKD250"/>
    <s v="Making a new SKD PUMP"/>
    <d v="1899-12-30T06:30:00"/>
    <d v="1899-12-30T15:30:00"/>
    <n v="9.0000000000000018"/>
    <s v="Completed"/>
    <d v="1899-12-30T06:30:00"/>
    <d v="1899-12-30T15:30:00"/>
    <n v="9.0000000000000018"/>
    <x v="2"/>
    <m/>
  </r>
  <r>
    <s v="Bay 4&amp;5 - _x000a_Pumps"/>
    <x v="61"/>
    <s v="Jahir Nurul Islam"/>
    <x v="12"/>
    <s v="&quot;"/>
    <s v="Making a new SKD PUMP"/>
    <d v="1899-12-30T06:30:00"/>
    <d v="1899-12-30T15:30:00"/>
    <n v="9.0000000000000018"/>
    <s v="&quot;"/>
    <d v="1899-12-30T06:30:00"/>
    <d v="1899-12-30T15:30:00"/>
    <n v="9.0000000000000018"/>
    <x v="4"/>
    <m/>
  </r>
  <r>
    <s v="Bay 4&amp;5 - _x000a_Pumps"/>
    <x v="61"/>
    <s v="Mohammad Moniruzzaman"/>
    <x v="6"/>
    <s v="SKD250"/>
    <s v="Pump alignment"/>
    <d v="1899-12-30T06:30:00"/>
    <d v="1899-12-30T17:30:00"/>
    <n v="11"/>
    <s v="Completed"/>
    <d v="1899-12-30T06:30:00"/>
    <d v="1899-12-30T17:30:00"/>
    <n v="11"/>
    <x v="2"/>
    <m/>
  </r>
  <r>
    <s v="Bay 4&amp;5 - _x000a_Pumps"/>
    <x v="61"/>
    <s v="Muhammad Billal"/>
    <x v="6"/>
    <s v="SKD250"/>
    <s v="Ready water picks"/>
    <d v="1899-12-30T08:30:00"/>
    <d v="1899-12-30T17:30:00"/>
    <n v="8.9999999999999982"/>
    <s v="Completed"/>
    <d v="1899-12-30T08:30:00"/>
    <d v="1899-12-30T17:30:00"/>
    <n v="8.9999999999999982"/>
    <x v="2"/>
    <m/>
  </r>
  <r>
    <s v="Bay 4&amp;5 - _x000a_Pumps"/>
    <x v="61"/>
    <s v="Bharathesha Shubhakara Jain"/>
    <x v="6"/>
    <s v="CP150-706/845"/>
    <s v="Vaccum pump repair"/>
    <m/>
    <m/>
    <m/>
    <m/>
    <d v="1899-12-30T10:30:00"/>
    <d v="1899-12-30T17:30:00"/>
    <n v="6.9999999999999991"/>
    <x v="2"/>
    <m/>
  </r>
  <r>
    <s v="Bay 4&amp;5 - _x000a_Pumps"/>
    <x v="61"/>
    <s v="Bharathesha Shubhakara Jain"/>
    <x v="6"/>
    <s v="CP150-539"/>
    <s v="Pump assemble &amp; water testing."/>
    <m/>
    <m/>
    <m/>
    <m/>
    <d v="1899-12-30T06:30:00"/>
    <d v="1899-12-30T10:00:00"/>
    <n v="3.5000000000000009"/>
    <x v="0"/>
    <m/>
  </r>
  <r>
    <s v="Bay 4&amp;5 - _x000a_Pumps"/>
    <x v="61"/>
    <s v="Haras Hussaon"/>
    <x v="0"/>
    <s v="CP150V-309"/>
    <s v="Pump prepare for assembling."/>
    <d v="1899-12-30T06:30:00"/>
    <d v="1899-12-30T11:00:00"/>
    <n v="4.5"/>
    <s v="Completed"/>
    <d v="1899-12-30T06:30:00"/>
    <d v="1899-12-30T15:30:00"/>
    <n v="9.0000000000000018"/>
    <x v="2"/>
    <m/>
  </r>
  <r>
    <s v="Bay 4&amp;5 - _x000a_Pumps"/>
    <x v="61"/>
    <s v="Shaj Muthiraparamibil Balan"/>
    <x v="12"/>
    <s v="&quot;"/>
    <m/>
    <d v="1899-12-30T06:30:00"/>
    <d v="1899-12-30T08:30:00"/>
    <n v="2.0000000000000009"/>
    <s v="&quot;"/>
    <d v="1899-12-30T06:30:00"/>
    <d v="1899-12-30T08:30:00"/>
    <n v="2.0000000000000009"/>
    <x v="4"/>
    <m/>
  </r>
  <r>
    <s v="Bay 4&amp;5 - _x000a_Pumps"/>
    <x v="61"/>
    <s v="Mintu Kumar"/>
    <x v="0"/>
    <s v="CP150-661"/>
    <s v="Engine &amp; pump prepare for assembling."/>
    <d v="1899-12-30T06:30:00"/>
    <d v="1899-12-30T17:30:00"/>
    <n v="11"/>
    <s v="Completed"/>
    <d v="1899-12-30T06:30:00"/>
    <d v="1899-12-30T17:30:00"/>
    <n v="11"/>
    <x v="2"/>
    <m/>
  </r>
  <r>
    <s v="Bay 4&amp;5 - _x000a_Pumps"/>
    <x v="61"/>
    <s v="James Adukutwah"/>
    <x v="12"/>
    <s v="&quot;"/>
    <s v="Engine dismantling &amp; pump repair"/>
    <d v="1899-12-30T06:30:00"/>
    <d v="1899-12-30T17:30:00"/>
    <n v="11"/>
    <s v="&quot;"/>
    <d v="1899-12-30T06:30:00"/>
    <d v="1899-12-30T17:30:00"/>
    <n v="11"/>
    <x v="4"/>
    <m/>
  </r>
  <r>
    <s v="Bay 4&amp;5 - _x000a_Pumps"/>
    <x v="61"/>
    <s v="Ismail Mostofa"/>
    <x v="0"/>
    <s v="CP150V-062"/>
    <s v="Fuel tank cleaning &amp; repair final fitting."/>
    <d v="1899-12-30T06:30:00"/>
    <d v="1899-12-30T17:30:00"/>
    <n v="11"/>
    <s v="Completed"/>
    <d v="1899-12-30T06:30:00"/>
    <d v="1899-12-30T09:00:00"/>
    <n v="2.5000000000000004"/>
    <x v="0"/>
    <m/>
  </r>
  <r>
    <s v="Bay 4&amp;5 - _x000a_Pumps"/>
    <x v="61"/>
    <s v="Ismail Mostofa"/>
    <x v="0"/>
    <s v="CP150-879"/>
    <s v="pump dismantling."/>
    <m/>
    <m/>
    <m/>
    <m/>
    <d v="1899-12-30T11:30:00"/>
    <d v="1899-12-30T17:30:00"/>
    <n v="5.9999999999999982"/>
    <x v="2"/>
    <m/>
  </r>
  <r>
    <s v="Bay 4&amp;5 - _x000a_Pumps"/>
    <x v="61"/>
    <s v="Shaj Muthiraparamibil Balan"/>
    <x v="0"/>
    <s v="ZD900-065"/>
    <s v="Final fitting &amp; PDI"/>
    <d v="1899-12-30T08:30:00"/>
    <d v="1899-12-30T15:30:00"/>
    <n v="7"/>
    <s v="Completed"/>
    <d v="1899-12-30T09:30:00"/>
    <d v="1899-12-30T11:30:00"/>
    <n v="2.0000000000000009"/>
    <x v="0"/>
    <m/>
  </r>
  <r>
    <m/>
    <x v="2"/>
    <m/>
    <x v="1"/>
    <m/>
    <m/>
    <m/>
    <m/>
    <m/>
    <m/>
    <m/>
    <m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2">
  <r>
    <s v="Bay 4&amp;5 - _x000a_Pumps"/>
    <x v="0"/>
    <x v="0"/>
    <s v="Contractor dewatering Pump"/>
    <s v="2X CP150"/>
    <s v="vaccum Pump repair "/>
    <d v="2025-12-03T00:00:00"/>
    <d v="2025-12-03T00:00:00"/>
    <n v="0"/>
    <m/>
    <d v="1899-12-30T08:00:00"/>
    <d v="1899-12-30T15:30:00"/>
    <n v="7.5000000000000018"/>
    <s v="Completed"/>
    <m/>
  </r>
  <r>
    <s v="Bay 4&amp;5 - _x000a_Pumps"/>
    <x v="0"/>
    <x v="1"/>
    <s v="Contractor dewatering Pump"/>
    <s v="PT175-522"/>
    <s v="Pump assembling"/>
    <d v="2025-11-28T00:00:00"/>
    <d v="2025-12-02T00:00:00"/>
    <n v="4"/>
    <m/>
    <d v="1899-12-30T07:30:00"/>
    <d v="1899-12-30T16:30:00"/>
    <n v="9"/>
    <s v="Completed"/>
    <m/>
  </r>
  <r>
    <s v="Bay 4&amp;5 - _x000a_Pumps"/>
    <x v="0"/>
    <x v="2"/>
    <m/>
    <m/>
    <m/>
    <m/>
    <m/>
    <m/>
    <m/>
    <d v="1899-12-30T07:30:00"/>
    <d v="1899-12-30T09:30:00"/>
    <n v="1.9999999999999996"/>
    <m/>
    <m/>
  </r>
  <r>
    <s v="Bay 4&amp;5 - _x000a_Pumps"/>
    <x v="0"/>
    <x v="3"/>
    <s v="Contractor dewatering Pump"/>
    <s v="CP150-218"/>
    <s v="Pump repair &amp; water test "/>
    <d v="2025-11-27T00:00:00"/>
    <d v="2025-12-01T00:00:00"/>
    <d v="2025-12-03T00:00:00"/>
    <m/>
    <d v="1899-12-30T07:30:00"/>
    <d v="1899-12-30T12:30:00"/>
    <n v="5.0000000000000009"/>
    <s v="Completed"/>
    <m/>
  </r>
  <r>
    <s v="Bay 4&amp;5 - _x000a_Pumps"/>
    <x v="0"/>
    <x v="2"/>
    <m/>
    <m/>
    <m/>
    <m/>
    <m/>
    <m/>
    <m/>
    <d v="1899-12-30T09:30:00"/>
    <d v="1899-12-30T11:30:00"/>
    <n v="2.0000000000000009"/>
    <m/>
    <m/>
  </r>
  <r>
    <s v="Bay 4&amp;5 - _x000a_Pumps"/>
    <x v="0"/>
    <x v="3"/>
    <s v="Contractor dewatering Pump"/>
    <s v="CP150-676"/>
    <s v="Contractor dewatering Pump"/>
    <d v="2025-12-03T00:00:00"/>
    <d v="2025-12-03T00:00:00"/>
    <d v="2025-12-04T00:00:00"/>
    <m/>
    <d v="1899-12-30T12:30:00"/>
    <d v="1899-12-30T16:30:00"/>
    <n v="3.9999999999999991"/>
    <s v="Completed"/>
    <m/>
  </r>
  <r>
    <s v="Bay 4&amp;5 - _x000a_Pumps"/>
    <x v="0"/>
    <x v="4"/>
    <s v="Contractor dewatering Pump"/>
    <s v="PT175-515"/>
    <s v="Engine prepapre for assembling, gear dismantled &amp; repairing."/>
    <d v="2025-11-28T00:00:00"/>
    <d v="2025-12-01T00:00:00"/>
    <d v="2025-12-03T00:00:00"/>
    <m/>
    <d v="1899-12-30T08:00:00"/>
    <d v="1899-12-30T17:00:00"/>
    <n v="9.0000000000000018"/>
    <s v="Completed"/>
    <m/>
  </r>
  <r>
    <s v="Bay 4&amp;5 - _x000a_Pumps"/>
    <x v="0"/>
    <x v="2"/>
    <m/>
    <m/>
    <m/>
    <m/>
    <m/>
    <m/>
    <m/>
    <d v="1899-12-30T15:00:00"/>
    <d v="1899-12-30T17:00:00"/>
    <n v="2.0000000000000009"/>
    <m/>
    <m/>
  </r>
  <r>
    <s v="Bay 4&amp;5 - _x000a_Pumps"/>
    <x v="0"/>
    <x v="5"/>
    <s v="Contractor dewatering Pump"/>
    <s v="CP150-002"/>
    <s v="Engine repair &amp; water testing"/>
    <d v="2025-11-28T00:00:00"/>
    <d v="2025-12-03T00:00:00"/>
    <d v="2025-12-02T00:00:00"/>
    <m/>
    <d v="1899-12-30T08:00:00"/>
    <d v="1899-12-30T11:00:00"/>
    <n v="3"/>
    <s v="Completed"/>
    <m/>
  </r>
  <r>
    <s v="Bay 4&amp;5 - _x000a_Pumps"/>
    <x v="0"/>
    <x v="2"/>
    <m/>
    <m/>
    <m/>
    <m/>
    <m/>
    <m/>
    <m/>
    <d v="1899-12-30T11:30:00"/>
    <d v="1899-12-30T15:00:00"/>
    <n v="3.4999999999999996"/>
    <m/>
    <m/>
  </r>
  <r>
    <s v="Bay 4&amp;5 - _x000a_Pumps"/>
    <x v="0"/>
    <x v="5"/>
    <s v="Contractor dewatering Pump"/>
    <s v="CP150V-001"/>
    <s v="Pump dismantle"/>
    <d v="2025-12-03T00:00:00"/>
    <d v="2025-12-03T00:00:00"/>
    <d v="2025-12-03T00:00:00"/>
    <m/>
    <d v="1899-12-30T15:00:00"/>
    <d v="1899-12-30T17:00:00"/>
    <n v="2.0000000000000009"/>
    <s v="Ongoing"/>
    <m/>
  </r>
  <r>
    <s v="Bay 6 -_x000a_Generator"/>
    <x v="0"/>
    <x v="6"/>
    <s v="Generator"/>
    <s v="GEN200-014"/>
    <s v="Oil service"/>
    <d v="2025-11-28T00:00:00"/>
    <d v="2025-12-03T00:00:00"/>
    <d v="2025-12-03T00:00:00"/>
    <m/>
    <d v="1899-12-30T07:30:00"/>
    <d v="1899-12-30T10:30:00"/>
    <n v="3"/>
    <s v="Completed"/>
    <m/>
  </r>
  <r>
    <s v="Bay 6 -_x000a_Generator"/>
    <x v="0"/>
    <x v="6"/>
    <s v="Generator"/>
    <s v="GEN250-051"/>
    <s v="Oil service, Silencer fabrication work."/>
    <d v="2025-12-03T00:00:00"/>
    <d v="2025-12-03T00:00:00"/>
    <d v="2025-12-03T00:00:00"/>
    <m/>
    <d v="1899-12-30T10:30:00"/>
    <d v="1899-12-30T15:30:00"/>
    <n v="5.0000000000000009"/>
    <s v="Completed"/>
    <m/>
  </r>
  <r>
    <s v="Bay 6 -_x000a_Generator"/>
    <x v="0"/>
    <x v="7"/>
    <s v="Generator"/>
    <s v="GEN20-002"/>
    <s v="FIP &amp; injector filing, fuel tank cleaning, valave guard &amp; gegenral repair"/>
    <d v="2025-12-03T00:00:00"/>
    <d v="2025-12-03T00:00:00"/>
    <d v="2025-12-03T00:00:00"/>
    <m/>
    <d v="1899-12-30T07:30:00"/>
    <d v="1899-12-30T12:30:00"/>
    <n v="5.0000000000000009"/>
    <s v="Completed"/>
    <m/>
  </r>
  <r>
    <s v="Bay 6 -_x000a_Generator"/>
    <x v="0"/>
    <x v="7"/>
    <s v="Generator"/>
    <s v="GENJ80-027"/>
    <s v=" fuel tank cleaning, valave guaging &amp; genenral repair"/>
    <d v="2025-12-03T00:00:00"/>
    <d v="2025-12-03T00:00:00"/>
    <d v="2025-12-03T00:00:00"/>
    <m/>
    <d v="1899-12-30T07:30:00"/>
    <d v="1899-12-30T09:30:00"/>
    <n v="1.9999999999999996"/>
    <s v="Completed"/>
    <m/>
  </r>
  <r>
    <s v="Bay 6 -_x000a_Generator"/>
    <x v="0"/>
    <x v="7"/>
    <s v="Generator"/>
    <s v="GEN7-008"/>
    <s v="General repair, ac alternator service, dc charging,  oil service"/>
    <d v="2025-11-28T00:00:00"/>
    <d v="2025-12-03T00:00:00"/>
    <d v="2025-12-03T00:00:00"/>
    <m/>
    <d v="1899-12-30T13:00:00"/>
    <d v="1899-12-30T16:30:00"/>
    <n v="3.5000000000000009"/>
    <s v="Completed"/>
    <m/>
  </r>
  <r>
    <s v="Electrical"/>
    <x v="0"/>
    <x v="8"/>
    <s v="Panel"/>
    <s v="SPB95-001"/>
    <s v="Power &amp; control wiring"/>
    <d v="2025-11-28T00:00:00"/>
    <d v="2025-12-03T00:00:00"/>
    <d v="2025-12-03T00:00:00"/>
    <m/>
    <d v="1899-12-30T08:00:00"/>
    <d v="1899-12-30T17:00:00"/>
    <n v="9.0000000000000018"/>
    <s v="Completed"/>
    <m/>
  </r>
  <r>
    <s v="Electrical"/>
    <x v="0"/>
    <x v="9"/>
    <s v="Panel"/>
    <s v="SPB22.037"/>
    <s v="Repairing &amp; testing"/>
    <d v="2025-11-28T00:00:00"/>
    <d v="2025-12-03T00:00:00"/>
    <d v="2025-12-03T00:00:00"/>
    <m/>
    <d v="1899-12-30T08:00:00"/>
    <d v="1899-12-30T17:00:00"/>
    <n v="9.0000000000000018"/>
    <s v="Completed"/>
    <m/>
  </r>
  <r>
    <s v="Electrical"/>
    <x v="0"/>
    <x v="10"/>
    <s v="Panel"/>
    <s v="General work"/>
    <s v="Lock holder &amp; alarm system, cutting &amp; drilling"/>
    <d v="2025-12-03T00:00:00"/>
    <d v="2025-12-03T00:00:00"/>
    <d v="2025-12-03T00:00:00"/>
    <m/>
    <d v="1899-12-30T07:30:00"/>
    <d v="1899-12-30T16:30:00"/>
    <n v="9"/>
    <s v="Completed"/>
    <m/>
  </r>
  <r>
    <s v="Electrical"/>
    <x v="0"/>
    <x v="11"/>
    <s v="Generator"/>
    <s v="GEN250-043"/>
    <s v="Ac alternator inspection &amp; servicing assembling"/>
    <d v="2025-12-03T00:00:00"/>
    <m/>
    <d v="2025-12-04T00:00:00"/>
    <m/>
    <d v="1899-12-30T07:30:00"/>
    <d v="1899-12-30T17:00:00"/>
    <n v="9.5"/>
    <s v="Ongoing"/>
    <m/>
  </r>
  <r>
    <s v="Electrical"/>
    <x v="0"/>
    <x v="12"/>
    <m/>
    <m/>
    <m/>
    <d v="2025-12-03T00:00:00"/>
    <m/>
    <m/>
    <m/>
    <d v="1899-12-30T07:30:00"/>
    <d v="1899-12-30T17:00:00"/>
    <n v="9.5"/>
    <m/>
    <m/>
  </r>
  <r>
    <s v="Electrical"/>
    <x v="0"/>
    <x v="13"/>
    <s v="Submersible pump"/>
    <s v="SM1002-140"/>
    <s v="Stator rewinding"/>
    <d v="2025-11-29T00:00:00"/>
    <d v="2025-12-03T00:00:00"/>
    <m/>
    <m/>
    <d v="1899-12-30T07:30:00"/>
    <d v="1899-12-30T16:30:00"/>
    <n v="9"/>
    <s v="Hold"/>
    <m/>
  </r>
  <r>
    <s v="Electrical"/>
    <x v="0"/>
    <x v="14"/>
    <s v="Borehole pump"/>
    <s v="2.2kw"/>
    <s v="25nos pump inspection checking &amp; socket fixing &amp; number tagging"/>
    <d v="2025-12-03T00:00:00"/>
    <d v="2025-12-03T00:00:00"/>
    <d v="2025-12-04T00:00:00"/>
    <m/>
    <d v="1899-12-30T07:30:00"/>
    <d v="1899-12-30T16:30:00"/>
    <n v="9"/>
    <s v="Completed"/>
    <m/>
  </r>
  <r>
    <s v="Electrical"/>
    <x v="0"/>
    <x v="15"/>
    <m/>
    <m/>
    <m/>
    <m/>
    <m/>
    <m/>
    <m/>
    <d v="1899-12-30T07:30:00"/>
    <d v="1899-12-30T16:30:00"/>
    <n v="9"/>
    <m/>
    <m/>
  </r>
  <r>
    <s v="Electrical"/>
    <x v="0"/>
    <x v="16"/>
    <s v="Submersible pump"/>
    <s v="SM1002/SM530"/>
    <s v="3nos pumps water test"/>
    <d v="2025-12-03T00:00:00"/>
    <d v="2025-12-03T00:00:00"/>
    <d v="2025-12-03T00:00:00"/>
    <m/>
    <d v="1899-12-30T07:30:00"/>
    <d v="1899-12-30T17:00:00"/>
    <n v="9.5"/>
    <s v="Completed"/>
    <m/>
  </r>
  <r>
    <s v="Electrical"/>
    <x v="0"/>
    <x v="17"/>
    <m/>
    <m/>
    <m/>
    <m/>
    <m/>
    <m/>
    <m/>
    <d v="1899-12-30T07:30:00"/>
    <d v="1899-12-30T17:00:00"/>
    <n v="9.5"/>
    <m/>
    <m/>
  </r>
  <r>
    <s v="Bay 4&amp;5 - _x000a_Pumps"/>
    <x v="0"/>
    <x v="18"/>
    <s v="Diesel Driven CP Pump"/>
    <s v="CP1212S15-015"/>
    <s v="Float &amp; vaccum pump repairing, vaccum testing, NRV repairing"/>
    <d v="2025-12-03T00:00:00"/>
    <d v="2025-12-06T00:00:00"/>
    <d v="2025-12-06T00:00:00"/>
    <m/>
    <d v="1899-12-30T07:30:00"/>
    <d v="1899-12-30T13:00:00"/>
    <n v="5.4999999999999991"/>
    <s v="Completed"/>
    <m/>
  </r>
  <r>
    <s v="Bay 4&amp;5 - _x000a_Pumps"/>
    <x v="0"/>
    <x v="19"/>
    <m/>
    <m/>
    <m/>
    <m/>
    <m/>
    <m/>
    <m/>
    <d v="1899-12-30T07:30:00"/>
    <d v="1899-12-30T13:00:00"/>
    <n v="5.4999999999999991"/>
    <m/>
    <m/>
  </r>
  <r>
    <s v="Bay 4&amp;5 - _x000a_Pumps"/>
    <x v="0"/>
    <x v="20"/>
    <s v="Diesel Driven CP Pump"/>
    <s v="CD300M-03"/>
    <s v="Injector and turbo installation and top cover gasket replacement"/>
    <d v="2025-11-12T00:00:00"/>
    <d v="2025-12-09T00:00:00"/>
    <d v="2025-12-09T00:00:00"/>
    <m/>
    <d v="1899-12-30T08:00:00"/>
    <d v="1899-12-30T17:00:00"/>
    <n v="9.0000000000000018"/>
    <s v="Completed"/>
    <m/>
  </r>
  <r>
    <s v="Bay 4&amp;5 - _x000a_Pumps"/>
    <x v="0"/>
    <x v="21"/>
    <m/>
    <m/>
    <m/>
    <m/>
    <m/>
    <m/>
    <m/>
    <d v="1899-12-30T08:00:00"/>
    <d v="1899-12-30T17:00:00"/>
    <n v="9.0000000000000018"/>
    <m/>
    <m/>
  </r>
  <r>
    <s v="Bay 4&amp;5 - _x000a_Pumps"/>
    <x v="0"/>
    <x v="18"/>
    <s v="General work"/>
    <s v="General work"/>
    <s v="System work for work orders &amp; IDT"/>
    <d v="2025-12-03T00:00:00"/>
    <d v="2025-12-03T00:00:00"/>
    <d v="2025-12-03T00:00:00"/>
    <m/>
    <d v="1899-12-30T15:30:00"/>
    <d v="1899-12-30T16:30:00"/>
    <n v="0.99999999999999911"/>
    <s v="Completed"/>
    <m/>
  </r>
  <r>
    <s v="Bay 4&amp;5 - _x000a_Pumps"/>
    <x v="1"/>
    <x v="0"/>
    <s v="Contractor dewatering Pump"/>
    <s v="CP150-033"/>
    <s v="vaccum Pump repair &amp; test"/>
    <d v="2025-12-04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1"/>
    <x v="1"/>
    <s v="Contractor dewatering Pump"/>
    <s v="PT175-515"/>
    <s v="Pump assembling"/>
    <d v="2025-11-28T00:00:00"/>
    <d v="2025-12-04T00:00:00"/>
    <d v="2025-12-04T00:00:00"/>
    <m/>
    <d v="1899-12-30T07:30:00"/>
    <d v="1899-12-30T16:30:00"/>
    <n v="9"/>
    <s v="Completed"/>
    <m/>
  </r>
  <r>
    <s v="Bay 4&amp;5 - _x000a_Pumps"/>
    <x v="2"/>
    <x v="2"/>
    <m/>
    <m/>
    <m/>
    <m/>
    <m/>
    <d v="2025-12-04T00:00:00"/>
    <m/>
    <d v="1899-12-30T07:30:00"/>
    <d v="1899-12-30T08:30:00"/>
    <n v="1.0000000000000004"/>
    <m/>
    <m/>
  </r>
  <r>
    <s v="Bay 4&amp;5 - _x000a_Pumps"/>
    <x v="1"/>
    <x v="3"/>
    <s v="Contractor dewatering Pump"/>
    <s v="CP150-676"/>
    <s v="Cylinder head repairing"/>
    <d v="2025-12-03T00:00:00"/>
    <d v="2025-12-04T00:00:00"/>
    <d v="2025-12-04T00:00:00"/>
    <m/>
    <d v="1899-12-30T07:30:00"/>
    <d v="1899-12-30T16:30:00"/>
    <n v="9"/>
    <s v="Completed"/>
    <m/>
  </r>
  <r>
    <s v="Bay 4&amp;5 - _x000a_Pumps"/>
    <x v="1"/>
    <x v="4"/>
    <s v="Contractor dewatering Pump"/>
    <s v="PT175-515"/>
    <s v="Engine assembling"/>
    <d v="2025-11-28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2"/>
    <x v="2"/>
    <m/>
    <m/>
    <m/>
    <m/>
    <m/>
    <d v="2025-12-04T00:00:00"/>
    <m/>
    <d v="1899-12-30T09:30:00"/>
    <d v="1899-12-30T11:30:00"/>
    <n v="2.0000000000000009"/>
    <m/>
    <m/>
  </r>
  <r>
    <s v="Bay 4&amp;5 - _x000a_Pumps"/>
    <x v="1"/>
    <x v="5"/>
    <s v="Contractor dewatering Pump"/>
    <s v="CP150V-001"/>
    <s v="Pump dismantling &amp; prepare for assembling"/>
    <d v="2025-12-03T00:00:00"/>
    <d v="2025-12-04T00:00:00"/>
    <d v="2025-12-04T00:00:00"/>
    <m/>
    <d v="1899-12-30T08:00:00"/>
    <d v="1899-12-30T17:00:00"/>
    <n v="9.0000000000000018"/>
    <s v="Completed"/>
    <m/>
  </r>
  <r>
    <s v="Bay 4&amp;5 - _x000a_Pumps"/>
    <x v="2"/>
    <x v="2"/>
    <m/>
    <m/>
    <m/>
    <m/>
    <m/>
    <d v="2025-12-04T00:00:00"/>
    <m/>
    <d v="1899-12-30T11:30:00"/>
    <d v="1899-12-30T15:00:00"/>
    <n v="3.4999999999999996"/>
    <m/>
    <m/>
  </r>
  <r>
    <s v="Bay 4&amp;5 - _x000a_Pumps"/>
    <x v="1"/>
    <x v="2"/>
    <s v="Other"/>
    <s v="System work "/>
    <s v="System work for work orders &amp; IDT"/>
    <d v="2025-12-04T00:00:00"/>
    <d v="2025-12-04T00:00:00"/>
    <d v="2025-12-04T00:00:00"/>
    <m/>
    <d v="1899-12-30T15:00:00"/>
    <d v="1899-12-30T17:00:00"/>
    <n v="2.0000000000000009"/>
    <s v="Completed"/>
    <m/>
  </r>
  <r>
    <s v="Bay 6 -_x000a_Generator"/>
    <x v="1"/>
    <x v="6"/>
    <s v="Generator"/>
    <s v="GEN20-002"/>
    <s v="Load testing &amp; cable connection"/>
    <d v="2025-12-03T00:00:00"/>
    <d v="2025-12-04T00:00:00"/>
    <d v="2025-12-04T00:00:00"/>
    <m/>
    <d v="1899-12-30T07:30:00"/>
    <d v="1899-12-30T09:30:00"/>
    <n v="1.9999999999999996"/>
    <s v="Completed"/>
    <m/>
  </r>
  <r>
    <s v="Bay 6 -_x000a_Generator"/>
    <x v="2"/>
    <x v="22"/>
    <m/>
    <m/>
    <m/>
    <m/>
    <m/>
    <d v="2025-12-04T00:00:00"/>
    <m/>
    <d v="1899-12-30T08:30:00"/>
    <d v="1899-12-30T09:30:00"/>
    <n v="0.99999999999999911"/>
    <m/>
    <m/>
  </r>
  <r>
    <s v="Bay 6 -_x000a_Generator"/>
    <x v="1"/>
    <x v="6"/>
    <s v="Generator"/>
    <s v="GENJ80-027"/>
    <s v="Load testing &amp; cable connection"/>
    <d v="2025-12-03T00:00:00"/>
    <d v="2025-12-04T00:00:00"/>
    <d v="2025-12-04T00:00:00"/>
    <m/>
    <d v="1899-12-30T09:30:00"/>
    <d v="1899-12-30T11:00:00"/>
    <n v="1.5"/>
    <s v="Completed"/>
    <m/>
  </r>
  <r>
    <s v="Bay 6 -_x000a_Generator"/>
    <x v="2"/>
    <x v="22"/>
    <m/>
    <m/>
    <m/>
    <m/>
    <m/>
    <m/>
    <m/>
    <d v="1899-12-30T09:30:00"/>
    <d v="1899-12-30T11:00:00"/>
    <n v="1.5"/>
    <m/>
    <m/>
  </r>
  <r>
    <s v="Bay 6 -_x000a_Generator"/>
    <x v="1"/>
    <x v="6"/>
    <s v="Generator"/>
    <s v="GEN150-053"/>
    <s v="Load testing &amp; cable connection"/>
    <d v="2025-12-04T00:00:00"/>
    <d v="2025-12-04T00:00:00"/>
    <d v="2025-12-04T00:00:00"/>
    <m/>
    <d v="1899-12-30T14:30:00"/>
    <d v="1899-12-30T16:30:00"/>
    <n v="2.0000000000000009"/>
    <s v="Completed"/>
    <m/>
  </r>
  <r>
    <s v="Bay 6 -_x000a_Generator"/>
    <x v="2"/>
    <x v="22"/>
    <m/>
    <m/>
    <m/>
    <m/>
    <m/>
    <m/>
    <m/>
    <d v="1899-12-30T15:30:00"/>
    <d v="1899-12-30T16:30:00"/>
    <n v="0.99999999999999911"/>
    <m/>
    <m/>
  </r>
  <r>
    <s v="Bay 6 -_x000a_Generator"/>
    <x v="1"/>
    <x v="7"/>
    <s v="Generator"/>
    <s v="GEN250-044"/>
    <s v="FIP &amp; injector filing, fuel tank cleaning, valave guard &amp; gegenral repair"/>
    <d v="2025-11-18T00:00:00"/>
    <d v="2025-12-04T00:00:00"/>
    <m/>
    <m/>
    <d v="1899-12-30T13:00:00"/>
    <d v="1899-12-30T16:30:00"/>
    <n v="3.5000000000000009"/>
    <s v="Completed"/>
    <m/>
  </r>
  <r>
    <s v="Bay 6 -_x000a_Generator"/>
    <x v="1"/>
    <x v="23"/>
    <m/>
    <m/>
    <m/>
    <m/>
    <m/>
    <m/>
    <m/>
    <d v="1899-12-30T13:00:00"/>
    <d v="1899-12-30T16:30:00"/>
    <n v="3.5000000000000009"/>
    <m/>
    <m/>
  </r>
  <r>
    <s v="Bay 6 -_x000a_Generator"/>
    <x v="1"/>
    <x v="7"/>
    <s v="Generator"/>
    <s v="GEN150-053"/>
    <s v="General repair, fuel tank cleaning, coolant change, valve gauging"/>
    <d v="2025-12-04T00:00:00"/>
    <d v="2025-12-04T00:00:00"/>
    <d v="2025-12-04T00:00:00"/>
    <m/>
    <d v="1899-12-30T07:30:00"/>
    <d v="1899-12-30T12:30:00"/>
    <n v="5.0000000000000009"/>
    <s v="Completed"/>
    <m/>
  </r>
  <r>
    <s v="Bay 6 -_x000a_Generator"/>
    <x v="2"/>
    <x v="23"/>
    <m/>
    <m/>
    <m/>
    <m/>
    <m/>
    <d v="2025-12-04T00:00:00"/>
    <m/>
    <m/>
    <m/>
    <n v="0"/>
    <m/>
    <m/>
  </r>
  <r>
    <s v="Electrical"/>
    <x v="1"/>
    <x v="8"/>
    <s v="Panel"/>
    <s v="SPB95-001"/>
    <s v="Enclosure cutting &amp; door wiring"/>
    <d v="2025-12-04T00:00:00"/>
    <d v="2025-12-04T00:00:00"/>
    <d v="2025-12-04T00:00:00"/>
    <m/>
    <d v="1899-12-30T08:00:00"/>
    <d v="1899-12-30T17:00:00"/>
    <n v="9.0000000000000018"/>
    <s v="Completed"/>
    <m/>
  </r>
  <r>
    <s v="Electrical"/>
    <x v="1"/>
    <x v="9"/>
    <s v="Other"/>
    <s v="Electrical section"/>
    <s v="Panel section wiring &amp; light fixing."/>
    <d v="2025-12-04T00:00:00"/>
    <d v="2025-12-04T00:00:00"/>
    <d v="2025-12-04T00:00:00"/>
    <m/>
    <d v="1899-12-30T08:00:00"/>
    <d v="1899-12-30T17:00:00"/>
    <n v="9.0000000000000018"/>
    <s v="Completed"/>
    <m/>
  </r>
  <r>
    <s v="Electrical"/>
    <x v="1"/>
    <x v="10"/>
    <s v="Other"/>
    <s v="Electrical section"/>
    <s v="Panel section wiring &amp; light fixing."/>
    <d v="2025-12-04T00:00:00"/>
    <d v="2025-12-04T00:00:00"/>
    <d v="2025-12-04T00:00:00"/>
    <m/>
    <d v="1899-12-30T07:30:00"/>
    <d v="1899-12-30T16:30:00"/>
    <n v="9"/>
    <s v="Completed"/>
    <m/>
  </r>
  <r>
    <s v="Electrical"/>
    <x v="1"/>
    <x v="11"/>
    <s v="Generator"/>
    <s v="GEN250-043"/>
    <s v="Ac alternator inspection &amp; servicing assembling"/>
    <d v="2025-12-03T00:00:00"/>
    <d v="2025-12-04T00:00:00"/>
    <d v="2025-12-04T00:00:00"/>
    <m/>
    <d v="1899-12-30T07:30:00"/>
    <d v="1899-12-30T17:00:00"/>
    <n v="9.5"/>
    <s v="Completed"/>
    <m/>
  </r>
  <r>
    <s v="Electrical"/>
    <x v="2"/>
    <x v="12"/>
    <m/>
    <m/>
    <m/>
    <m/>
    <m/>
    <m/>
    <m/>
    <d v="1899-12-30T07:30:00"/>
    <d v="1899-12-30T17:00:00"/>
    <n v="9.5"/>
    <m/>
    <m/>
  </r>
  <r>
    <s v="Electrical"/>
    <x v="1"/>
    <x v="13"/>
    <s v="Submersible pump"/>
    <s v="SM1002-140"/>
    <s v="Stator rewinding"/>
    <d v="2025-11-29T00:00:00"/>
    <d v="2025-12-04T00:00:00"/>
    <d v="2025-12-04T00:00:00"/>
    <m/>
    <d v="1899-12-30T07:30:00"/>
    <d v="1899-12-30T12:00:00"/>
    <n v="4.5"/>
    <s v="Completed"/>
    <m/>
  </r>
  <r>
    <s v="Electrical"/>
    <x v="1"/>
    <x v="14"/>
    <s v="Borehole pump"/>
    <s v="2.2kw"/>
    <s v="13nos pump inspection checking &amp; socket fixing &amp; number tagging"/>
    <d v="2025-12-04T00:00:00"/>
    <d v="2025-12-04T00:00:00"/>
    <d v="2025-12-04T00:00:00"/>
    <m/>
    <d v="1899-12-30T07:30:00"/>
    <d v="1899-12-30T17:00:00"/>
    <n v="9.5"/>
    <s v="Completed"/>
    <m/>
  </r>
  <r>
    <s v="Electrical"/>
    <x v="2"/>
    <x v="24"/>
    <m/>
    <m/>
    <m/>
    <m/>
    <m/>
    <d v="2025-12-04T00:00:00"/>
    <m/>
    <d v="1899-12-30T07:30:00"/>
    <d v="1899-12-30T17:00:00"/>
    <n v="9.5"/>
    <m/>
    <m/>
  </r>
  <r>
    <s v="Electrical"/>
    <x v="1"/>
    <x v="24"/>
    <m/>
    <m/>
    <m/>
    <d v="2025-12-04T00:00:00"/>
    <d v="2025-12-04T00:00:00"/>
    <d v="2025-12-04T00:00:00"/>
    <m/>
    <d v="1899-12-30T12:00:00"/>
    <d v="1899-12-30T16:30:00"/>
    <n v="4.5"/>
    <m/>
    <m/>
  </r>
  <r>
    <s v="Electrical"/>
    <x v="1"/>
    <x v="24"/>
    <s v="Submersible pump"/>
    <s v="SM1002-140"/>
    <s v="Water testing"/>
    <d v="2025-12-04T00:00:00"/>
    <d v="2025-12-03T00:00:00"/>
    <d v="2025-12-04T00:00:00"/>
    <m/>
    <d v="1899-12-30T12:00:00"/>
    <d v="1899-12-30T16:00:00"/>
    <n v="3.9999999999999991"/>
    <s v="Completed"/>
    <m/>
  </r>
  <r>
    <s v="Electrical"/>
    <x v="1"/>
    <x v="17"/>
    <s v="Submersible pump"/>
    <s v="SM1002"/>
    <s v=" pumps water test"/>
    <d v="2025-12-04T00:00:00"/>
    <d v="2025-12-04T00:00:00"/>
    <m/>
    <m/>
    <d v="1899-12-30T07:30:00"/>
    <d v="1899-12-30T12:00:00"/>
    <n v="4.5"/>
    <s v="Ongoing"/>
    <m/>
  </r>
  <r>
    <s v="Bay 4&amp;5 - _x000a_Pumps"/>
    <x v="1"/>
    <x v="18"/>
    <s v="Diesel Driven CP Pump"/>
    <s v="ACT12-27/28"/>
    <s v="Coolant &amp; oil filling, gauges &amp; connections installation."/>
    <d v="2025-12-04T00:00:00"/>
    <d v="2025-12-08T00:00:00"/>
    <m/>
    <m/>
    <d v="1899-12-30T07:30:00"/>
    <d v="1899-12-30T13:00:00"/>
    <n v="5.4999999999999991"/>
    <s v="Completed"/>
    <m/>
  </r>
  <r>
    <s v="Bay 4&amp;5 - _x000a_Pumps"/>
    <x v="2"/>
    <x v="19"/>
    <m/>
    <m/>
    <m/>
    <m/>
    <m/>
    <m/>
    <m/>
    <d v="1899-12-30T07:30:00"/>
    <d v="1899-12-30T13:00:00"/>
    <n v="5.4999999999999991"/>
    <m/>
    <m/>
  </r>
  <r>
    <s v="Bay 4&amp;5 - _x000a_Pumps"/>
    <x v="1"/>
    <x v="20"/>
    <s v="Diesel Driven CP Pump"/>
    <s v="CD300M-033"/>
    <s v="Water testing &amp; removing from bay"/>
    <d v="2025-12-04T00:00:00"/>
    <d v="2025-12-08T00:00:00"/>
    <m/>
    <m/>
    <d v="1899-12-30T06:30:00"/>
    <d v="1899-12-30T15:30:00"/>
    <n v="9.0000000000000018"/>
    <s v="Ongoing"/>
    <m/>
  </r>
  <r>
    <s v="Bay 4&amp;5 - _x000a_Pumps"/>
    <x v="2"/>
    <x v="21"/>
    <m/>
    <m/>
    <m/>
    <m/>
    <m/>
    <m/>
    <m/>
    <d v="1899-12-30T06:30:00"/>
    <d v="1899-12-30T15:30:00"/>
    <n v="9.0000000000000018"/>
    <m/>
    <m/>
  </r>
  <r>
    <s v="Bay 4&amp;5 - _x000a_Pumps"/>
    <x v="1"/>
    <x v="21"/>
    <m/>
    <m/>
    <m/>
    <m/>
    <m/>
    <m/>
    <m/>
    <d v="1899-12-30T06:30:00"/>
    <d v="1899-12-30T13:00:00"/>
    <n v="6.5"/>
    <m/>
    <m/>
  </r>
  <r>
    <s v="Bay 4&amp;5 - _x000a_Pumps"/>
    <x v="1"/>
    <x v="18"/>
    <s v="Other"/>
    <s v="General work"/>
    <s v="System work for work orders &amp; IDT"/>
    <d v="2025-12-04T00:00:00"/>
    <d v="2025-12-04T00:00:00"/>
    <d v="2025-12-04T00:00:00"/>
    <m/>
    <d v="1899-12-30T15:30:00"/>
    <d v="1899-12-30T16:30:00"/>
    <n v="0.99999999999999911"/>
    <s v="Completed"/>
    <m/>
  </r>
  <r>
    <s v="Bay 4&amp;5 - _x000a_Pumps"/>
    <x v="1"/>
    <x v="18"/>
    <s v="Diesel Driven CP Pump"/>
    <s v="ACT12-29/30"/>
    <s v="Coolant &amp; oil filling, gauges &amp; connections installation."/>
    <d v="2025-12-04T00:00:00"/>
    <d v="2025-12-06T00:00:00"/>
    <d v="2025-12-04T00:00:00"/>
    <m/>
    <d v="1899-12-30T14:00:00"/>
    <d v="1899-12-30T15:30:00"/>
    <n v="1.5"/>
    <s v="Completed"/>
    <m/>
  </r>
  <r>
    <s v="Bay 4&amp;5 - _x000a_Pumps"/>
    <x v="1"/>
    <x v="25"/>
    <s v="Diesel Driven CP Pump"/>
    <s v="CP220S12SP-029/031/032"/>
    <s v="Inspection, fuel filling connections, Starting PDI"/>
    <d v="2025-12-04T00:00:00"/>
    <d v="2025-12-05T00:00:00"/>
    <d v="2025-12-04T00:00:00"/>
    <m/>
    <d v="1899-12-30T07:30:00"/>
    <d v="1899-12-30T16:30:00"/>
    <n v="9"/>
    <s v="Completed"/>
    <m/>
  </r>
  <r>
    <s v="Bay 4&amp;5 - _x000a_Pumps"/>
    <x v="1"/>
    <x v="20"/>
    <s v="Diesel Driven CP Pump"/>
    <s v="CP1212-006"/>
    <s v="Inspection, vaccum testing"/>
    <d v="2025-12-04T00:00:00"/>
    <d v="2025-12-06T00:00:00"/>
    <m/>
    <m/>
    <d v="1899-12-30T13:00:00"/>
    <d v="1899-12-30T16:30:00"/>
    <n v="3.5000000000000009"/>
    <s v="Ongoing"/>
    <m/>
  </r>
  <r>
    <s v="Bay 4&amp;5 - _x000a_Pumps"/>
    <x v="1"/>
    <x v="21"/>
    <m/>
    <m/>
    <m/>
    <m/>
    <m/>
    <m/>
    <m/>
    <d v="1899-12-30T13:00:00"/>
    <d v="1899-12-30T16:30:00"/>
    <n v="3.5000000000000009"/>
    <m/>
    <m/>
  </r>
  <r>
    <s v="Bay 4&amp;5 - _x000a_Pumps"/>
    <x v="3"/>
    <x v="0"/>
    <s v="Contractor dewatering Pump"/>
    <s v="CP150-033"/>
    <s v="Vaccum Pump repair &amp; test"/>
    <d v="2025-12-04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2"/>
    <m/>
    <m/>
    <m/>
    <m/>
    <m/>
    <m/>
    <m/>
    <d v="1899-12-30T07:30:00"/>
    <d v="1899-12-30T08:30:00"/>
    <n v="1.0000000000000004"/>
    <m/>
    <m/>
  </r>
  <r>
    <s v="Bay 4&amp;5 - _x000a_Pumps"/>
    <x v="3"/>
    <x v="0"/>
    <s v="Contractor dewatering Pump"/>
    <s v="PT175-515"/>
    <s v="Engine assembling"/>
    <d v="2025-12-04T00:00:00"/>
    <d v="2025-12-05T00:00:00"/>
    <m/>
    <m/>
    <m/>
    <m/>
    <n v="0"/>
    <s v="Ongoing"/>
    <m/>
  </r>
  <r>
    <s v="Bay 4&amp;5 - _x000a_Pumps"/>
    <x v="3"/>
    <x v="2"/>
    <m/>
    <m/>
    <m/>
    <m/>
    <m/>
    <m/>
    <m/>
    <m/>
    <m/>
    <n v="0"/>
    <m/>
    <m/>
  </r>
  <r>
    <s v="Bay 4&amp;5 - _x000a_Pumps"/>
    <x v="3"/>
    <x v="1"/>
    <s v="Contractor dewatering Pump"/>
    <s v="PT175-515"/>
    <s v="Pump assembling"/>
    <d v="2025-11-28T00:00:00"/>
    <d v="2025-12-05T00:00:00"/>
    <d v="2025-12-05T00:00:00"/>
    <m/>
    <d v="1899-12-30T07:30:00"/>
    <d v="1899-12-30T16:30:00"/>
    <n v="9"/>
    <s v="Completed"/>
    <m/>
  </r>
  <r>
    <s v="Bay 4&amp;5 - _x000a_Pumps"/>
    <x v="3"/>
    <x v="2"/>
    <m/>
    <m/>
    <m/>
    <m/>
    <m/>
    <m/>
    <m/>
    <d v="1899-12-30T08:30:00"/>
    <d v="1899-12-30T10:30:00"/>
    <n v="1.9999999999999996"/>
    <m/>
    <m/>
  </r>
  <r>
    <s v="Bay 4&amp;5 - _x000a_Pumps"/>
    <x v="3"/>
    <x v="3"/>
    <s v="Contractor dewatering Pump"/>
    <s v="CP150-676"/>
    <s v="Engine repair &amp; test"/>
    <d v="2025-12-03T00:00:00"/>
    <d v="2025-12-05T00:00:00"/>
    <d v="2025-12-05T00:00:00"/>
    <m/>
    <d v="1899-12-30T07:30:00"/>
    <d v="1899-12-30T16:30:00"/>
    <n v="9"/>
    <s v="Completed"/>
    <m/>
  </r>
  <r>
    <s v="Bay 4&amp;5 - _x000a_Pumps"/>
    <x v="3"/>
    <x v="4"/>
    <s v="Contractor dewatering Pump"/>
    <s v="PT175-515"/>
    <s v="Engine assembling"/>
    <d v="2025-11-28T00:00:00"/>
    <d v="2025-12-04T00:00:00"/>
    <m/>
    <m/>
    <d v="1899-12-30T08:00:00"/>
    <d v="1899-12-30T17:00:00"/>
    <n v="9.0000000000000018"/>
    <s v="Ongoing"/>
    <m/>
  </r>
  <r>
    <s v="Bay 4&amp;5 - _x000a_Pumps"/>
    <x v="3"/>
    <x v="5"/>
    <s v="Contractor dewatering Pump"/>
    <s v="CP150V-001"/>
    <s v="Pump assembling"/>
    <d v="2025-12-03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2"/>
    <m/>
    <m/>
    <m/>
    <m/>
    <m/>
    <m/>
    <m/>
    <d v="1899-12-30T10:30:00"/>
    <d v="1899-12-30T12:00:00"/>
    <n v="1.5"/>
    <m/>
    <m/>
  </r>
  <r>
    <s v="Bay 4&amp;5 - _x000a_Pumps"/>
    <x v="3"/>
    <x v="2"/>
    <s v="Other"/>
    <s v="System work "/>
    <s v="System work for work orders &amp; IDT"/>
    <d v="2025-12-05T00:00:00"/>
    <d v="2025-12-05T00:00:00"/>
    <d v="2025-12-05T00:00:00"/>
    <m/>
    <d v="1899-12-30T15:00:00"/>
    <d v="1899-12-30T17:00:00"/>
    <n v="2.0000000000000009"/>
    <s v="Completed"/>
    <m/>
  </r>
  <r>
    <s v="Bay 6 -_x000a_Generator"/>
    <x v="3"/>
    <x v="6"/>
    <s v="Generator"/>
    <s v="GEN250-012"/>
    <s v="DSE configuration &amp; load test"/>
    <d v="2025-12-05T00:00:00"/>
    <d v="2025-12-05T00:00:00"/>
    <m/>
    <m/>
    <d v="1899-12-30T07:30:00"/>
    <d v="1899-12-30T10:30:00"/>
    <n v="3"/>
    <s v="Ongoing"/>
    <m/>
  </r>
  <r>
    <s v="Bay 6 -_x000a_Generator"/>
    <x v="3"/>
    <x v="6"/>
    <s v="Generator"/>
    <s v="GEN250-044"/>
    <s v="Load testing &amp; cable connection"/>
    <d v="2025-12-05T00:00:00"/>
    <d v="2025-12-05T00:00:00"/>
    <d v="2025-12-05T00:00:00"/>
    <m/>
    <d v="1899-12-30T10:30:00"/>
    <d v="1899-12-30T03:30:00"/>
    <n v="17"/>
    <s v="Completed"/>
    <m/>
  </r>
  <r>
    <s v="Bay 6 -_x000a_Generator"/>
    <x v="3"/>
    <x v="6"/>
    <s v="Generator"/>
    <s v="GEN150-053"/>
    <s v="Load testing &amp; cable connection"/>
    <d v="2025-12-05T00:00:00"/>
    <d v="2025-12-05T00:00:00"/>
    <d v="2025-12-05T00:00:00"/>
    <m/>
    <d v="1899-12-30T14:30:00"/>
    <d v="1899-12-30T16:30:00"/>
    <n v="2.0000000000000009"/>
    <s v="Completed"/>
    <m/>
  </r>
  <r>
    <s v="Bay 6 -_x000a_Generator"/>
    <x v="3"/>
    <x v="7"/>
    <s v="Generator"/>
    <s v="GEN150-053"/>
    <s v="FIP, injector &amp; radiator remove"/>
    <d v="2025-12-05T00:00:00"/>
    <d v="2025-12-05T00:00:00"/>
    <d v="2025-12-05T00:00:00"/>
    <m/>
    <d v="1899-12-30T07:30:00"/>
    <d v="1899-12-30T13:00:00"/>
    <n v="5.4999999999999991"/>
    <s v="Completed"/>
    <m/>
  </r>
  <r>
    <s v="Bay 6 -_x000a_Generator"/>
    <x v="3"/>
    <x v="23"/>
    <m/>
    <m/>
    <m/>
    <m/>
    <m/>
    <m/>
    <m/>
    <d v="1899-12-30T07:30:00"/>
    <d v="1899-12-30T13:00:00"/>
    <n v="5.4999999999999991"/>
    <m/>
    <m/>
  </r>
  <r>
    <s v="Bay 6 -_x000a_Generator"/>
    <x v="3"/>
    <x v="7"/>
    <s v="Generator"/>
    <s v="GENJ135-002"/>
    <s v="Ac alternator remove &amp; service"/>
    <d v="2025-12-05T00:00:00"/>
    <d v="2025-12-05T00:00:00"/>
    <d v="2025-12-05T00:00:00"/>
    <m/>
    <d v="1899-12-30T14:00:00"/>
    <d v="1899-12-30T16:30:00"/>
    <n v="2.4999999999999991"/>
    <s v="Completed"/>
    <m/>
  </r>
  <r>
    <s v="Bay 6 -_x000a_Generator"/>
    <x v="3"/>
    <x v="23"/>
    <m/>
    <m/>
    <m/>
    <m/>
    <m/>
    <m/>
    <m/>
    <d v="1899-12-30T14:00:00"/>
    <d v="1899-12-30T16:30:00"/>
    <n v="2.4999999999999991"/>
    <m/>
    <m/>
  </r>
  <r>
    <s v="Electrical"/>
    <x v="3"/>
    <x v="8"/>
    <s v="Panel"/>
    <s v="SPB95-001"/>
    <s v="Ventilation fan fixing"/>
    <d v="2025-12-05T00:00:00"/>
    <d v="2025-12-05T00:00:00"/>
    <d v="2025-12-05T00:00:00"/>
    <m/>
    <d v="1899-12-30T08:00:00"/>
    <d v="1899-12-30T12:00:00"/>
    <n v="4"/>
    <s v="Completed"/>
    <m/>
  </r>
  <r>
    <s v="Electrical"/>
    <x v="3"/>
    <x v="8"/>
    <s v="Panel"/>
    <s v="DB-289"/>
    <s v="Reparing &amp; safety cover making"/>
    <d v="2025-12-05T00:00:00"/>
    <d v="2025-12-05T00:00:00"/>
    <m/>
    <m/>
    <d v="1899-12-30T12:00:00"/>
    <d v="1899-12-30T18:00:00"/>
    <n v="6"/>
    <s v="Ongoing"/>
    <m/>
  </r>
  <r>
    <s v="Electrical"/>
    <x v="3"/>
    <x v="9"/>
    <s v="Other"/>
    <s v="Electrical section"/>
    <s v="Panel section wiring &amp; light fixing."/>
    <d v="2025-12-05T00:00:00"/>
    <d v="2025-12-05T00:00:00"/>
    <d v="2025-12-05T00:00:00"/>
    <m/>
    <d v="1899-12-30T08:00:00"/>
    <d v="1899-12-30T17:00:00"/>
    <n v="9.0000000000000018"/>
    <s v="Completed"/>
    <m/>
  </r>
  <r>
    <s v="Electrical"/>
    <x v="3"/>
    <x v="10"/>
    <s v="Other"/>
    <s v="Electrical section"/>
    <s v="Panel section wiring &amp; light fixing."/>
    <d v="2025-12-05T00:00:00"/>
    <d v="2025-12-05T00:00:00"/>
    <d v="2025-12-05T00:00:00"/>
    <m/>
    <d v="1899-12-30T07:30:00"/>
    <d v="1899-12-30T16:30:00"/>
    <n v="9"/>
    <s v="Completed"/>
    <m/>
  </r>
  <r>
    <s v="Electrical"/>
    <x v="3"/>
    <x v="12"/>
    <s v="Generator"/>
    <s v="GEN40-003"/>
    <s v="Ac alternator inspection &amp; servicing assembling"/>
    <d v="2025-12-04T00:00:00"/>
    <d v="2025-12-05T00:00:00"/>
    <m/>
    <m/>
    <d v="1899-12-30T07:30:00"/>
    <d v="1899-12-30T12:00:00"/>
    <n v="4.5"/>
    <s v="Ongoing"/>
    <m/>
  </r>
  <r>
    <s v="Electrical"/>
    <x v="3"/>
    <x v="11"/>
    <m/>
    <m/>
    <m/>
    <m/>
    <m/>
    <m/>
    <m/>
    <d v="1899-12-30T07:30:00"/>
    <d v="1899-12-30T12:00:00"/>
    <n v="4.5"/>
    <m/>
    <m/>
  </r>
  <r>
    <s v="Electrical"/>
    <x v="3"/>
    <x v="13"/>
    <s v="Submersible pump"/>
    <s v="FM150"/>
    <s v="8nos new flowmeter fixing, cable &amp; socket"/>
    <d v="2025-12-05T00:00:00"/>
    <d v="2025-12-05T00:00:00"/>
    <m/>
    <m/>
    <d v="1899-12-30T07:30:00"/>
    <d v="1899-12-30T16:00:00"/>
    <n v="8.5"/>
    <s v="Completed"/>
    <m/>
  </r>
  <r>
    <s v="Electrical"/>
    <x v="3"/>
    <x v="13"/>
    <s v="Generator"/>
    <s v="GEN250-021"/>
    <s v="Load testing "/>
    <d v="2025-12-05T00:00:00"/>
    <d v="2025-12-05T00:00:00"/>
    <m/>
    <m/>
    <d v="1899-12-30T16:00:00"/>
    <d v="1899-12-30T17:00:00"/>
    <n v="1.0000000000000018"/>
    <s v="Completed"/>
    <m/>
  </r>
  <r>
    <s v="Electrical"/>
    <x v="3"/>
    <x v="14"/>
    <s v="Borehole pump"/>
    <s v="New 2.2kw"/>
    <s v="25nos pump inspection checking &amp; socket fixing &amp; number tagging"/>
    <d v="2025-12-05T00:00:00"/>
    <d v="2025-12-05T00:00:00"/>
    <d v="2025-12-05T00:00:00"/>
    <m/>
    <d v="1899-12-30T07:30:00"/>
    <d v="1899-12-30T17:00:00"/>
    <n v="9.5"/>
    <s v="Completed"/>
    <m/>
  </r>
  <r>
    <s v="Electrical"/>
    <x v="3"/>
    <x v="24"/>
    <m/>
    <m/>
    <m/>
    <d v="2025-12-05T00:00:00"/>
    <d v="2025-12-05T00:00:00"/>
    <d v="2025-12-05T00:00:00"/>
    <m/>
    <d v="1899-12-30T07:30:00"/>
    <d v="1899-12-30T17:00:00"/>
    <n v="9.5"/>
    <m/>
    <m/>
  </r>
  <r>
    <s v="Electrical"/>
    <x v="3"/>
    <x v="17"/>
    <s v="Submersible pump"/>
    <s v="SM1002-125"/>
    <s v="Rotor repair &amp; assembling"/>
    <d v="2025-12-05T00:00:00"/>
    <d v="2025-12-06T00:00:00"/>
    <m/>
    <m/>
    <d v="1899-12-30T07:30:00"/>
    <d v="1899-12-30T17:30:00"/>
    <n v="10"/>
    <s v="Ongoing"/>
    <m/>
  </r>
  <r>
    <s v="Bay 4&amp;5 - _x000a_Pumps"/>
    <x v="3"/>
    <x v="25"/>
    <s v="Diesel Driven CP Pump"/>
    <s v="CD300M-03"/>
    <s v="Installation on test bay &amp; testing"/>
    <d v="2025-12-05T00:00:00"/>
    <d v="2025-12-10T00:00:00"/>
    <d v="2025-12-05T00:00:00"/>
    <m/>
    <d v="1899-12-30T07:30:00"/>
    <d v="1899-12-30T17:30:00"/>
    <n v="10"/>
    <s v="Completed"/>
    <m/>
  </r>
  <r>
    <s v="Bay 4&amp;5 - _x000a_Pumps"/>
    <x v="3"/>
    <x v="19"/>
    <m/>
    <m/>
    <m/>
    <m/>
    <m/>
    <m/>
    <m/>
    <d v="1899-12-30T07:30:00"/>
    <d v="1899-12-30T13:00:00"/>
    <n v="5.4999999999999991"/>
    <m/>
    <m/>
  </r>
  <r>
    <s v="Bay 4&amp;5 - _x000a_Pumps"/>
    <x v="3"/>
    <x v="25"/>
    <s v="Diesel Driven CP Pump"/>
    <s v="HL130M-07"/>
    <m/>
    <d v="2025-12-05T00:00:00"/>
    <d v="2025-12-05T00:00:00"/>
    <d v="2025-12-05T00:00:00"/>
    <m/>
    <d v="1899-12-30T14:00:00"/>
    <d v="1899-12-30T17:00:00"/>
    <n v="3"/>
    <s v="Completed"/>
    <m/>
  </r>
  <r>
    <s v="Bay 4&amp;5 - _x000a_Pumps"/>
    <x v="3"/>
    <x v="20"/>
    <s v="Diesel Driven CP Pump"/>
    <s v="CP1212-006"/>
    <s v="Vaccum testing &amp; fuel line replacement"/>
    <d v="2025-12-05T00:00:00"/>
    <d v="2025-12-05T00:00:00"/>
    <d v="2025-12-05T00:00:00"/>
    <m/>
    <d v="1899-12-30T08:00:00"/>
    <d v="1899-12-30T11:00:00"/>
    <n v="3"/>
    <s v="Completed"/>
    <m/>
  </r>
  <r>
    <s v="Bay 4&amp;5 - _x000a_Pumps"/>
    <x v="3"/>
    <x v="21"/>
    <s v="Other"/>
    <s v="BA180-002"/>
    <s v="General work with quality controller"/>
    <d v="2025-12-05T00:00:00"/>
    <d v="2025-12-05T00:00:00"/>
    <d v="2025-12-05T00:00:00"/>
    <m/>
    <d v="1899-12-30T08:00:00"/>
    <d v="1899-12-30T17:00:00"/>
    <n v="9.0000000000000018"/>
    <s v="Completed"/>
    <m/>
  </r>
  <r>
    <s v="Bay 4&amp;5 - _x000a_Pumps"/>
    <x v="3"/>
    <x v="18"/>
    <s v="Diesel Driven CP Pump"/>
    <s v="CP220S12SP-029/031/032"/>
    <s v="General work &amp; PDI flowfinity"/>
    <d v="2025-12-05T00:00:00"/>
    <d v="2025-12-05T00:00:00"/>
    <d v="2025-12-05T00:00:00"/>
    <m/>
    <d v="1899-12-30T07:00:00"/>
    <d v="1899-12-30T12:00:00"/>
    <n v="5"/>
    <s v="Completed"/>
    <m/>
  </r>
  <r>
    <s v="Bay 4&amp;5 - _x000a_Pumps"/>
    <x v="3"/>
    <x v="18"/>
    <s v="Other"/>
    <s v="System work "/>
    <s v="IDT &amp; system work"/>
    <d v="2025-12-05T00:00:00"/>
    <d v="2025-12-05T00:00:00"/>
    <d v="2025-12-05T00:00:00"/>
    <m/>
    <d v="1899-12-30T13:00:00"/>
    <d v="1899-12-30T15:30:00"/>
    <n v="2.5000000000000018"/>
    <s v="Completed"/>
    <m/>
  </r>
  <r>
    <s v="Bay 4&amp;5 - _x000a_Pumps"/>
    <x v="4"/>
    <x v="0"/>
    <s v="Contractor dewatering Pump"/>
    <s v="CP150"/>
    <s v="Vaccum Pump repair for site"/>
    <d v="2025-12-08T00:00:00"/>
    <d v="2025-12-08T00:00:00"/>
    <d v="2025-12-08T00:00:00"/>
    <m/>
    <d v="1899-12-30T08:00:00"/>
    <d v="1899-12-30T11:00:00"/>
    <n v="3"/>
    <s v="Completed"/>
    <m/>
  </r>
  <r>
    <s v="Bay 4&amp;5 - _x000a_Pumps"/>
    <x v="4"/>
    <x v="2"/>
    <m/>
    <m/>
    <m/>
    <m/>
    <m/>
    <m/>
    <m/>
    <d v="1899-12-30T07:30:00"/>
    <d v="1899-12-30T08:30:00"/>
    <n v="1.0000000000000004"/>
    <m/>
    <m/>
  </r>
  <r>
    <s v="Bay 4&amp;5 - _x000a_Pumps"/>
    <x v="4"/>
    <x v="0"/>
    <s v="Contractor dewatering Pump"/>
    <s v="CP150-033"/>
    <s v="Pump dismantle &amp; prepare for assemble"/>
    <d v="2025-12-04T00:00:00"/>
    <d v="2025-12-08T00:00:00"/>
    <d v="2025-12-08T00:00:00"/>
    <m/>
    <d v="1899-12-30T11:00:00"/>
    <d v="1899-12-30T19:30:00"/>
    <n v="8.5"/>
    <s v="Completed"/>
    <m/>
  </r>
  <r>
    <s v="Bay 4&amp;5 - _x000a_Pumps"/>
    <x v="4"/>
    <x v="2"/>
    <m/>
    <m/>
    <m/>
    <m/>
    <m/>
    <m/>
    <m/>
    <d v="1899-12-30T08:30:00"/>
    <d v="1899-12-30T10:30:00"/>
    <n v="1.9999999999999996"/>
    <m/>
    <m/>
  </r>
  <r>
    <s v="Bay 4&amp;5 - _x000a_Pumps"/>
    <x v="4"/>
    <x v="1"/>
    <s v="Contractor dewatering Pump"/>
    <s v="PT175-554"/>
    <s v="Pump assembling ongoing"/>
    <d v="2025-12-06T00:00:00"/>
    <d v="2025-12-08T00:00:00"/>
    <d v="2025-12-08T00:00:00"/>
    <m/>
    <d v="1899-12-30T07:30:00"/>
    <d v="1899-12-30T18:30:00"/>
    <n v="11"/>
    <s v="Completed"/>
    <m/>
  </r>
  <r>
    <s v="Bay 4&amp;5 - _x000a_Pumps"/>
    <x v="4"/>
    <x v="2"/>
    <m/>
    <m/>
    <m/>
    <m/>
    <m/>
    <m/>
    <m/>
    <d v="1899-12-30T10:30:00"/>
    <d v="1899-12-30T11:30:00"/>
    <n v="1.0000000000000004"/>
    <m/>
    <m/>
  </r>
  <r>
    <s v="Bay 4&amp;5 - _x000a_Pumps"/>
    <x v="4"/>
    <x v="3"/>
    <s v="Contractor dewatering Pump"/>
    <s v="CP150V-009"/>
    <s v="Pump repair &amp; water test "/>
    <d v="2025-12-05T00:00:00"/>
    <d v="2025-12-08T00:00:00"/>
    <d v="2025-12-08T00:00:00"/>
    <m/>
    <d v="1899-12-30T07:30:00"/>
    <d v="1899-12-30T11:30:00"/>
    <n v="4"/>
    <s v="Completed"/>
    <m/>
  </r>
  <r>
    <s v="Bay 4&amp;5 - _x000a_Pumps"/>
    <x v="4"/>
    <x v="26"/>
    <m/>
    <m/>
    <m/>
    <d v="2025-12-05T00:00:00"/>
    <d v="2025-12-08T00:00:00"/>
    <d v="2025-12-08T00:00:00"/>
    <m/>
    <d v="1899-12-30T07:30:00"/>
    <d v="1899-12-30T11:30:00"/>
    <n v="4"/>
    <m/>
    <m/>
  </r>
  <r>
    <s v="Bay 4&amp;5 - _x000a_Pumps"/>
    <x v="4"/>
    <x v="3"/>
    <s v="Contractor dewatering Pump"/>
    <s v="CP150-574"/>
    <s v="Pump &amp; engine repair, test failed, mechanical seal leakage"/>
    <d v="2025-12-08T00:00:00"/>
    <d v="2025-12-08T00:00:00"/>
    <d v="2025-12-08T00:00:00"/>
    <m/>
    <d v="1899-12-30T11:30:00"/>
    <d v="1899-12-30T18:30:00"/>
    <n v="7"/>
    <s v="Completed"/>
    <m/>
  </r>
  <r>
    <s v="Bay 4&amp;5 - _x000a_Pumps"/>
    <x v="4"/>
    <x v="4"/>
    <s v="Contractor dewatering Pump"/>
    <s v="PT175-515"/>
    <s v="Engine assembling ongoing"/>
    <d v="2025-11-28T00:00:00"/>
    <d v="2025-12-08T00:00:00"/>
    <d v="2025-12-08T00:00:00"/>
    <m/>
    <d v="1899-12-30T08:00:00"/>
    <d v="1899-12-30T11:30:00"/>
    <n v="3.5000000000000009"/>
    <s v="Completed"/>
    <m/>
  </r>
  <r>
    <s v="Bay 4&amp;5 - _x000a_Pumps"/>
    <x v="4"/>
    <x v="5"/>
    <s v="Contractor dewatering Pump"/>
    <s v="CP150V-001"/>
    <s v="Pump assembling ongoing"/>
    <d v="2025-12-03T00:00:00"/>
    <d v="2025-12-08T00:00:00"/>
    <d v="2025-12-08T00:00:00"/>
    <m/>
    <d v="1899-12-30T10:00:00"/>
    <d v="1899-12-30T19:00:00"/>
    <n v="8.9999999999999982"/>
    <s v="Completed"/>
    <m/>
  </r>
  <r>
    <s v="Bay 4&amp;5 - _x000a_Pumps"/>
    <x v="4"/>
    <x v="2"/>
    <m/>
    <m/>
    <m/>
    <m/>
    <m/>
    <m/>
    <m/>
    <d v="1899-12-30T11:30:00"/>
    <d v="1899-12-30T13:00:00"/>
    <n v="1.4999999999999987"/>
    <m/>
    <m/>
  </r>
  <r>
    <s v="Bay 4&amp;5 - _x000a_Pumps"/>
    <x v="4"/>
    <x v="5"/>
    <s v="Contractor dewatering Pump"/>
    <s v="CP150-694"/>
    <s v="Pump &amp; engine minor repair"/>
    <d v="2025-12-08T00:00:00"/>
    <d v="2025-12-08T00:00:00"/>
    <d v="2025-12-08T00:00:00"/>
    <m/>
    <d v="1899-12-30T08:00:00"/>
    <d v="1899-12-30T10:00:00"/>
    <n v="2.0000000000000009"/>
    <s v="Completed"/>
    <m/>
  </r>
  <r>
    <s v="Bay 4&amp;5 - _x000a_Pumps"/>
    <x v="4"/>
    <x v="27"/>
    <m/>
    <m/>
    <m/>
    <d v="2025-12-08T00:00:00"/>
    <d v="2025-12-08T00:00:00"/>
    <d v="2025-12-08T00:00:00"/>
    <m/>
    <d v="1899-12-30T08:00:00"/>
    <d v="1899-12-30T10:00:00"/>
    <n v="2.0000000000000009"/>
    <m/>
    <m/>
  </r>
  <r>
    <s v="Bay 4&amp;5 - _x000a_Pumps"/>
    <x v="4"/>
    <x v="2"/>
    <s v="Other"/>
    <s v="System work "/>
    <s v="System work for work orders &amp; IDT"/>
    <d v="2025-12-08T00:00:00"/>
    <d v="2025-12-08T00:00:00"/>
    <d v="2025-12-08T00:00:00"/>
    <m/>
    <d v="1899-12-30T14:00:00"/>
    <d v="1899-12-30T17:00:00"/>
    <n v="3"/>
    <s v="Completed"/>
    <m/>
  </r>
  <r>
    <s v="Bay 6 -_x000a_Generator"/>
    <x v="4"/>
    <x v="7"/>
    <s v="Generator"/>
    <s v="GEN200-009"/>
    <s v="General repair, fuel tank cleaning, Ac alternator fixing"/>
    <d v="2025-12-06T00:00:00"/>
    <d v="2025-12-08T00:00:00"/>
    <d v="2025-12-08T00:00:00"/>
    <m/>
    <d v="1899-12-30T07:30:00"/>
    <d v="1899-12-30T13:00:00"/>
    <n v="5.4999999999999991"/>
    <s v="Completed"/>
    <m/>
  </r>
  <r>
    <s v="Bay 6 -_x000a_Generator"/>
    <x v="4"/>
    <x v="28"/>
    <m/>
    <m/>
    <m/>
    <m/>
    <m/>
    <m/>
    <m/>
    <d v="1899-12-30T07:30:00"/>
    <d v="1899-12-30T13:00:00"/>
    <n v="5.4999999999999991"/>
    <m/>
    <m/>
  </r>
  <r>
    <s v="Bay 6 -_x000a_Generator"/>
    <x v="4"/>
    <x v="29"/>
    <s v="Generator"/>
    <s v="GENJ150-021"/>
    <s v="General repair safety guard fixing, load test/ac alternator fail need to service"/>
    <d v="2025-12-08T00:00:00"/>
    <d v="2025-12-08T00:00:00"/>
    <m/>
    <m/>
    <d v="1899-12-30T07:30:00"/>
    <d v="1899-12-30T12:00:00"/>
    <n v="4.5"/>
    <s v="Hold"/>
    <m/>
  </r>
  <r>
    <s v="Bay 6 -_x000a_Generator"/>
    <x v="4"/>
    <x v="30"/>
    <m/>
    <m/>
    <m/>
    <m/>
    <m/>
    <m/>
    <m/>
    <d v="1899-12-30T07:30:00"/>
    <d v="1899-12-30T12:00:00"/>
    <n v="4.5"/>
    <m/>
    <m/>
  </r>
  <r>
    <s v="Bay 6 -_x000a_Generator"/>
    <x v="4"/>
    <x v="29"/>
    <s v="Generator"/>
    <s v="GEN20-002"/>
    <s v="Silencer cleaning &amp; fixing, load test"/>
    <d v="2025-12-05T00:00:00"/>
    <d v="2025-12-08T00:00:00"/>
    <d v="2025-12-08T00:00:00"/>
    <m/>
    <d v="1899-12-30T13:00:00"/>
    <d v="1899-12-30T16:30:00"/>
    <n v="3.5000000000000009"/>
    <s v="Completed"/>
    <m/>
  </r>
  <r>
    <s v="Bay 6 -_x000a_Generator"/>
    <x v="4"/>
    <x v="7"/>
    <m/>
    <m/>
    <m/>
    <d v="2025-12-05T00:00:00"/>
    <d v="2025-12-08T00:00:00"/>
    <d v="2025-12-08T00:00:00"/>
    <m/>
    <d v="1899-12-30T13:00:00"/>
    <d v="1899-12-30T16:30:00"/>
    <n v="3.5000000000000009"/>
    <m/>
    <m/>
  </r>
  <r>
    <s v="Bay 6 -_x000a_Generator"/>
    <x v="4"/>
    <x v="13"/>
    <s v="Generator"/>
    <s v="GEN20-002"/>
    <s v="Cable connection &amp; load test"/>
    <d v="2025-12-05T00:00:00"/>
    <d v="2025-12-08T00:00:00"/>
    <d v="2025-12-08T00:00:00"/>
    <m/>
    <d v="1899-12-30T15:00:00"/>
    <d v="1899-12-30T15:30:00"/>
    <n v="0.50000000000000089"/>
    <s v="Completed"/>
    <m/>
  </r>
  <r>
    <s v="Bay 6 -_x000a_Generator"/>
    <x v="4"/>
    <x v="13"/>
    <s v="Generator"/>
    <s v="GEN200-009"/>
    <s v="Cable connection"/>
    <d v="2025-12-06T00:00:00"/>
    <d v="2025-12-08T00:00:00"/>
    <d v="2025-12-08T00:00:00"/>
    <m/>
    <d v="1899-12-30T15:30:00"/>
    <d v="1899-12-30T16:30:00"/>
    <n v="0.99999999999999911"/>
    <s v="Completed"/>
    <m/>
  </r>
  <r>
    <s v="Electrical"/>
    <x v="4"/>
    <x v="8"/>
    <s v="Other"/>
    <s v="General work"/>
    <s v="New employee training &amp; general work"/>
    <d v="2025-12-08T00:00:00"/>
    <d v="2025-12-08T00:00:00"/>
    <d v="2025-12-08T00:00:00"/>
    <m/>
    <d v="1899-12-30T08:00:00"/>
    <d v="1899-12-30T17:00:00"/>
    <n v="9.0000000000000018"/>
    <s v="Completed"/>
    <m/>
  </r>
  <r>
    <s v="Electrical"/>
    <x v="4"/>
    <x v="9"/>
    <s v="Panel"/>
    <s v="DB-289"/>
    <s v="Enclosure replacement repairing &amp; stand fixing"/>
    <d v="2025-12-06T00:00:00"/>
    <d v="2025-12-08T00:00:00"/>
    <d v="2025-12-08T00:00:00"/>
    <m/>
    <d v="1899-12-30T08:00:00"/>
    <d v="1899-12-30T17:00:00"/>
    <n v="9.0000000000000018"/>
    <s v="Completed"/>
    <m/>
  </r>
  <r>
    <s v="Electrical"/>
    <x v="4"/>
    <x v="10"/>
    <s v="Panel"/>
    <s v="SPB15-010"/>
    <s v="Testing &amp; PDI, general work in mechanical section."/>
    <d v="2025-12-08T00:00:00"/>
    <d v="2025-12-08T00:00:00"/>
    <d v="2025-12-08T00:00:00"/>
    <m/>
    <d v="1899-12-30T07:30:00"/>
    <d v="1899-12-30T11:30:00"/>
    <n v="4"/>
    <s v="Completed"/>
    <m/>
  </r>
  <r>
    <s v="Electrical"/>
    <x v="4"/>
    <x v="31"/>
    <m/>
    <m/>
    <m/>
    <d v="2025-12-08T00:00:00"/>
    <d v="2025-12-08T00:00:00"/>
    <d v="2025-12-08T00:00:00"/>
    <m/>
    <d v="1899-12-30T11:00:00"/>
    <d v="1899-12-30T16:30:00"/>
    <n v="5.5"/>
    <m/>
    <m/>
  </r>
  <r>
    <s v="Electrical"/>
    <x v="4"/>
    <x v="12"/>
    <s v="Generator"/>
    <s v="GEN250-051"/>
    <s v="RC stator winding"/>
    <d v="2025-12-06T00:00:00"/>
    <d v="2025-12-11T00:00:00"/>
    <m/>
    <m/>
    <d v="1899-12-30T07:30:00"/>
    <d v="1899-12-30T17:00:00"/>
    <n v="9.5"/>
    <s v="Ongoing"/>
    <m/>
  </r>
  <r>
    <s v="Electrical"/>
    <x v="4"/>
    <x v="11"/>
    <m/>
    <m/>
    <m/>
    <m/>
    <m/>
    <m/>
    <m/>
    <d v="1899-12-30T07:30:00"/>
    <d v="1899-12-30T17:00:00"/>
    <n v="9.5"/>
    <m/>
    <m/>
  </r>
  <r>
    <s v="Electrical"/>
    <x v="4"/>
    <x v="13"/>
    <s v="Submersible pump"/>
    <s v="FM150"/>
    <s v="2nos new flowmeter fixing, cable &amp; socket"/>
    <d v="2025-12-08T00:00:00"/>
    <d v="2025-12-08T00:00:00"/>
    <m/>
    <m/>
    <d v="1899-12-30T07:30:00"/>
    <d v="1899-12-30T09:30:00"/>
    <n v="1.9999999999999996"/>
    <s v="Ongoing"/>
    <m/>
  </r>
  <r>
    <s v="Electrical"/>
    <x v="4"/>
    <x v="13"/>
    <s v="Generator"/>
    <s v="GEN250-021"/>
    <s v="Load testing "/>
    <d v="2025-12-05T00:00:00"/>
    <d v="2025-12-05T00:00:00"/>
    <m/>
    <m/>
    <d v="1899-12-30T16:00:00"/>
    <d v="1899-12-30T17:00:00"/>
    <n v="1.0000000000000018"/>
    <s v="Ongoing"/>
    <m/>
  </r>
  <r>
    <s v="Electrical"/>
    <x v="4"/>
    <x v="14"/>
    <s v="Borehole pump"/>
    <s v="New 3kw"/>
    <s v="25nos pump inspection checking &amp; socket fixing &amp; number tagging"/>
    <d v="2025-12-08T00:00:00"/>
    <d v="2025-12-08T00:00:00"/>
    <d v="2025-12-08T00:00:00"/>
    <m/>
    <d v="1899-12-30T07:30:00"/>
    <d v="1899-12-30T13:00:00"/>
    <n v="5.4999999999999991"/>
    <s v="Completed"/>
    <m/>
  </r>
  <r>
    <s v="Electrical"/>
    <x v="4"/>
    <x v="24"/>
    <m/>
    <m/>
    <m/>
    <d v="2025-12-08T00:00:00"/>
    <d v="2025-12-08T00:00:00"/>
    <d v="2025-12-08T00:00:00"/>
    <m/>
    <d v="1899-12-30T07:30:00"/>
    <d v="1899-12-30T13:00:00"/>
    <n v="5.4999999999999991"/>
    <m/>
    <m/>
  </r>
  <r>
    <s v="Electrical"/>
    <x v="4"/>
    <x v="14"/>
    <s v="Borehole pump"/>
    <s v="New 2.2kw"/>
    <s v="10nos pump inspection checking &amp; socket fixing &amp; number tagging"/>
    <d v="2025-12-08T00:00:00"/>
    <d v="2025-12-08T00:00:00"/>
    <d v="2025-12-08T00:00:00"/>
    <m/>
    <m/>
    <m/>
    <n v="0"/>
    <s v="Completed"/>
    <m/>
  </r>
  <r>
    <s v="Electrical"/>
    <x v="4"/>
    <x v="24"/>
    <m/>
    <m/>
    <m/>
    <d v="2025-12-08T00:00:00"/>
    <d v="2025-12-08T00:00:00"/>
    <d v="2025-12-08T00:00:00"/>
    <m/>
    <m/>
    <m/>
    <n v="0"/>
    <m/>
    <m/>
  </r>
  <r>
    <s v="Electrical"/>
    <x v="4"/>
    <x v="17"/>
    <s v="Submersible pump"/>
    <s v="SM1002-126"/>
    <s v="Rotor repair &amp; assembling"/>
    <d v="2025-12-08T00:00:00"/>
    <d v="2025-12-09T00:00:00"/>
    <m/>
    <m/>
    <d v="1899-12-30T07:30:00"/>
    <d v="1899-12-30T16:30:00"/>
    <n v="9"/>
    <s v="Ongoing"/>
    <m/>
  </r>
  <r>
    <s v="Bay 4&amp;5 - _x000a_Pumps"/>
    <x v="4"/>
    <x v="25"/>
    <s v="Diesel Driven CP Pump"/>
    <s v="AC825-05"/>
    <s v="Radiator installation &amp; engine service"/>
    <d v="2025-12-08T00:00:00"/>
    <d v="2025-12-20T00:00:00"/>
    <d v="2025-12-08T00:00:00"/>
    <m/>
    <d v="1899-12-30T07:30:00"/>
    <d v="1899-12-30T16:30:00"/>
    <n v="9"/>
    <s v="Completed"/>
    <m/>
  </r>
  <r>
    <s v="Bay 4&amp;5 - _x000a_Pumps"/>
    <x v="4"/>
    <x v="19"/>
    <m/>
    <m/>
    <m/>
    <m/>
    <m/>
    <m/>
    <m/>
    <d v="1899-12-30T07:30:00"/>
    <d v="1899-12-30T16:30:00"/>
    <n v="9"/>
    <m/>
    <m/>
  </r>
  <r>
    <s v="Bay 4&amp;5 - _x000a_Pumps"/>
    <x v="4"/>
    <x v="20"/>
    <s v="Diesel Driven CP Pump"/>
    <s v="BA180-002"/>
    <s v="Pump assembling"/>
    <d v="2025-12-08T00:00:00"/>
    <d v="2025-12-15T00:00:00"/>
    <m/>
    <m/>
    <d v="1899-12-30T08:00:00"/>
    <d v="1899-12-30T17:00:00"/>
    <n v="9.0000000000000018"/>
    <s v="Ongoing"/>
    <m/>
  </r>
  <r>
    <s v="Bay 4&amp;5 - _x000a_Pumps"/>
    <x v="4"/>
    <x v="21"/>
    <m/>
    <m/>
    <m/>
    <d v="2025-12-08T00:00:00"/>
    <d v="2025-12-15T00:00:00"/>
    <m/>
    <m/>
    <d v="1899-12-30T08:00:00"/>
    <d v="1899-12-30T17:00:00"/>
    <n v="9.0000000000000018"/>
    <m/>
    <m/>
  </r>
  <r>
    <s v="Bay 4&amp;5 - _x000a_Pumps"/>
    <x v="4"/>
    <x v="18"/>
    <s v="Other"/>
    <s v="General work"/>
    <s v="General work &amp; system work"/>
    <d v="2025-12-08T00:00:00"/>
    <d v="2025-12-08T00:00:00"/>
    <d v="2025-12-08T00:00:00"/>
    <m/>
    <d v="1899-12-30T07:30:00"/>
    <d v="1899-12-30T16:30:00"/>
    <n v="9"/>
    <s v="Completed"/>
    <m/>
  </r>
  <r>
    <s v="Bay 4&amp;5 - _x000a_Pumps"/>
    <x v="5"/>
    <x v="1"/>
    <s v="Contractor dewatering Pump"/>
    <s v="PT175-554"/>
    <s v="Pump assembling"/>
    <d v="2025-12-06T00:00:00"/>
    <d v="2025-12-06T00:00:00"/>
    <m/>
    <m/>
    <d v="1899-12-30T07:30:00"/>
    <d v="1899-12-30T16:30:00"/>
    <n v="9"/>
    <s v="Completed"/>
    <m/>
  </r>
  <r>
    <s v="Bay 4&amp;5 - _x000a_Pumps"/>
    <x v="5"/>
    <x v="2"/>
    <m/>
    <m/>
    <m/>
    <m/>
    <m/>
    <m/>
    <m/>
    <d v="1899-12-30T07:30:00"/>
    <d v="1899-12-30T08:30:00"/>
    <n v="1.0000000000000004"/>
    <m/>
    <m/>
  </r>
  <r>
    <s v="Bay 4&amp;5 - _x000a_Pumps"/>
    <x v="5"/>
    <x v="3"/>
    <s v="Contractor dewatering Pump"/>
    <s v="CP150V-009"/>
    <s v="Pump repair and water test"/>
    <d v="2025-12-05T00:00:00"/>
    <d v="2025-12-06T00:00:00"/>
    <m/>
    <m/>
    <d v="1899-12-30T07:30:00"/>
    <d v="1899-12-30T08:30:00"/>
    <n v="1.0000000000000004"/>
    <s v="Completed"/>
    <m/>
  </r>
  <r>
    <s v="Bay 4&amp;5 - _x000a_Pumps"/>
    <x v="5"/>
    <x v="4"/>
    <m/>
    <m/>
    <m/>
    <m/>
    <m/>
    <m/>
    <m/>
    <d v="1899-12-30T07:30:00"/>
    <d v="1899-12-30T08:30:00"/>
    <n v="1.0000000000000004"/>
    <m/>
    <m/>
  </r>
  <r>
    <s v="Bay 4&amp;5 - _x000a_Pumps"/>
    <x v="5"/>
    <x v="0"/>
    <s v="Contractor dewatering Pump"/>
    <s v="CP150-033"/>
    <s v="Pump dismantling and prepare for assembling"/>
    <d v="2025-12-04T00:00:00"/>
    <d v="2025-12-06T00:00:00"/>
    <m/>
    <m/>
    <d v="1899-12-30T08:00:00"/>
    <d v="1899-12-30T17:00:00"/>
    <n v="9.0000000000000018"/>
    <s v="Completed"/>
    <m/>
  </r>
  <r>
    <s v="Bay 4&amp;5 - _x000a_Pumps"/>
    <x v="5"/>
    <x v="2"/>
    <m/>
    <m/>
    <m/>
    <m/>
    <m/>
    <m/>
    <m/>
    <d v="1899-12-30T08:30:00"/>
    <d v="1899-12-30T10:30:00"/>
    <n v="1.9999999999999996"/>
    <m/>
    <m/>
  </r>
  <r>
    <s v="Bay 4&amp;5 - _x000a_Pumps"/>
    <x v="5"/>
    <x v="5"/>
    <s v="Contractor dewatering Pump"/>
    <s v="CP150V-001"/>
    <s v="Pump assembling"/>
    <d v="2025-12-03T00:00:00"/>
    <d v="2025-12-06T00:00:00"/>
    <m/>
    <m/>
    <d v="1899-12-30T08:00:00"/>
    <d v="1899-12-30T17:00:00"/>
    <n v="9.0000000000000018"/>
    <s v="Ongoing"/>
    <m/>
  </r>
  <r>
    <s v="Bay 4&amp;5 - _x000a_Pumps"/>
    <x v="5"/>
    <x v="2"/>
    <m/>
    <m/>
    <m/>
    <m/>
    <m/>
    <m/>
    <m/>
    <d v="1899-12-30T10:30:00"/>
    <d v="1899-12-30T12:00:00"/>
    <n v="1.5"/>
    <m/>
    <m/>
  </r>
  <r>
    <s v="Bay 6 -_x000a_Generator"/>
    <x v="5"/>
    <x v="23"/>
    <s v="Generator"/>
    <s v="GEN40-003"/>
    <s v="Alternator fixing, Fuel tank cleaning"/>
    <d v="2025-12-06T00:00:00"/>
    <d v="2025-12-06T00:00:00"/>
    <d v="2025-12-06T00:00:00"/>
    <m/>
    <d v="1899-12-30T07:30:00"/>
    <d v="1899-12-30T13:00:00"/>
    <n v="5.4999999999999991"/>
    <s v="Completed"/>
    <m/>
  </r>
  <r>
    <s v="Bay 6 -_x000a_Generator"/>
    <x v="5"/>
    <x v="7"/>
    <s v="Generator"/>
    <s v="GEN200-009"/>
    <s v="Alternator fixing, Fuel tank cleaning"/>
    <d v="2025-12-06T00:00:00"/>
    <d v="2025-12-06T00:00:00"/>
    <d v="2025-12-06T00:00:00"/>
    <m/>
    <d v="1899-12-30T14:00:00"/>
    <d v="1899-12-30T16:30:00"/>
    <n v="2.4999999999999991"/>
    <s v="Completed"/>
    <m/>
  </r>
  <r>
    <s v="Bay 6 -_x000a_Generator"/>
    <x v="5"/>
    <x v="23"/>
    <m/>
    <m/>
    <m/>
    <m/>
    <m/>
    <m/>
    <m/>
    <d v="1899-12-30T14:00:00"/>
    <d v="1899-12-30T16:30:00"/>
    <n v="2.4999999999999991"/>
    <m/>
    <m/>
  </r>
  <r>
    <s v="Bay 6 -_x000a_Generator"/>
    <x v="5"/>
    <x v="7"/>
    <s v="Drill rig"/>
    <s v="DR-024"/>
    <s v="Repair on site"/>
    <d v="2025-12-06T00:00:00"/>
    <d v="2025-12-06T00:00:00"/>
    <d v="2025-12-06T00:00:00"/>
    <m/>
    <d v="1899-12-30T07:30:00"/>
    <d v="1899-12-30T14:00:00"/>
    <n v="6.5000000000000009"/>
    <s v="Completed"/>
    <m/>
  </r>
  <r>
    <s v="Electrical"/>
    <x v="5"/>
    <x v="8"/>
    <s v="Panel"/>
    <s v="SPB3.7-029"/>
    <s v="Repair on site"/>
    <d v="2025-12-06T00:00:00"/>
    <d v="2025-12-06T00:00:00"/>
    <d v="2025-12-06T00:00:00"/>
    <m/>
    <d v="1899-12-30T08:00:00"/>
    <d v="1899-12-30T12:00:00"/>
    <n v="4"/>
    <s v="Completed"/>
    <m/>
  </r>
  <r>
    <s v="Electrical"/>
    <x v="5"/>
    <x v="8"/>
    <s v="Panel"/>
    <s v="SPB3.7-100"/>
    <m/>
    <d v="2025-12-06T00:00:00"/>
    <d v="2025-12-06T00:00:00"/>
    <d v="2025-12-06T00:00:00"/>
    <m/>
    <d v="1899-12-30T13:00:00"/>
    <d v="1899-12-30T17:00:00"/>
    <n v="4.0000000000000018"/>
    <s v="Completed"/>
    <m/>
  </r>
  <r>
    <s v="Electrical"/>
    <x v="5"/>
    <x v="9"/>
    <s v="Panel"/>
    <s v="DB-289"/>
    <s v="Enclosure replacement"/>
    <d v="2025-12-06T00:00:00"/>
    <d v="2025-12-08T00:00:00"/>
    <m/>
    <m/>
    <d v="1899-12-30T08:00:00"/>
    <d v="1899-12-30T17:00:00"/>
    <n v="9.0000000000000018"/>
    <s v="Ongoing"/>
    <m/>
  </r>
  <r>
    <s v="Electrical"/>
    <x v="5"/>
    <x v="10"/>
    <s v="Panel"/>
    <s v="SPB15-010"/>
    <s v="Canopy and alarm system fixing"/>
    <d v="2025-12-06T00:00:00"/>
    <d v="2025-12-06T00:00:00"/>
    <d v="2025-12-06T00:00:00"/>
    <m/>
    <d v="1899-12-30T07:30:00"/>
    <d v="1899-12-30T16:30:00"/>
    <n v="9"/>
    <s v="Completed"/>
    <m/>
  </r>
  <r>
    <s v="Electrical"/>
    <x v="5"/>
    <x v="12"/>
    <s v="Generator"/>
    <s v="GEN250-051"/>
    <s v="Alternator rewinding"/>
    <d v="2025-12-06T00:00:00"/>
    <d v="2025-12-11T00:00:00"/>
    <m/>
    <m/>
    <d v="1899-12-30T08:00:00"/>
    <d v="1899-12-30T17:00:00"/>
    <n v="9.0000000000000018"/>
    <s v="Ongoing"/>
    <m/>
  </r>
  <r>
    <s v="Electrical"/>
    <x v="5"/>
    <x v="11"/>
    <m/>
    <m/>
    <m/>
    <m/>
    <m/>
    <m/>
    <m/>
    <d v="1899-12-30T07:30:00"/>
    <d v="1899-12-30T16:30:00"/>
    <n v="9"/>
    <m/>
    <m/>
  </r>
  <r>
    <s v="Electrical"/>
    <x v="5"/>
    <x v="13"/>
    <s v="Contractor dewatering Pump"/>
    <s v="FM150"/>
    <s v="8nos new flowmeter fixing, cable &amp; socket"/>
    <d v="2025-12-06T00:00:00"/>
    <d v="2025-12-06T00:00:00"/>
    <d v="2025-12-06T00:00:00"/>
    <m/>
    <d v="1899-12-30T07:30:00"/>
    <d v="1899-12-30T16:30:00"/>
    <n v="9"/>
    <s v="Completed"/>
    <m/>
  </r>
  <r>
    <s v="Electrical"/>
    <x v="5"/>
    <x v="14"/>
    <s v="Borehole pump"/>
    <s v="New 2.2kw"/>
    <s v="12nos pump inspection checking &amp; socket fixing &amp; number tagging"/>
    <d v="2025-12-06T00:00:00"/>
    <d v="2025-12-06T00:00:00"/>
    <d v="2025-12-06T00:00:00"/>
    <m/>
    <d v="1899-12-30T07:30:00"/>
    <d v="1899-12-30T12:00:00"/>
    <n v="4.5"/>
    <s v="Completed"/>
    <m/>
  </r>
  <r>
    <s v="Electrical"/>
    <x v="5"/>
    <x v="24"/>
    <m/>
    <m/>
    <m/>
    <d v="2025-12-06T00:00:00"/>
    <d v="2025-12-06T00:00:00"/>
    <d v="2025-12-06T00:00:00"/>
    <m/>
    <d v="1899-12-30T08:00:00"/>
    <d v="1899-12-30T12:00:00"/>
    <n v="4"/>
    <m/>
    <m/>
  </r>
  <r>
    <s v="Electrical"/>
    <x v="5"/>
    <x v="14"/>
    <s v="Borehole pump"/>
    <s v="New 3kw"/>
    <s v="10nos pump inspection checking &amp; socket fixing &amp; number tagging"/>
    <d v="2025-12-06T00:00:00"/>
    <d v="2025-12-06T00:00:00"/>
    <d v="2025-12-06T00:00:00"/>
    <m/>
    <d v="1899-12-30T13:00:00"/>
    <d v="1899-12-30T16:30:00"/>
    <n v="3.5000000000000009"/>
    <s v="Completed"/>
    <m/>
  </r>
  <r>
    <s v="Electrical"/>
    <x v="5"/>
    <x v="24"/>
    <m/>
    <m/>
    <m/>
    <d v="2025-12-06T00:00:00"/>
    <d v="2025-12-06T00:00:00"/>
    <d v="2025-12-06T00:00:00"/>
    <m/>
    <d v="1899-12-30T13:00:00"/>
    <d v="1899-12-30T17:00:00"/>
    <n v="4.0000000000000018"/>
    <s v="Completed"/>
    <m/>
  </r>
  <r>
    <s v="Electrical"/>
    <x v="5"/>
    <x v="17"/>
    <s v="Submersible pump"/>
    <s v="SM1002-074"/>
    <s v="Pump dismantling"/>
    <d v="2025-12-06T00:00:00"/>
    <d v="2025-12-06T00:00:00"/>
    <d v="2025-12-06T00:00:00"/>
    <m/>
    <d v="1899-12-30T07:30:00"/>
    <d v="1899-12-30T12:00:00"/>
    <n v="4.5"/>
    <s v="Completed"/>
    <m/>
  </r>
  <r>
    <s v="Electrical"/>
    <x v="5"/>
    <x v="17"/>
    <s v="Submersible pump"/>
    <s v="SM1002-074"/>
    <s v="Rotor repair &amp; assembling"/>
    <d v="2025-12-06T00:00:00"/>
    <d v="2025-12-08T00:00:00"/>
    <m/>
    <m/>
    <d v="1899-12-30T13:00:00"/>
    <d v="1899-12-30T16:30:00"/>
    <n v="3.5000000000000009"/>
    <s v="Ongoing"/>
    <m/>
  </r>
  <r>
    <s v="Bay 4&amp;5 - _x000a_Pumps"/>
    <x v="5"/>
    <x v="25"/>
    <s v="Diesel Driven CP Pump"/>
    <s v="CD300M-03"/>
    <s v="Air compressor and priming unit repair, Air line and fuel line replacemnet"/>
    <d v="2025-12-06T00:00:00"/>
    <d v="2025-12-10T00:00:00"/>
    <d v="2025-12-06T00:00:00"/>
    <m/>
    <d v="1899-12-30T07:30:00"/>
    <d v="1899-12-30T16:30:00"/>
    <n v="9"/>
    <s v="Completed"/>
    <m/>
  </r>
  <r>
    <s v="Bay 4&amp;5 - _x000a_Pumps"/>
    <x v="5"/>
    <x v="19"/>
    <m/>
    <m/>
    <m/>
    <d v="2025-12-06T00:00:00"/>
    <d v="2025-12-10T00:00:00"/>
    <d v="2025-12-06T00:00:00"/>
    <m/>
    <d v="1899-12-30T07:30:00"/>
    <d v="1899-12-30T16:30:00"/>
    <n v="9"/>
    <s v="Completed"/>
    <m/>
  </r>
  <r>
    <s v="Bay 4&amp;5 - _x000a_Pumps"/>
    <x v="5"/>
    <x v="20"/>
    <s v="Diesel Driven CP Pump"/>
    <s v="BA180-002"/>
    <s v="Parts cleaning, Shaft, bearing seal replacement"/>
    <d v="2025-12-06T00:00:00"/>
    <d v="2025-12-12T00:00:00"/>
    <d v="2025-12-06T00:00:00"/>
    <m/>
    <d v="1899-12-30T08:00:00"/>
    <d v="1899-12-30T17:00:00"/>
    <n v="9.0000000000000018"/>
    <s v="Completed"/>
    <m/>
  </r>
  <r>
    <s v="Bay 4&amp;5 - _x000a_Pumps"/>
    <x v="5"/>
    <x v="21"/>
    <m/>
    <m/>
    <m/>
    <d v="2025-12-06T00:00:00"/>
    <d v="2025-12-12T00:00:00"/>
    <d v="2025-12-06T00:00:00"/>
    <m/>
    <d v="1899-12-30T08:00:00"/>
    <d v="1899-12-30T17:00:00"/>
    <n v="9.0000000000000018"/>
    <s v="Completed"/>
    <m/>
  </r>
  <r>
    <s v="Bay 4&amp;5 - _x000a_Pumps"/>
    <x v="5"/>
    <x v="18"/>
    <s v="Other"/>
    <s v="System work "/>
    <s v="IDT &amp; system work"/>
    <d v="2025-12-06T00:00:00"/>
    <d v="2025-12-06T00:00:00"/>
    <d v="2025-12-06T00:00:00"/>
    <m/>
    <d v="1899-12-30T07:30:00"/>
    <d v="1899-12-30T16:30:00"/>
    <n v="9"/>
    <s v="Completed"/>
    <m/>
  </r>
  <r>
    <s v="Bay 4&amp;5 - _x000a_Pumps"/>
    <x v="6"/>
    <x v="0"/>
    <s v="Contractor dewatering Pump"/>
    <s v="CP150-033"/>
    <s v="Pump assembling &amp; water test"/>
    <d v="2025-12-04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07:30:00"/>
    <d v="1899-12-30T08:30:00"/>
    <n v="1.0000000000000004"/>
    <m/>
    <m/>
  </r>
  <r>
    <s v="Bay 4&amp;5 - _x000a_Pumps"/>
    <x v="6"/>
    <x v="1"/>
    <s v="Contractor dewatering Pump"/>
    <s v="PT175-511"/>
    <s v="Pump assembling ongoing"/>
    <d v="2025-12-09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08:30:00"/>
    <d v="1899-12-30T09:30:00"/>
    <n v="0.99999999999999911"/>
    <m/>
    <m/>
  </r>
  <r>
    <s v="Bay 4&amp;5 - _x000a_Pumps"/>
    <x v="6"/>
    <x v="3"/>
    <s v="Contractor dewatering Pump"/>
    <s v="CP150-574"/>
    <s v="Pump dismantling"/>
    <d v="2025-12-08T00:00:00"/>
    <d v="2025-12-09T00:00:00"/>
    <d v="2025-12-09T00:00:00"/>
    <m/>
    <d v="1899-12-30T09:30:00"/>
    <d v="1899-12-30T10:30:00"/>
    <n v="1.0000000000000004"/>
    <s v="Completed"/>
    <m/>
  </r>
  <r>
    <s v="Bay 4&amp;5 - _x000a_Pumps"/>
    <x v="6"/>
    <x v="2"/>
    <m/>
    <m/>
    <m/>
    <m/>
    <m/>
    <m/>
    <m/>
    <d v="1899-12-30T07:30:00"/>
    <d v="1899-12-30T11:30:00"/>
    <n v="4"/>
    <m/>
    <m/>
  </r>
  <r>
    <s v="Bay 4&amp;5 - _x000a_Pumps"/>
    <x v="6"/>
    <x v="4"/>
    <s v="Contractor dewatering Pump"/>
    <s v="PT175-522"/>
    <s v="Engine assembling ongoing"/>
    <d v="2025-12-08T00:00:00"/>
    <d v="2025-12-09T00:00:00"/>
    <d v="2025-12-09T00:00:00"/>
    <m/>
    <d v="1899-12-30T08:00:00"/>
    <d v="1899-12-30T19:00:00"/>
    <n v="11"/>
    <s v="Completed"/>
    <m/>
  </r>
  <r>
    <s v="Bay 4&amp;5 - _x000a_Pumps"/>
    <x v="6"/>
    <x v="2"/>
    <m/>
    <m/>
    <m/>
    <m/>
    <m/>
    <m/>
    <m/>
    <d v="1899-12-30T10:30:00"/>
    <d v="1899-12-30T11:30:00"/>
    <n v="1.0000000000000004"/>
    <m/>
    <m/>
  </r>
  <r>
    <s v="Bay 4&amp;5 - _x000a_Pumps"/>
    <x v="6"/>
    <x v="5"/>
    <s v="Contractor dewatering Pump"/>
    <s v="CP150V-001"/>
    <s v="Pump assembling ongoing"/>
    <d v="2025-12-03T00:00:00"/>
    <d v="2025-12-09T00:00:00"/>
    <d v="2025-12-09T00:00:00"/>
    <m/>
    <d v="1899-12-30T08:00:00"/>
    <d v="1899-12-30T12:00:00"/>
    <n v="4"/>
    <s v="Completed"/>
    <m/>
  </r>
  <r>
    <s v="Bay 4&amp;5 - _x000a_Pumps"/>
    <x v="6"/>
    <x v="2"/>
    <m/>
    <m/>
    <m/>
    <m/>
    <m/>
    <m/>
    <m/>
    <d v="1899-12-30T11:30:00"/>
    <d v="1899-12-30T13:00:00"/>
    <n v="1.4999999999999987"/>
    <m/>
    <m/>
  </r>
  <r>
    <s v="Bay 4&amp;5 - _x000a_Pumps"/>
    <x v="6"/>
    <x v="2"/>
    <s v="Other"/>
    <s v="System work "/>
    <s v="System work for work orders &amp; IDT"/>
    <d v="2025-12-09T00:00:00"/>
    <d v="2025-12-09T00:00:00"/>
    <m/>
    <m/>
    <d v="1899-12-30T14:00:00"/>
    <d v="1899-12-30T17:00:00"/>
    <n v="3"/>
    <s v="Ongoing"/>
    <m/>
  </r>
  <r>
    <s v="Bay 4&amp;5 - _x000a_Pumps"/>
    <x v="6"/>
    <x v="5"/>
    <s v="Contractor dewatering Pump"/>
    <s v="CP150-396"/>
    <s v="Engine dismantling"/>
    <d v="2025-12-09T00:00:00"/>
    <d v="2025-12-09T00:00:00"/>
    <d v="2025-12-09T00:00:00"/>
    <m/>
    <d v="1899-12-30T13:00:00"/>
    <d v="1899-12-30T19:00:00"/>
    <n v="6"/>
    <s v="Completed"/>
    <m/>
  </r>
  <r>
    <s v="Bay 6 -_x000a_Generator"/>
    <x v="6"/>
    <x v="7"/>
    <s v="Generator"/>
    <s v="GENJ250-043"/>
    <s v="Ac alternator fixing, fuel pump &amp; injector fixing, valve clearance setting"/>
    <d v="2025-12-09T00:00:00"/>
    <d v="2025-12-09T00:00:00"/>
    <d v="2025-12-09T00:00:00"/>
    <m/>
    <d v="1899-12-30T07:30:00"/>
    <d v="1899-12-30T16:30:00"/>
    <n v="9"/>
    <s v="Completed"/>
    <m/>
  </r>
  <r>
    <s v="Bay 6 -_x000a_Generator"/>
    <x v="6"/>
    <x v="28"/>
    <m/>
    <m/>
    <m/>
    <m/>
    <m/>
    <m/>
    <m/>
    <d v="1899-12-30T07:30:00"/>
    <d v="1899-12-30T16:30:00"/>
    <n v="9"/>
    <m/>
    <m/>
  </r>
  <r>
    <s v="Bay 6 -_x000a_Generator"/>
    <x v="6"/>
    <x v="23"/>
    <s v="Tank"/>
    <s v="BFT3-121"/>
    <s v="Tank removing &amp; cleaning, new fitting fixing,"/>
    <d v="2025-12-08T00:00:00"/>
    <d v="2025-12-09T00:00:00"/>
    <d v="2025-12-09T00:00:00"/>
    <m/>
    <d v="1899-12-30T07:30:00"/>
    <d v="1899-12-30T14:30:00"/>
    <n v="6.9999999999999991"/>
    <s v="Completed"/>
    <m/>
  </r>
  <r>
    <s v="Bay 6 -_x000a_Generator"/>
    <x v="6"/>
    <x v="32"/>
    <m/>
    <m/>
    <m/>
    <m/>
    <m/>
    <m/>
    <m/>
    <d v="1899-12-30T07:30:00"/>
    <d v="1899-12-30T14:30:00"/>
    <n v="6.9999999999999991"/>
    <m/>
    <m/>
  </r>
  <r>
    <s v="Bay 6 -_x000a_Generator"/>
    <x v="6"/>
    <x v="23"/>
    <s v="Generator"/>
    <s v="GEN200-009"/>
    <s v="Load test, final fitting"/>
    <d v="2025-12-08T00:00:00"/>
    <d v="2025-12-09T00:00:00"/>
    <m/>
    <m/>
    <d v="1899-12-30T14:30:00"/>
    <d v="1899-12-30T14:30:00"/>
    <n v="0"/>
    <s v="Hold"/>
    <m/>
  </r>
  <r>
    <s v="Bay 6 -_x000a_Generator"/>
    <x v="6"/>
    <x v="32"/>
    <m/>
    <m/>
    <m/>
    <d v="2025-12-08T00:00:00"/>
    <d v="2025-12-09T00:00:00"/>
    <m/>
    <m/>
    <d v="1899-12-30T14:30:00"/>
    <d v="1899-12-30T14:30:00"/>
    <n v="0"/>
    <m/>
    <m/>
  </r>
  <r>
    <s v="Electrical"/>
    <x v="6"/>
    <x v="8"/>
    <s v="Other"/>
    <s v="General work"/>
    <s v="Site task"/>
    <d v="2025-12-09T00:00:00"/>
    <d v="2025-12-09T00:00:00"/>
    <d v="2025-12-09T00:00:00"/>
    <m/>
    <d v="1899-12-30T08:00:00"/>
    <d v="1899-12-30T17:00:00"/>
    <n v="9.0000000000000018"/>
    <s v="Completed"/>
    <m/>
  </r>
  <r>
    <s v="Electrical"/>
    <x v="6"/>
    <x v="9"/>
    <s v="Panel"/>
    <s v="DB-289"/>
    <s v="Safety Cover &amp; PDI"/>
    <d v="2025-12-09T00:00:00"/>
    <d v="2025-12-09T00:00:00"/>
    <m/>
    <m/>
    <d v="1899-12-30T08:00:00"/>
    <d v="1899-12-30T13:00:00"/>
    <n v="5"/>
    <s v="Ongoing"/>
    <m/>
  </r>
  <r>
    <s v="Electrical"/>
    <x v="6"/>
    <x v="12"/>
    <s v="Generator"/>
    <s v="GEN250-051"/>
    <s v="RC stator winding"/>
    <d v="2025-12-06T00:00:00"/>
    <d v="2025-12-11T00:00:00"/>
    <m/>
    <m/>
    <d v="1899-12-30T07:30:00"/>
    <d v="1899-12-30T17:30:00"/>
    <n v="10"/>
    <s v="Ongoing"/>
    <m/>
  </r>
  <r>
    <s v="Electrical"/>
    <x v="6"/>
    <x v="11"/>
    <m/>
    <m/>
    <m/>
    <m/>
    <m/>
    <m/>
    <m/>
    <d v="1899-12-30T07:30:00"/>
    <d v="1899-12-30T17:30:00"/>
    <n v="10"/>
    <m/>
    <m/>
  </r>
  <r>
    <s v="Electrical"/>
    <x v="6"/>
    <x v="13"/>
    <s v="Generator"/>
    <s v="GEN200-009"/>
    <s v="Power cable connection"/>
    <d v="2025-12-09T00:00:00"/>
    <d v="2025-12-09T00:00:00"/>
    <d v="2025-12-09T00:00:00"/>
    <m/>
    <d v="1899-12-30T07:30:00"/>
    <d v="1899-12-30T12:00:00"/>
    <n v="4.5"/>
    <s v="Completed"/>
    <m/>
  </r>
  <r>
    <s v="Electrical"/>
    <x v="6"/>
    <x v="13"/>
    <s v="Other"/>
    <s v="BFM355-008"/>
    <s v="welding machine 3units (A,B,C) inspection repair"/>
    <d v="2025-12-09T00:00:00"/>
    <d v="2025-12-10T00:00:00"/>
    <m/>
    <m/>
    <d v="1899-12-30T13:00:00"/>
    <d v="1899-12-30T16:30:00"/>
    <n v="3.5000000000000009"/>
    <s v="Ongoing"/>
    <m/>
  </r>
  <r>
    <s v="Electrical"/>
    <x v="6"/>
    <x v="14"/>
    <s v="Borehole pump"/>
    <s v="New 5.5kw pump"/>
    <s v="9nos pump inspection checking &amp; socket fixing &amp; number tagging"/>
    <d v="2025-12-09T00:00:00"/>
    <d v="2025-12-09T00:00:00"/>
    <d v="2025-12-09T00:00:00"/>
    <m/>
    <d v="1899-12-30T07:30:00"/>
    <d v="1899-12-30T12:00:00"/>
    <n v="4.5"/>
    <s v="Completed"/>
    <m/>
  </r>
  <r>
    <s v="Electrical"/>
    <x v="6"/>
    <x v="24"/>
    <m/>
    <m/>
    <m/>
    <m/>
    <m/>
    <m/>
    <m/>
    <d v="1899-12-30T07:30:00"/>
    <d v="1899-12-30T12:00:00"/>
    <n v="4.5"/>
    <m/>
    <m/>
  </r>
  <r>
    <s v="Electrical"/>
    <x v="6"/>
    <x v="14"/>
    <s v="Borehole pump"/>
    <s v="Old BH pump 2.2kw"/>
    <s v="4nos cable joints &amp; water testing"/>
    <d v="2025-12-09T00:00:00"/>
    <d v="2025-12-10T00:00:00"/>
    <m/>
    <m/>
    <d v="1899-12-30T13:00:00"/>
    <d v="1899-12-30T16:30:00"/>
    <n v="3.5000000000000009"/>
    <s v="Ongoing"/>
    <m/>
  </r>
  <r>
    <s v="Electrical"/>
    <x v="6"/>
    <x v="24"/>
    <m/>
    <m/>
    <m/>
    <m/>
    <m/>
    <m/>
    <m/>
    <d v="1899-12-30T13:00:00"/>
    <d v="1899-12-30T16:30:00"/>
    <n v="3.5000000000000009"/>
    <m/>
    <m/>
  </r>
  <r>
    <s v="Electrical"/>
    <x v="6"/>
    <x v="17"/>
    <s v="Submersible pump"/>
    <s v="SM1002-126"/>
    <s v="Rotor repair &amp; assembling"/>
    <d v="2025-12-09T00:00:00"/>
    <d v="2025-12-09T00:00:00"/>
    <d v="2025-12-09T00:00:00"/>
    <m/>
    <d v="1899-12-30T07:30:00"/>
    <d v="1899-12-30T16:30:00"/>
    <n v="9"/>
    <s v="Completed"/>
    <m/>
  </r>
  <r>
    <s v="Bay 4&amp;5 - _x000a_Pumps"/>
    <x v="6"/>
    <x v="18"/>
    <s v="Diesel Driven CP Pump"/>
    <s v="ACT900-002"/>
    <s v="Air compressor and air drier connection, pressure testing, removing"/>
    <d v="2025-12-09T00:00:00"/>
    <d v="2025-12-15T00:00:00"/>
    <d v="2025-12-09T00:00:00"/>
    <m/>
    <d v="1899-12-30T07:30:00"/>
    <d v="1899-12-30T16:30:00"/>
    <n v="9"/>
    <s v="Completed"/>
    <m/>
  </r>
  <r>
    <s v="Bay 4&amp;5 - _x000a_Pumps"/>
    <x v="6"/>
    <x v="25"/>
    <s v="Diesel Driven CP Pump"/>
    <s v="ACT900-001"/>
    <s v="Air compressor and air drier connection, pressure testing, removing"/>
    <d v="2025-12-09T00:00:00"/>
    <d v="2025-12-15T00:00:00"/>
    <d v="2025-12-09T00:00:00"/>
    <m/>
    <d v="1899-12-30T07:30:00"/>
    <d v="1899-12-30T16:30:00"/>
    <n v="9"/>
    <s v="Completed"/>
    <m/>
  </r>
  <r>
    <s v="Bay 4&amp;5 - _x000a_Pumps"/>
    <x v="6"/>
    <x v="20"/>
    <s v="Diesel Driven CP Pump"/>
    <s v="CD300M-033"/>
    <s v="Radiator installation &amp; testing bay"/>
    <d v="2025-12-09T00:00:00"/>
    <d v="2025-12-15T00:00:00"/>
    <d v="2025-12-09T00:00:00"/>
    <m/>
    <d v="1899-12-30T08:00:00"/>
    <d v="1899-12-30T17:00:00"/>
    <n v="9.0000000000000018"/>
    <s v="Completed"/>
    <m/>
  </r>
  <r>
    <s v="Bay 4&amp;5 - _x000a_Pumps"/>
    <x v="6"/>
    <x v="21"/>
    <m/>
    <m/>
    <m/>
    <m/>
    <d v="2025-12-15T00:00:00"/>
    <m/>
    <m/>
    <d v="1899-12-30T08:00:00"/>
    <d v="1899-12-30T17:00:00"/>
    <n v="9.0000000000000018"/>
    <m/>
    <m/>
  </r>
  <r>
    <s v="Bay 4&amp;5 - _x000a_Pumps"/>
    <x v="6"/>
    <x v="18"/>
    <s v="Contractor dewatering Pump"/>
    <s v="ISO250E-001"/>
    <s v="pump coupling dismantling"/>
    <d v="2025-12-09T00:00:00"/>
    <d v="2025-12-30T00:00:00"/>
    <d v="2025-12-09T00:00:00"/>
    <m/>
    <d v="1899-12-30T14:00:00"/>
    <d v="1899-12-30T16:30:00"/>
    <n v="2.4999999999999991"/>
    <s v="Completed"/>
    <m/>
  </r>
  <r>
    <s v="Bay 4&amp;5 - _x000a_Pumps"/>
    <x v="6"/>
    <x v="25"/>
    <m/>
    <m/>
    <m/>
    <m/>
    <m/>
    <m/>
    <m/>
    <d v="1899-12-30T14:00:00"/>
    <d v="1899-12-30T16:30:00"/>
    <n v="2.4999999999999991"/>
    <m/>
    <m/>
  </r>
  <r>
    <s v="Bay 4&amp;5 - _x000a_Pumps"/>
    <x v="6"/>
    <x v="19"/>
    <s v="Diesel Driven CP Pump"/>
    <s v="AC825-05"/>
    <s v="Each muffler piping installation"/>
    <d v="2025-12-09T00:00:00"/>
    <d v="2025-12-20T00:00:00"/>
    <d v="2025-12-09T00:00:00"/>
    <m/>
    <d v="1899-12-30T07:00:00"/>
    <d v="1899-12-30T16:30:00"/>
    <n v="9.5"/>
    <s v="Completed"/>
    <m/>
  </r>
  <r>
    <s v="Bay 4&amp;5 - _x000a_Pumps"/>
    <x v="7"/>
    <x v="0"/>
    <s v="Contractor dewatering Pump"/>
    <s v="3XCP150"/>
    <s v="Vaccum pump repair"/>
    <d v="2025-12-10T00:00:00"/>
    <d v="2025-12-10T00:00:00"/>
    <d v="2025-12-10T00:00:00"/>
    <m/>
    <d v="1899-12-30T08:00:00"/>
    <d v="1899-12-30T18:00:00"/>
    <n v="10"/>
    <s v="Completed"/>
    <m/>
  </r>
  <r>
    <s v="Bay 4&amp;5 - _x000a_Pumps"/>
    <x v="7"/>
    <x v="2"/>
    <m/>
    <m/>
    <m/>
    <m/>
    <m/>
    <m/>
    <m/>
    <d v="1899-12-30T07:30:00"/>
    <d v="1899-12-30T08:30:00"/>
    <n v="1.0000000000000004"/>
    <m/>
    <m/>
  </r>
  <r>
    <s v="Bay 4&amp;5 - _x000a_Pumps"/>
    <x v="7"/>
    <x v="5"/>
    <s v="Contractor dewatering Pump"/>
    <s v="CP150-396"/>
    <s v="Pump dismantle &amp; prepare for assemble"/>
    <d v="2025-12-09T00:00:00"/>
    <d v="2025-12-10T00:00:00"/>
    <d v="2025-12-10T00:00:00"/>
    <m/>
    <d v="1899-12-30T08:00:00"/>
    <d v="1899-12-30T19:00:00"/>
    <n v="11"/>
    <s v="Completed"/>
    <m/>
  </r>
  <r>
    <s v="Bay 4&amp;5 - _x000a_Pumps"/>
    <x v="7"/>
    <x v="2"/>
    <m/>
    <m/>
    <m/>
    <m/>
    <m/>
    <m/>
    <m/>
    <d v="1899-12-30T08:30:00"/>
    <d v="1899-12-30T09:30:00"/>
    <n v="0.99999999999999911"/>
    <m/>
    <m/>
  </r>
  <r>
    <s v="Bay 4&amp;5 - _x000a_Pumps"/>
    <x v="7"/>
    <x v="3"/>
    <s v="Contractor dewatering Pump"/>
    <s v="CP150-574"/>
    <s v="Pump assembling &amp; engine repair"/>
    <d v="2025-12-08T00:00:00"/>
    <d v="2025-12-09T00:00:00"/>
    <d v="2025-12-10T00:00:00"/>
    <m/>
    <d v="1899-12-30T07:30:00"/>
    <d v="1899-12-30T18:30:00"/>
    <n v="11"/>
    <s v="Completed"/>
    <m/>
  </r>
  <r>
    <s v="Bay 4&amp;5 - _x000a_Pumps"/>
    <x v="7"/>
    <x v="2"/>
    <m/>
    <m/>
    <m/>
    <m/>
    <m/>
    <m/>
    <m/>
    <d v="1899-12-30T09:30:00"/>
    <d v="1899-12-30T11:30:00"/>
    <n v="2.0000000000000009"/>
    <m/>
    <m/>
  </r>
  <r>
    <s v="Bay 4&amp;5 - _x000a_Pumps"/>
    <x v="7"/>
    <x v="4"/>
    <s v="Contractor dewatering Pump"/>
    <s v="PT175-522"/>
    <s v="Engine assembling ongoing"/>
    <d v="2025-12-08T00:00:00"/>
    <d v="2025-12-10T00:00:00"/>
    <d v="2025-12-10T00:00:00"/>
    <m/>
    <d v="1899-12-30T08:00:00"/>
    <d v="1899-12-30T11:00:00"/>
    <n v="3"/>
    <s v="Completed"/>
    <m/>
  </r>
  <r>
    <s v="Bay 4&amp;5 - _x000a_Pumps"/>
    <x v="7"/>
    <x v="2"/>
    <m/>
    <m/>
    <m/>
    <m/>
    <m/>
    <m/>
    <m/>
    <d v="1899-12-30T11:30:00"/>
    <d v="1899-12-30T12:00:00"/>
    <n v="0.49999999999999956"/>
    <m/>
    <m/>
  </r>
  <r>
    <s v="Bay 4&amp;5 - _x000a_Pumps"/>
    <x v="7"/>
    <x v="28"/>
    <s v="Contractor dewatering Pump"/>
    <s v="CP150-514"/>
    <s v="Pump repair &amp; water test "/>
    <d v="2025-12-10T00:00:00"/>
    <d v="2025-12-09T00:00:00"/>
    <d v="2025-12-10T00:00:00"/>
    <m/>
    <d v="1899-12-30T07:30:00"/>
    <d v="1899-12-30T18:30:00"/>
    <n v="11"/>
    <s v="Completed"/>
    <m/>
  </r>
  <r>
    <s v="Bay 4&amp;5 - _x000a_Pumps"/>
    <x v="7"/>
    <x v="2"/>
    <m/>
    <m/>
    <m/>
    <m/>
    <m/>
    <m/>
    <m/>
    <d v="1899-12-30T13:00:00"/>
    <d v="1899-12-30T14:00:00"/>
    <n v="1.0000000000000018"/>
    <m/>
    <m/>
  </r>
  <r>
    <s v="Bay 4&amp;5 - _x000a_Pumps"/>
    <x v="7"/>
    <x v="1"/>
    <s v="Contractor dewatering Pump"/>
    <s v="PT175-554"/>
    <s v="Pump repair &amp; warer test"/>
    <d v="2025-11-26T00:00:00"/>
    <d v="2025-12-10T00:00:00"/>
    <d v="2025-12-10T00:00:00"/>
    <m/>
    <d v="1899-12-30T07:30:00"/>
    <d v="1899-12-30T11:30:00"/>
    <n v="4"/>
    <s v="Completed"/>
    <m/>
  </r>
  <r>
    <s v="Bay 4&amp;5 - _x000a_Pumps"/>
    <x v="7"/>
    <x v="2"/>
    <s v="Other"/>
    <s v="System work "/>
    <s v="System work for work orders &amp; IDT"/>
    <d v="2025-12-10T00:00:00"/>
    <d v="2025-12-10T00:00:00"/>
    <d v="2025-12-10T00:00:00"/>
    <m/>
    <d v="1899-12-30T14:00:00"/>
    <d v="1899-12-30T17:00:00"/>
    <n v="3"/>
    <s v="Completed"/>
    <m/>
  </r>
  <r>
    <s v="Bay 6 -_x000a_Generator"/>
    <x v="7"/>
    <x v="7"/>
    <s v="Generator"/>
    <s v="GEN150-021"/>
    <s v="Canopy &amp; alternator removing"/>
    <d v="2025-12-08T00:00:00"/>
    <d v="2025-12-10T00:00:00"/>
    <d v="2025-12-10T00:00:00"/>
    <m/>
    <d v="1899-12-30T07:30:00"/>
    <d v="1899-12-30T12:00:00"/>
    <n v="4.5"/>
    <s v="Completed"/>
    <m/>
  </r>
  <r>
    <s v="Bay 6 -_x000a_Generator"/>
    <x v="7"/>
    <x v="23"/>
    <m/>
    <m/>
    <m/>
    <m/>
    <m/>
    <m/>
    <m/>
    <d v="1899-12-30T10:30:00"/>
    <d v="1899-12-30T12:00:00"/>
    <n v="1.5"/>
    <m/>
    <m/>
  </r>
  <r>
    <s v="Bay 6 -_x000a_Generator"/>
    <x v="7"/>
    <x v="23"/>
    <s v="Generator"/>
    <s v="GEN150-047"/>
    <s v="PDI &amp; flowfinity"/>
    <d v="2025-12-10T00:00:00"/>
    <d v="2025-12-08T00:00:00"/>
    <d v="2025-12-10T00:00:00"/>
    <m/>
    <d v="1899-12-30T07:30:00"/>
    <d v="1899-12-30T08:30:00"/>
    <n v="1.0000000000000004"/>
    <s v="Completed"/>
    <m/>
  </r>
  <r>
    <s v="Bay 6 -_x000a_Generator"/>
    <x v="7"/>
    <x v="32"/>
    <m/>
    <m/>
    <m/>
    <m/>
    <m/>
    <m/>
    <m/>
    <d v="1899-12-30T07:30:00"/>
    <d v="1899-12-30T08:30:00"/>
    <n v="1.0000000000000004"/>
    <m/>
    <m/>
  </r>
  <r>
    <s v="Bay 6 -_x000a_Generator"/>
    <x v="7"/>
    <x v="23"/>
    <s v="Generator"/>
    <s v="GEN40-003"/>
    <s v="Load test"/>
    <d v="2025-12-08T00:00:00"/>
    <d v="2025-12-10T00:00:00"/>
    <d v="2025-12-10T00:00:00"/>
    <m/>
    <d v="1899-12-30T08:30:00"/>
    <d v="1899-12-30T10:30:00"/>
    <n v="1.9999999999999996"/>
    <s v="Completed"/>
    <m/>
  </r>
  <r>
    <s v="Bay 6 -_x000a_Generator"/>
    <x v="7"/>
    <x v="32"/>
    <m/>
    <m/>
    <m/>
    <m/>
    <m/>
    <m/>
    <m/>
    <d v="1899-12-30T08:30:00"/>
    <d v="1899-12-30T10:30:00"/>
    <n v="1.9999999999999996"/>
    <m/>
    <m/>
  </r>
  <r>
    <s v="Bay 6 -_x000a_Generator"/>
    <x v="7"/>
    <x v="23"/>
    <s v="Generator"/>
    <s v="GEN150-053"/>
    <s v="Fuel pump injector fitting, valve clearance setting"/>
    <d v="2025-12-10T00:00:00"/>
    <d v="2025-12-09T00:00:00"/>
    <d v="2025-12-10T00:00:00"/>
    <m/>
    <d v="1899-12-30T12:00:00"/>
    <d v="1899-12-30T16:30:00"/>
    <n v="4.5"/>
    <s v="Completed"/>
    <m/>
  </r>
  <r>
    <s v="Bay 6 -_x000a_Generator"/>
    <x v="7"/>
    <x v="7"/>
    <m/>
    <m/>
    <m/>
    <m/>
    <m/>
    <m/>
    <m/>
    <d v="1899-12-30T12:00:00"/>
    <d v="1899-12-30T16:30:00"/>
    <n v="4.5"/>
    <m/>
    <m/>
  </r>
  <r>
    <s v="Electrical"/>
    <x v="7"/>
    <x v="8"/>
    <s v="Other"/>
    <s v="General work"/>
    <s v="General work &amp; system work"/>
    <d v="2025-12-10T00:00:00"/>
    <d v="2025-12-10T00:00:00"/>
    <d v="2025-12-10T00:00:00"/>
    <m/>
    <d v="1899-12-30T08:00:00"/>
    <d v="1899-12-30T17:00:00"/>
    <n v="9.0000000000000018"/>
    <s v="Completed"/>
    <m/>
  </r>
  <r>
    <s v="Electrical"/>
    <x v="7"/>
    <x v="9"/>
    <s v="Panel"/>
    <s v="SPB15-019"/>
    <s v="Socket fixing &amp; testing"/>
    <d v="2025-12-10T00:00:00"/>
    <d v="2025-12-10T00:00:00"/>
    <d v="2025-12-10T00:00:00"/>
    <m/>
    <d v="1899-12-30T08:00:00"/>
    <d v="1899-12-30T17:00:00"/>
    <n v="9.0000000000000018"/>
    <s v="Completed"/>
    <m/>
  </r>
  <r>
    <s v="Electrical"/>
    <x v="7"/>
    <x v="12"/>
    <s v="Generator"/>
    <s v="GEN250-051"/>
    <s v="RC stator winding"/>
    <d v="2025-12-06T00:00:00"/>
    <d v="2025-12-11T00:00:00"/>
    <d v="2025-12-10T00:00:00"/>
    <m/>
    <d v="1899-12-30T07:30:00"/>
    <d v="1899-12-30T17:00:00"/>
    <n v="9.5"/>
    <s v="Completed"/>
    <m/>
  </r>
  <r>
    <s v="Electrical"/>
    <x v="7"/>
    <x v="11"/>
    <m/>
    <m/>
    <m/>
    <m/>
    <m/>
    <m/>
    <m/>
    <d v="1899-12-30T07:30:00"/>
    <d v="1899-12-30T17:00:00"/>
    <n v="9.5"/>
    <m/>
    <m/>
  </r>
  <r>
    <s v="Electrical"/>
    <x v="7"/>
    <x v="12"/>
    <s v="Generator"/>
    <s v="GEN45-005"/>
    <s v="Exciter rotor &amp; field winding removing"/>
    <d v="2025-12-10T00:00:00"/>
    <d v="2025-12-10T00:00:00"/>
    <d v="2025-12-10T00:00:00"/>
    <m/>
    <d v="1899-12-30T13:00:00"/>
    <d v="1899-12-30T17:00:00"/>
    <n v="4.0000000000000018"/>
    <s v="Completed"/>
    <m/>
  </r>
  <r>
    <s v="Electrical"/>
    <x v="7"/>
    <x v="11"/>
    <m/>
    <m/>
    <m/>
    <m/>
    <m/>
    <m/>
    <m/>
    <d v="1899-12-30T13:00:00"/>
    <d v="1899-12-30T17:00:00"/>
    <n v="4.0000000000000018"/>
    <m/>
    <m/>
  </r>
  <r>
    <s v="Electrical"/>
    <x v="7"/>
    <x v="13"/>
    <s v="Other"/>
    <s v="BFM355-008"/>
    <s v="HDP welding nocting, 3units inspection &amp; repair"/>
    <d v="2025-12-09T00:00:00"/>
    <d v="2025-12-10T00:00:00"/>
    <d v="2025-12-10T00:00:00"/>
    <m/>
    <d v="1899-12-30T07:30:00"/>
    <d v="1899-12-30T16:30:00"/>
    <n v="9"/>
    <s v="Completed"/>
    <m/>
  </r>
  <r>
    <s v="Electrical"/>
    <x v="7"/>
    <x v="14"/>
    <s v="Borehole pump"/>
    <s v="Old BH pump 2.2kw"/>
    <s v="4nos cable joints &amp; water testing"/>
    <d v="2025-12-09T00:00:00"/>
    <d v="2025-12-10T00:00:00"/>
    <d v="2025-12-10T00:00:00"/>
    <m/>
    <d v="1899-12-30T07:30:00"/>
    <d v="1899-12-30T12:00:00"/>
    <n v="4.5"/>
    <s v="Completed"/>
    <m/>
  </r>
  <r>
    <s v="Electrical"/>
    <x v="7"/>
    <x v="24"/>
    <m/>
    <m/>
    <m/>
    <m/>
    <m/>
    <m/>
    <m/>
    <d v="1899-12-30T07:30:00"/>
    <d v="1899-12-30T12:00:00"/>
    <n v="4.5"/>
    <m/>
    <m/>
  </r>
  <r>
    <s v="Electrical"/>
    <x v="7"/>
    <x v="17"/>
    <s v="Submersible pump"/>
    <s v="SM530-563"/>
    <s v="Rotor repair &amp; assembling"/>
    <d v="2025-12-10T00:00:00"/>
    <d v="2025-12-10T00:00:00"/>
    <d v="2025-12-10T00:00:00"/>
    <m/>
    <d v="1899-12-30T07:30:00"/>
    <d v="1899-12-30T16:30:00"/>
    <n v="9"/>
    <s v="Completed"/>
    <m/>
  </r>
  <r>
    <s v="Electrical"/>
    <x v="7"/>
    <x v="17"/>
    <s v="Submersible pump"/>
    <s v="SM530-617"/>
    <s v="Rotor repair &amp; assembling"/>
    <d v="2025-12-10T00:00:00"/>
    <d v="2025-12-11T00:00:00"/>
    <m/>
    <m/>
    <d v="1899-12-30T11:00:00"/>
    <d v="1899-12-30T16:00:00"/>
    <n v="5"/>
    <s v="Ongoing"/>
    <m/>
  </r>
  <r>
    <s v="Bay 4&amp;5 - _x000a_Pumps"/>
    <x v="7"/>
    <x v="18"/>
    <s v="Other"/>
    <s v="General work"/>
    <s v="General work &amp; system work"/>
    <d v="2025-12-10T00:00:00"/>
    <d v="2025-12-10T00:00:00"/>
    <d v="2025-12-10T00:00:00"/>
    <m/>
    <d v="1899-12-30T07:30:00"/>
    <d v="1899-12-30T16:30:00"/>
    <n v="9"/>
    <s v="Completed"/>
    <m/>
  </r>
  <r>
    <s v="Bay 4&amp;5 - _x000a_Pumps"/>
    <x v="7"/>
    <x v="20"/>
    <s v="Diesel Driven CP Pump"/>
    <s v="CD300M-033"/>
    <s v="Water testing &amp; removing from bay,washing &amp; vernior control installation"/>
    <d v="2025-12-10T00:00:00"/>
    <d v="2025-12-15T00:00:00"/>
    <d v="2025-12-10T00:00:00"/>
    <m/>
    <d v="1899-12-30T08:00:00"/>
    <d v="1899-12-30T17:00:00"/>
    <n v="9.0000000000000018"/>
    <s v="Completed"/>
    <m/>
  </r>
  <r>
    <s v="Bay 4&amp;5 - _x000a_Pumps"/>
    <x v="7"/>
    <x v="21"/>
    <m/>
    <m/>
    <m/>
    <m/>
    <m/>
    <m/>
    <m/>
    <d v="1899-12-30T08:00:00"/>
    <d v="1899-12-30T17:00:00"/>
    <n v="9.0000000000000018"/>
    <m/>
    <m/>
  </r>
  <r>
    <s v="Bay 4&amp;5 - _x000a_Pumps"/>
    <x v="7"/>
    <x v="19"/>
    <s v="Diesel Driven CP Pump"/>
    <s v="AC825-05"/>
    <s v="Each muffler piping installation"/>
    <d v="2025-12-10T00:00:00"/>
    <d v="2025-12-20T00:00:00"/>
    <d v="2025-12-10T00:00:00"/>
    <m/>
    <d v="1899-12-30T07:30:00"/>
    <d v="1899-12-30T16:30:00"/>
    <n v="9"/>
    <s v="Completed"/>
    <m/>
  </r>
  <r>
    <s v="Bay 4&amp;5 - _x000a_Pumps"/>
    <x v="7"/>
    <x v="25"/>
    <m/>
    <m/>
    <m/>
    <m/>
    <m/>
    <m/>
    <m/>
    <d v="1899-12-30T07:30:00"/>
    <d v="1899-12-30T14:00:00"/>
    <n v="6.5000000000000009"/>
    <m/>
    <m/>
  </r>
  <r>
    <s v="Bay 4&amp;5 - _x000a_Pumps"/>
    <x v="7"/>
    <x v="25"/>
    <s v="Diesel Driven CP Pump"/>
    <s v="CD300M-03"/>
    <s v="Final fitting"/>
    <d v="2025-12-10T00:00:00"/>
    <d v="2025-12-10T00:00:00"/>
    <d v="2025-12-10T00:00:00"/>
    <m/>
    <d v="1899-12-30T14:00:00"/>
    <d v="1899-12-30T16:30:00"/>
    <n v="2.4999999999999991"/>
    <s v="Completed"/>
    <m/>
  </r>
  <r>
    <s v="Bay 4&amp;5 - _x000a_Pumps"/>
    <x v="8"/>
    <x v="0"/>
    <s v="Contractor dewatering Pump"/>
    <s v="CP150-569/814/783"/>
    <s v="Vaccum pump repair"/>
    <d v="2025-12-10T00:00:00"/>
    <d v="2025-12-11T00:00:00"/>
    <d v="2025-12-11T00:00:00"/>
    <m/>
    <d v="1899-12-30T08:00:00"/>
    <d v="1899-12-30T18:00:00"/>
    <n v="10"/>
    <s v="Completed"/>
    <m/>
  </r>
  <r>
    <s v="Bay 4&amp;5 - _x000a_Pumps"/>
    <x v="8"/>
    <x v="2"/>
    <m/>
    <m/>
    <m/>
    <m/>
    <m/>
    <m/>
    <m/>
    <d v="1899-12-30T07:30:00"/>
    <d v="1899-12-30T08:30:00"/>
    <n v="1.0000000000000004"/>
    <m/>
    <m/>
  </r>
  <r>
    <s v="Bay 4&amp;5 - _x000a_Pumps"/>
    <x v="8"/>
    <x v="5"/>
    <s v="Contractor dewatering Pump"/>
    <s v="CP150-396"/>
    <s v="New engine fitting on pump alignment, external parts fittings."/>
    <d v="2025-12-09T00:00:00"/>
    <d v="2025-12-11T00:00:00"/>
    <d v="2025-12-11T00:00:00"/>
    <m/>
    <d v="1899-12-30T08:00:00"/>
    <d v="1899-12-30T19:00:00"/>
    <n v="11"/>
    <s v="Completed"/>
    <m/>
  </r>
  <r>
    <s v="Bay 4&amp;5 - _x000a_Pumps"/>
    <x v="8"/>
    <x v="2"/>
    <m/>
    <m/>
    <m/>
    <m/>
    <m/>
    <m/>
    <m/>
    <d v="1899-12-30T08:30:00"/>
    <d v="1899-12-30T09:30:00"/>
    <n v="0.99999999999999911"/>
    <m/>
    <m/>
  </r>
  <r>
    <s v="Bay 4&amp;5 - _x000a_Pumps"/>
    <x v="8"/>
    <x v="3"/>
    <s v="Contractor dewatering Pump"/>
    <s v="CP150-574"/>
    <s v="Engine reapir &amp; water test failed,engine flywheel seal leakage,"/>
    <d v="2025-12-08T00:00:00"/>
    <d v="2025-12-11T00:00:00"/>
    <d v="2025-12-11T00:00:00"/>
    <m/>
    <d v="1899-12-30T07:30:00"/>
    <d v="1899-12-30T11:30:00"/>
    <n v="4"/>
    <s v="Completed"/>
    <m/>
  </r>
  <r>
    <s v="Bay 4&amp;5 - _x000a_Pumps"/>
    <x v="8"/>
    <x v="2"/>
    <m/>
    <m/>
    <m/>
    <m/>
    <m/>
    <m/>
    <m/>
    <d v="1899-12-30T09:30:00"/>
    <d v="1899-12-30T11:30:00"/>
    <n v="2.0000000000000009"/>
    <m/>
    <m/>
  </r>
  <r>
    <s v="Bay 4&amp;5 - _x000a_Pumps"/>
    <x v="8"/>
    <x v="4"/>
    <s v="Contractor dewatering Pump"/>
    <s v="PT175-521"/>
    <s v="Engine repair &amp; assembling "/>
    <d v="2025-12-10T00:00:00"/>
    <d v="2025-12-11T00:00:00"/>
    <d v="2025-12-11T00:00:00"/>
    <m/>
    <d v="1899-12-30T08:00:00"/>
    <d v="1899-12-30T19:00:00"/>
    <n v="11"/>
    <s v="Completed"/>
    <m/>
  </r>
  <r>
    <s v="Bay 4&amp;5 - _x000a_Pumps"/>
    <x v="8"/>
    <x v="2"/>
    <m/>
    <m/>
    <m/>
    <m/>
    <m/>
    <m/>
    <m/>
    <d v="1899-12-30T11:30:00"/>
    <d v="1899-12-30T12:00:00"/>
    <n v="0.49999999999999956"/>
    <m/>
    <m/>
  </r>
  <r>
    <s v="Bay 4&amp;5 - _x000a_Pumps"/>
    <x v="8"/>
    <x v="28"/>
    <s v="Contractor dewatering Pump"/>
    <s v="CP150-514"/>
    <s v="Pump assembling, float repair, vaccum oil tank clean, oil change"/>
    <d v="2025-12-10T00:00:00"/>
    <d v="2025-12-11T00:00:00"/>
    <d v="2025-12-11T00:00:00"/>
    <m/>
    <d v="1899-12-30T07:30:00"/>
    <d v="1899-12-30T18:30:00"/>
    <n v="11"/>
    <s v="Completed"/>
    <m/>
  </r>
  <r>
    <s v="Bay 4&amp;5 - _x000a_Pumps"/>
    <x v="8"/>
    <x v="2"/>
    <m/>
    <m/>
    <m/>
    <m/>
    <m/>
    <m/>
    <m/>
    <d v="1899-12-30T13:00:00"/>
    <d v="1899-12-30T14:00:00"/>
    <n v="1.0000000000000018"/>
    <m/>
    <m/>
  </r>
  <r>
    <s v="Bay 4&amp;5 - _x000a_Pumps"/>
    <x v="8"/>
    <x v="1"/>
    <s v="Contractor dewatering Pump"/>
    <s v="PT175-521"/>
    <s v="Pump dismantle &amp; prepare for assemble"/>
    <d v="2025-12-08T00:00:00"/>
    <d v="2025-12-11T00:00:00"/>
    <d v="2025-12-11T00:00:00"/>
    <m/>
    <d v="1899-12-30T08:30:00"/>
    <d v="1899-12-30T18:30:00"/>
    <n v="10"/>
    <s v="Completed"/>
    <m/>
  </r>
  <r>
    <s v="Bay 4&amp;5 - _x000a_Pumps"/>
    <x v="8"/>
    <x v="2"/>
    <s v="Other"/>
    <s v="System work "/>
    <s v="System work for work orders &amp; IDT"/>
    <d v="2025-12-11T00:00:00"/>
    <d v="2025-12-11T00:00:00"/>
    <d v="2025-12-11T00:00:00"/>
    <m/>
    <d v="1899-12-30T14:00:00"/>
    <d v="1899-12-30T17:00:00"/>
    <n v="3"/>
    <s v="Completed"/>
    <m/>
  </r>
  <r>
    <s v="Bay 6 -_x000a_Generator"/>
    <x v="8"/>
    <x v="23"/>
    <s v="Tank"/>
    <s v="BFT3-305"/>
    <s v="Hose fitting"/>
    <d v="2025-11-27T00:00:00"/>
    <d v="2025-12-11T00:00:00"/>
    <d v="2025-12-11T00:00:00"/>
    <m/>
    <d v="1899-12-30T07:30:00"/>
    <d v="1899-12-30T08:30:00"/>
    <n v="1.0000000000000004"/>
    <s v="Completed"/>
    <m/>
  </r>
  <r>
    <s v="Bay 6 -_x000a_Generator"/>
    <x v="8"/>
    <x v="23"/>
    <s v="Tank"/>
    <s v="BFT3-309/330/325"/>
    <s v="Main cover removing, NRV checking, Hose &amp; fittings fixing"/>
    <d v="2025-12-11T00:00:00"/>
    <d v="2025-12-11T00:00:00"/>
    <d v="2025-12-11T00:00:00"/>
    <m/>
    <d v="1899-12-30T08:30:00"/>
    <d v="1899-12-30T16:30:00"/>
    <n v="8"/>
    <s v="Completed"/>
    <m/>
  </r>
  <r>
    <s v="Bay 6 -_x000a_Generator"/>
    <x v="8"/>
    <x v="32"/>
    <m/>
    <m/>
    <m/>
    <m/>
    <m/>
    <m/>
    <m/>
    <d v="1899-12-30T07:30:00"/>
    <d v="1899-12-30T16:30:00"/>
    <n v="9"/>
    <m/>
    <m/>
  </r>
  <r>
    <s v="Bay 6 -_x000a_Generator"/>
    <x v="8"/>
    <x v="7"/>
    <s v="Drill rig"/>
    <s v="ABI-001"/>
    <s v="Reapir on site"/>
    <d v="2025-12-11T00:00:00"/>
    <d v="2025-12-11T00:00:00"/>
    <d v="2025-12-11T00:00:00"/>
    <m/>
    <d v="1899-12-30T08:00:00"/>
    <d v="1899-12-30T12:30:00"/>
    <n v="4.5000000000000018"/>
    <s v="Completed"/>
    <m/>
  </r>
  <r>
    <s v="Bay 6 -_x000a_Generator"/>
    <x v="8"/>
    <x v="7"/>
    <s v="Generator"/>
    <s v="GEN30-020"/>
    <s v="Repair on site"/>
    <d v="2025-12-11T00:00:00"/>
    <d v="2025-12-11T00:00:00"/>
    <d v="2025-12-11T00:00:00"/>
    <m/>
    <d v="1899-12-30T14:00:00"/>
    <d v="1899-12-30T16:30:00"/>
    <n v="2.4999999999999991"/>
    <s v="Completed"/>
    <m/>
  </r>
  <r>
    <s v="Electrical"/>
    <x v="8"/>
    <x v="8"/>
    <s v="Tank"/>
    <s v="WOT-012"/>
    <s v="Waste tank sensor installation"/>
    <d v="2025-12-11T00:00:00"/>
    <d v="2025-12-11T00:00:00"/>
    <d v="2025-12-11T00:00:00"/>
    <m/>
    <d v="1899-12-30T08:00:00"/>
    <d v="1899-12-30T12:00:00"/>
    <n v="4"/>
    <s v="Completed"/>
    <m/>
  </r>
  <r>
    <s v="Electrical"/>
    <x v="8"/>
    <x v="8"/>
    <s v="Other"/>
    <s v="BT20-113"/>
    <s v="General work for SS"/>
    <d v="2025-12-11T00:00:00"/>
    <d v="2025-12-11T00:00:00"/>
    <d v="2025-12-11T00:00:00"/>
    <m/>
    <d v="1899-12-30T13:00:00"/>
    <d v="1899-12-30T17:00:00"/>
    <n v="4.0000000000000018"/>
    <s v="Completed"/>
    <m/>
  </r>
  <r>
    <s v="Electrical"/>
    <x v="8"/>
    <x v="9"/>
    <s v="Other"/>
    <s v="General work"/>
    <s v="Panel section wiring &amp; ss work"/>
    <d v="2025-12-11T00:00:00"/>
    <d v="2025-12-11T00:00:00"/>
    <d v="2025-12-11T00:00:00"/>
    <m/>
    <d v="1899-12-30T08:00:00"/>
    <d v="1899-12-30T17:00:00"/>
    <n v="9.0000000000000018"/>
    <s v="Completed"/>
    <m/>
  </r>
  <r>
    <s v="Electrical"/>
    <x v="8"/>
    <x v="12"/>
    <s v="Generator"/>
    <s v="GEN45-005"/>
    <s v="Exciter rotor &amp; field winding removing"/>
    <d v="2025-12-11T00:00:00"/>
    <d v="2025-12-12T00:00:00"/>
    <m/>
    <m/>
    <d v="1899-12-30T07:30:00"/>
    <d v="1899-12-30T17:00:00"/>
    <n v="9.5"/>
    <s v="Ongoing"/>
    <m/>
  </r>
  <r>
    <s v="Electrical"/>
    <x v="8"/>
    <x v="11"/>
    <m/>
    <m/>
    <m/>
    <m/>
    <m/>
    <m/>
    <m/>
    <d v="1899-12-30T07:30:00"/>
    <d v="1899-12-30T13:00:00"/>
    <n v="5.4999999999999991"/>
    <m/>
    <m/>
  </r>
  <r>
    <s v="Electrical"/>
    <x v="8"/>
    <x v="13"/>
    <s v="Other"/>
    <s v="BFM355-008"/>
    <s v="HDP welding nocting, 2units inspection &amp; repair"/>
    <d v="2025-12-09T00:00:00"/>
    <d v="2025-12-11T00:00:00"/>
    <d v="2025-12-11T00:00:00"/>
    <m/>
    <d v="1899-12-30T07:30:00"/>
    <d v="1899-12-30T16:30:00"/>
    <n v="9"/>
    <s v="Completed"/>
    <m/>
  </r>
  <r>
    <s v="Electrical"/>
    <x v="8"/>
    <x v="24"/>
    <s v="Borehole pump"/>
    <s v="New BH pump 7.5kw"/>
    <s v="13nos new B:h pumps inspection &amp; fleet socket 32A"/>
    <d v="2025-12-11T00:00:00"/>
    <d v="2025-12-11T00:00:00"/>
    <d v="2025-12-11T00:00:00"/>
    <m/>
    <d v="1899-12-30T08:00:00"/>
    <d v="1899-12-30T13:00:00"/>
    <n v="5"/>
    <s v="Completed"/>
    <m/>
  </r>
  <r>
    <s v="Electrical"/>
    <x v="8"/>
    <x v="17"/>
    <s v="Submersible pump"/>
    <s v="SM530-617"/>
    <s v="Rotor repair &amp; assembling"/>
    <d v="2025-12-10T00:00:00"/>
    <d v="2025-12-10T00:00:00"/>
    <d v="2025-12-11T00:00:00"/>
    <m/>
    <d v="1899-12-30T07:30:00"/>
    <d v="1899-12-30T16:00:00"/>
    <n v="8.5"/>
    <s v="Completed"/>
    <m/>
  </r>
  <r>
    <s v="Electrical"/>
    <x v="8"/>
    <x v="14"/>
    <s v="Submersible pump"/>
    <s v="SM1002-276"/>
    <s v="Inspection &amp; dismantling"/>
    <d v="2025-12-11T00:00:00"/>
    <d v="2025-12-11T00:00:00"/>
    <d v="2025-12-11T00:00:00"/>
    <m/>
    <d v="1899-12-30T07:30:00"/>
    <d v="1899-12-30T16:00:00"/>
    <n v="8.5"/>
    <s v="Completed"/>
    <m/>
  </r>
  <r>
    <s v="Electrical"/>
    <x v="8"/>
    <x v="11"/>
    <s v="Generator"/>
    <s v="GENJ135-003"/>
    <s v="Inspection, servicing &amp; assemble"/>
    <d v="2025-12-11T00:00:00"/>
    <d v="2025-12-12T00:00:00"/>
    <m/>
    <m/>
    <d v="1899-12-30T13:00:00"/>
    <d v="1899-12-30T16:30:00"/>
    <n v="3.5000000000000009"/>
    <s v="Ongoing"/>
    <m/>
  </r>
  <r>
    <s v="Electrical"/>
    <x v="8"/>
    <x v="24"/>
    <s v="Submersible pump"/>
    <s v="New BH pump 7.5kw"/>
    <s v="13nos new B:h pumps inspection &amp; fleet socket 32A"/>
    <d v="2025-12-11T00:00:00"/>
    <d v="2025-12-12T00:00:00"/>
    <m/>
    <m/>
    <d v="1899-12-30T13:00:00"/>
    <d v="1899-12-30T17:00:00"/>
    <n v="4.0000000000000018"/>
    <s v="Ongoing"/>
    <m/>
  </r>
  <r>
    <s v="Bay 4&amp;5 - _x000a_Pumps"/>
    <x v="8"/>
    <x v="18"/>
    <s v="Other"/>
    <s v="General work"/>
    <s v="General work &amp; system work"/>
    <d v="2025-12-11T00:00:00"/>
    <d v="2025-12-11T00:00:00"/>
    <m/>
    <m/>
    <d v="1899-12-30T08:00:00"/>
    <d v="1899-12-30T17:00:00"/>
    <n v="9.0000000000000018"/>
    <s v="Completed"/>
    <m/>
  </r>
  <r>
    <s v="Bay 4&amp;5 - _x000a_Pumps"/>
    <x v="8"/>
    <x v="20"/>
    <s v="Diesel Driven CP Pump"/>
    <s v="CD300M-033"/>
    <s v="Water testing &amp; removing from bay,washing &amp; vernior control installation"/>
    <d v="2025-12-11T00:00:00"/>
    <d v="2025-12-12T00:00:00"/>
    <m/>
    <m/>
    <d v="1899-12-30T08:00:00"/>
    <d v="1899-12-30T17:00:00"/>
    <n v="9.0000000000000018"/>
    <s v="Completed"/>
    <m/>
  </r>
  <r>
    <s v="Bay 4&amp;5 - _x000a_Pumps"/>
    <x v="8"/>
    <x v="21"/>
    <m/>
    <m/>
    <m/>
    <m/>
    <m/>
    <m/>
    <m/>
    <d v="1899-12-30T08:00:00"/>
    <d v="1899-12-30T17:00:00"/>
    <n v="9.0000000000000018"/>
    <m/>
    <m/>
  </r>
  <r>
    <s v="Bay 4&amp;5 - _x000a_Pumps"/>
    <x v="8"/>
    <x v="19"/>
    <s v="Diesel Driven CP Pump"/>
    <s v="CP1212-001"/>
    <s v="vaccum pump overhauling"/>
    <d v="2025-12-11T00:00:00"/>
    <d v="2025-12-12T00:00:00"/>
    <m/>
    <m/>
    <d v="1899-12-30T07:30:00"/>
    <d v="1899-12-30T12:00:00"/>
    <n v="4.5"/>
    <s v="Completed"/>
    <m/>
  </r>
  <r>
    <s v="Bay 4&amp;5 - _x000a_Pumps"/>
    <x v="8"/>
    <x v="19"/>
    <s v="Diesel Driven CP Pump"/>
    <s v="CP1212517-26"/>
    <s v="vaccum pump overhauling"/>
    <d v="2025-12-11T00:00:00"/>
    <d v="2025-12-12T00:00:00"/>
    <m/>
    <m/>
    <d v="1899-12-30T13:00:00"/>
    <d v="1899-12-30T16:30:00"/>
    <n v="3.5000000000000009"/>
    <s v="Completed"/>
    <m/>
  </r>
  <r>
    <s v="Bay 4&amp;5 - _x000a_Pumps"/>
    <x v="9"/>
    <x v="0"/>
    <s v="Contractor dewatering Pump"/>
    <s v="CP150X3"/>
    <s v="Vaccum pump repair"/>
    <d v="2025-12-12T00:00:00"/>
    <d v="2025-12-12T00:00:00"/>
    <d v="2025-12-12T00:00:00"/>
    <m/>
    <d v="1899-12-30T08:00:00"/>
    <d v="1899-12-30T18:00:00"/>
    <n v="10"/>
    <s v="Completed"/>
    <m/>
  </r>
  <r>
    <s v="Bay 4&amp;5 - _x000a_Pumps"/>
    <x v="9"/>
    <x v="2"/>
    <m/>
    <m/>
    <m/>
    <m/>
    <m/>
    <m/>
    <m/>
    <d v="1899-12-30T07:30:00"/>
    <d v="1899-12-30T08:30:00"/>
    <n v="1.0000000000000004"/>
    <m/>
    <m/>
  </r>
  <r>
    <s v="Bay 4&amp;5 - _x000a_Pumps"/>
    <x v="9"/>
    <x v="5"/>
    <s v="Contractor dewatering Pump"/>
    <s v="CP150-832"/>
    <s v="Pump water test &amp; repair"/>
    <d v="2025-12-09T00:00:00"/>
    <d v="2025-12-12T00:00:00"/>
    <d v="2025-12-12T00:00:00"/>
    <m/>
    <d v="1899-12-30T13:00:00"/>
    <d v="1899-12-30T19:00:00"/>
    <n v="6"/>
    <s v="Completed"/>
    <m/>
  </r>
  <r>
    <s v="Bay 4&amp;5 - _x000a_Pumps"/>
    <x v="9"/>
    <x v="2"/>
    <m/>
    <m/>
    <m/>
    <m/>
    <m/>
    <m/>
    <m/>
    <d v="1899-12-30T08:30:00"/>
    <d v="1899-12-30T09:30:00"/>
    <n v="0.99999999999999911"/>
    <m/>
    <m/>
  </r>
  <r>
    <s v="Bay 4&amp;5 - _x000a_Pumps"/>
    <x v="9"/>
    <x v="3"/>
    <s v="Contractor dewatering Pump"/>
    <s v="CP150-574"/>
    <s v="Oil sump repair, bearing check &amp; seal change, engine fitting with frame &amp; test."/>
    <d v="2025-12-08T00:00:00"/>
    <d v="2025-12-12T00:00:00"/>
    <d v="2025-12-12T00:00:00"/>
    <m/>
    <d v="1899-12-30T07:30:00"/>
    <d v="1899-12-30T16:30:00"/>
    <n v="9"/>
    <s v="Completed"/>
    <m/>
  </r>
  <r>
    <s v="Bay 4&amp;5 - _x000a_Pumps"/>
    <x v="9"/>
    <x v="2"/>
    <m/>
    <m/>
    <m/>
    <m/>
    <m/>
    <m/>
    <m/>
    <d v="1899-12-30T09:30:00"/>
    <d v="1899-12-30T10:30:00"/>
    <n v="1.0000000000000004"/>
    <m/>
    <m/>
  </r>
  <r>
    <s v="Bay 4&amp;5 - _x000a_Pumps"/>
    <x v="9"/>
    <x v="4"/>
    <s v="Contractor dewatering Pump"/>
    <s v="PT175-521"/>
    <s v="Engine repair &amp; assembling ongoing"/>
    <d v="2025-12-12T00:00:00"/>
    <d v="2025-12-12T00:00:00"/>
    <d v="2025-12-12T00:00:00"/>
    <m/>
    <d v="1899-12-30T08:00:00"/>
    <d v="1899-12-30T10:00:00"/>
    <n v="2.0000000000000009"/>
    <s v="Completed"/>
    <m/>
  </r>
  <r>
    <s v="Bay 4&amp;5 - _x000a_Pumps"/>
    <x v="9"/>
    <x v="2"/>
    <m/>
    <m/>
    <m/>
    <m/>
    <m/>
    <m/>
    <m/>
    <d v="1899-12-30T10:30:00"/>
    <d v="1899-12-30T11:00:00"/>
    <n v="0.49999999999999956"/>
    <m/>
    <m/>
  </r>
  <r>
    <s v="Bay 4&amp;5 - _x000a_Pumps"/>
    <x v="9"/>
    <x v="28"/>
    <s v="Contractor dewatering Pump"/>
    <s v="CP150-813"/>
    <s v="Pump assembling, float repair, vaccum oil tank clean, oil change, manifold change,"/>
    <d v="2025-12-12T00:00:00"/>
    <d v="2025-12-12T00:00:00"/>
    <d v="2025-12-12T00:00:00"/>
    <m/>
    <d v="1899-12-30T07:30:00"/>
    <d v="1899-12-30T18:30:00"/>
    <n v="11"/>
    <s v="Completed"/>
    <m/>
  </r>
  <r>
    <s v="Bay 4&amp;5 - _x000a_Pumps"/>
    <x v="9"/>
    <x v="2"/>
    <m/>
    <m/>
    <m/>
    <m/>
    <m/>
    <m/>
    <m/>
    <d v="1899-12-30T11:00:00"/>
    <d v="1899-12-30T12:00:00"/>
    <n v="1.0000000000000004"/>
    <m/>
    <m/>
  </r>
  <r>
    <s v="Bay 4&amp;5 - _x000a_Pumps"/>
    <x v="9"/>
    <x v="1"/>
    <s v="Contractor dewatering Pump"/>
    <s v="PT175-521"/>
    <s v="Pump dismantle &amp; prepare for assemble ongoing"/>
    <d v="2025-12-11T00:00:00"/>
    <d v="2025-12-14T00:00:00"/>
    <m/>
    <m/>
    <d v="1899-12-30T07:30:00"/>
    <d v="1899-12-30T18:30:00"/>
    <n v="11"/>
    <s v="Completed"/>
    <m/>
  </r>
  <r>
    <s v="Bay 4&amp;5 - _x000a_Pumps"/>
    <x v="9"/>
    <x v="2"/>
    <s v="Contractor dewatering Pump"/>
    <s v="CP150V-001"/>
    <s v="Final fitting, PDI, flowfinity, hose repair."/>
    <d v="2025-12-12T00:00:00"/>
    <d v="2025-12-12T00:00:00"/>
    <m/>
    <m/>
    <d v="1899-12-30T13:00:00"/>
    <d v="1899-12-30T15:00:00"/>
    <n v="2.0000000000000009"/>
    <s v="Completed"/>
    <m/>
  </r>
  <r>
    <s v="Bay 4&amp;5 - _x000a_Pumps"/>
    <x v="9"/>
    <x v="2"/>
    <s v="Other"/>
    <s v="System work "/>
    <s v="System work for work orders &amp; IDT"/>
    <d v="2025-12-12T00:00:00"/>
    <d v="2025-12-12T00:00:00"/>
    <m/>
    <m/>
    <d v="1899-12-30T15:00:00"/>
    <d v="1899-12-30T18:00:00"/>
    <n v="3"/>
    <s v="Completed"/>
    <m/>
  </r>
  <r>
    <s v="Bay 6 -_x000a_Generator"/>
    <x v="9"/>
    <x v="23"/>
    <s v="Tank"/>
    <s v="BFT3-121"/>
    <s v="Hose &amp; fittings Final fitting "/>
    <d v="2025-12-09T00:00:00"/>
    <d v="2025-12-12T00:00:00"/>
    <d v="2025-12-12T00:00:00"/>
    <m/>
    <d v="1899-12-30T07:30:00"/>
    <d v="1899-12-30T10:30:00"/>
    <n v="3"/>
    <s v="Completed"/>
    <m/>
  </r>
  <r>
    <s v="Bay 6 -_x000a_Generator"/>
    <x v="9"/>
    <x v="32"/>
    <m/>
    <m/>
    <m/>
    <m/>
    <m/>
    <m/>
    <m/>
    <d v="1899-12-30T07:30:00"/>
    <d v="1899-12-30T10:30:00"/>
    <n v="3"/>
    <m/>
    <m/>
  </r>
  <r>
    <s v="Bay 6 -_x000a_Generator"/>
    <x v="9"/>
    <x v="23"/>
    <s v="Generator"/>
    <s v="GEN150-021"/>
    <s v="Fuel pump &amp; injector removing,"/>
    <d v="2025-12-12T00:00:00"/>
    <d v="2025-12-12T00:00:00"/>
    <d v="2025-12-12T00:00:00"/>
    <m/>
    <d v="1899-12-30T10:30:00"/>
    <d v="1899-12-30T14:30:00"/>
    <n v="3.9999999999999991"/>
    <s v="Completed"/>
    <m/>
  </r>
  <r>
    <s v="Bay 6 -_x000a_Generator"/>
    <x v="9"/>
    <x v="32"/>
    <m/>
    <m/>
    <m/>
    <m/>
    <m/>
    <m/>
    <m/>
    <d v="1899-12-30T10:30:00"/>
    <d v="1899-12-30T14:30:00"/>
    <n v="3.9999999999999991"/>
    <m/>
    <m/>
  </r>
  <r>
    <s v="Bay 6 -_x000a_Generator"/>
    <x v="9"/>
    <x v="23"/>
    <s v="Generator"/>
    <s v="GEN20-002"/>
    <s v="Load test, CT coil failure"/>
    <d v="2025-12-12T00:00:00"/>
    <d v="2025-12-12T00:00:00"/>
    <d v="2025-12-12T00:00:00"/>
    <m/>
    <d v="1899-12-30T14:30:00"/>
    <d v="1899-12-30T16:30:00"/>
    <n v="2.0000000000000009"/>
    <s v="Completed"/>
    <m/>
  </r>
  <r>
    <s v="Bay 6 -_x000a_Generator"/>
    <x v="9"/>
    <x v="32"/>
    <m/>
    <m/>
    <m/>
    <m/>
    <m/>
    <m/>
    <m/>
    <d v="1899-12-30T14:30:00"/>
    <d v="1899-12-30T16:30:00"/>
    <n v="2.0000000000000009"/>
    <m/>
    <m/>
  </r>
  <r>
    <s v="Bay 6 -_x000a_Generator"/>
    <x v="9"/>
    <x v="7"/>
    <s v="Generator"/>
    <s v="GEN135-013"/>
    <s v="Ac alternator removing, crank shaft oil seal work, fuel tank cleaning,"/>
    <d v="2025-12-12T00:00:00"/>
    <d v="2025-12-12T00:00:00"/>
    <d v="2025-12-12T00:00:00"/>
    <m/>
    <d v="1899-12-30T07:30:00"/>
    <d v="1899-12-30T16:30:00"/>
    <n v="9"/>
    <s v="Completed"/>
    <m/>
  </r>
  <r>
    <s v="Electrical"/>
    <x v="9"/>
    <x v="8"/>
    <s v="Other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s v="Completed"/>
    <m/>
  </r>
  <r>
    <s v="Electrical"/>
    <x v="9"/>
    <x v="9"/>
    <s v="Other"/>
    <s v="General work"/>
    <s v="General work stock labeling &amp; paint for SS"/>
    <d v="2025-12-12T00:00:00"/>
    <d v="2025-12-12T00:00:00"/>
    <d v="2025-12-12T00:00:00"/>
    <m/>
    <d v="1899-12-30T08:00:00"/>
    <d v="1899-12-30T17:00:00"/>
    <n v="9.0000000000000018"/>
    <s v="Completed"/>
    <m/>
  </r>
  <r>
    <s v="Electrical"/>
    <x v="9"/>
    <x v="12"/>
    <s v="Generator"/>
    <s v="GEN45-005"/>
    <s v="Exciter rotor &amp; field rewinding"/>
    <d v="2025-12-11T00:00:00"/>
    <d v="2025-12-12T00:00:00"/>
    <m/>
    <m/>
    <d v="1899-12-30T07:30:00"/>
    <d v="1899-12-30T17:00:00"/>
    <n v="9.5"/>
    <s v="Ongoing"/>
    <m/>
  </r>
  <r>
    <s v="Electrical"/>
    <x v="9"/>
    <x v="13"/>
    <m/>
    <m/>
    <m/>
    <m/>
    <m/>
    <m/>
    <m/>
    <d v="1899-12-30T10:30:00"/>
    <d v="1899-12-30T17:00:00"/>
    <n v="6.5000000000000009"/>
    <m/>
    <m/>
  </r>
  <r>
    <s v="Electrical"/>
    <x v="9"/>
    <x v="33"/>
    <s v="Generator"/>
    <s v="GENJ135-003"/>
    <s v="Inspection, servicing &amp; assemble"/>
    <d v="2025-12-11T00:00:00"/>
    <d v="2025-12-13T00:00:00"/>
    <m/>
    <m/>
    <d v="1899-12-30T07:30:00"/>
    <d v="1899-12-30T12:00:00"/>
    <n v="4.5"/>
    <s v="Ongoing"/>
    <m/>
  </r>
  <r>
    <s v="Electrical"/>
    <x v="9"/>
    <x v="34"/>
    <m/>
    <m/>
    <m/>
    <m/>
    <m/>
    <m/>
    <m/>
    <d v="1899-12-30T07:30:00"/>
    <d v="1899-12-30T12:00:00"/>
    <n v="4.5"/>
    <m/>
    <m/>
  </r>
  <r>
    <s v="Electrical"/>
    <x v="9"/>
    <x v="33"/>
    <s v="Generator"/>
    <s v="GEN150-021"/>
    <s v="Inspection, servicing &amp; assemble"/>
    <d v="2025-12-12T00:00:00"/>
    <d v="2025-12-13T00:00:00"/>
    <m/>
    <m/>
    <d v="1899-12-30T12:00:00"/>
    <d v="1899-12-30T16:30:00"/>
    <n v="4.5"/>
    <s v="Ongoing"/>
    <m/>
  </r>
  <r>
    <s v="Electrical"/>
    <x v="9"/>
    <x v="34"/>
    <m/>
    <m/>
    <m/>
    <m/>
    <m/>
    <m/>
    <m/>
    <d v="1899-12-30T12:00:00"/>
    <d v="1899-12-30T16:30:00"/>
    <n v="4.5"/>
    <m/>
    <m/>
  </r>
  <r>
    <s v="Electrical"/>
    <x v="9"/>
    <x v="13"/>
    <s v="Generator"/>
    <s v="GENJ250-043"/>
    <s v="Power cable connection"/>
    <d v="2025-12-12T00:00:00"/>
    <d v="2025-12-12T00:00:00"/>
    <d v="2025-12-12T00:00:00"/>
    <m/>
    <d v="1899-12-30T07:30:00"/>
    <d v="1899-12-30T10:30:00"/>
    <n v="3"/>
    <s v="Completed"/>
    <m/>
  </r>
  <r>
    <s v="Electrical"/>
    <x v="9"/>
    <x v="13"/>
    <s v="Generator"/>
    <s v="GEN20-002"/>
    <s v="Coil repairing"/>
    <d v="2025-12-12T00:00:00"/>
    <d v="2025-12-12T00:00:00"/>
    <d v="2025-12-12T00:00:00"/>
    <m/>
    <d v="1899-12-30T03:30:00"/>
    <d v="1899-12-30T04:30:00"/>
    <n v="0.99999999999999978"/>
    <s v="Completed"/>
    <m/>
  </r>
  <r>
    <s v="Electrical"/>
    <x v="9"/>
    <x v="24"/>
    <s v="Borehole pump"/>
    <s v="New BH pump 7.5kw"/>
    <s v="12nos new B:H pumps inspection &amp; fleet socket 32A"/>
    <d v="2025-12-12T00:00:00"/>
    <d v="2025-12-12T00:00:00"/>
    <d v="2025-12-12T00:00:00"/>
    <m/>
    <d v="1899-12-30T08:00:00"/>
    <d v="1899-12-30T13:00:00"/>
    <n v="5"/>
    <s v="Completed"/>
    <m/>
  </r>
  <r>
    <s v="Electrical"/>
    <x v="9"/>
    <x v="17"/>
    <s v="Submersible pump"/>
    <s v="SM530X2"/>
    <s v="Water testing"/>
    <d v="2025-12-12T00:00:00"/>
    <d v="2025-12-12T00:00:00"/>
    <d v="2025-12-12T00:00:00"/>
    <m/>
    <d v="1899-12-30T07:30:00"/>
    <d v="1899-12-30T12:00:00"/>
    <n v="4.5"/>
    <s v="Completed"/>
    <m/>
  </r>
  <r>
    <s v="Electrical"/>
    <x v="9"/>
    <x v="14"/>
    <m/>
    <s v="SM1002X1"/>
    <m/>
    <m/>
    <m/>
    <m/>
    <m/>
    <d v="1899-12-30T07:30:00"/>
    <d v="1899-12-30T12:00:00"/>
    <n v="4.5"/>
    <m/>
    <m/>
  </r>
  <r>
    <s v="Electrical"/>
    <x v="9"/>
    <x v="17"/>
    <s v="Submersible pump"/>
    <s v="SM1002-276"/>
    <s v="Rotor repair &amp; assembling"/>
    <d v="2025-12-12T00:00:00"/>
    <d v="2025-12-12T00:00:00"/>
    <m/>
    <m/>
    <d v="1899-12-30T15:00:00"/>
    <d v="1899-12-30T16:30:00"/>
    <n v="1.5"/>
    <s v="Ongoing"/>
    <m/>
  </r>
  <r>
    <s v="Electrical"/>
    <x v="9"/>
    <x v="14"/>
    <m/>
    <m/>
    <m/>
    <m/>
    <m/>
    <m/>
    <m/>
    <d v="1899-12-30T15:00:00"/>
    <d v="1899-12-30T16:30:00"/>
    <n v="1.5"/>
    <m/>
    <m/>
  </r>
  <r>
    <s v="Bay 4&amp;5 - _x000a_Pumps"/>
    <x v="9"/>
    <x v="18"/>
    <s v="Other"/>
    <s v="General work"/>
    <s v="General work &amp; system work"/>
    <d v="2025-12-12T00:00:00"/>
    <d v="2025-12-12T00:00:00"/>
    <m/>
    <m/>
    <d v="1899-12-30T07:30:00"/>
    <d v="1899-12-30T16:30:00"/>
    <n v="9"/>
    <s v="Completed"/>
    <m/>
  </r>
  <r>
    <s v="Bay 4&amp;5 - _x000a_Pumps"/>
    <x v="9"/>
    <x v="20"/>
    <s v="Diesel Driven CP Pump"/>
    <s v="HL130M-10"/>
    <s v="Exh modification,priming &amp; NRV repairing, fan guard repairing"/>
    <d v="2025-12-12T00:00:00"/>
    <d v="2025-12-20T00:00:00"/>
    <m/>
    <m/>
    <d v="1899-12-30T08:00:00"/>
    <d v="1899-12-30T18:00:00"/>
    <n v="10"/>
    <s v="Completed"/>
    <m/>
  </r>
  <r>
    <s v="Bay 4&amp;5 - _x000a_Pumps"/>
    <x v="9"/>
    <x v="21"/>
    <m/>
    <m/>
    <m/>
    <m/>
    <m/>
    <m/>
    <m/>
    <d v="1899-12-30T08:00:00"/>
    <d v="1899-12-30T18:00:00"/>
    <n v="10"/>
    <m/>
    <m/>
  </r>
  <r>
    <s v="Bay 4&amp;5 - _x000a_Pumps"/>
    <x v="9"/>
    <x v="25"/>
    <s v="Diesel Driven CP Pump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s v="Completed"/>
    <m/>
  </r>
  <r>
    <s v="Bay 4&amp;5 - _x000a_Pumps"/>
    <x v="9"/>
    <x v="19"/>
    <m/>
    <m/>
    <m/>
    <m/>
    <m/>
    <m/>
    <m/>
    <d v="1899-12-30T07:30:00"/>
    <d v="1899-12-30T17:30:00"/>
    <n v="10"/>
    <m/>
    <m/>
  </r>
  <r>
    <s v="Bay 4&amp;5 - _x000a_Pumps"/>
    <x v="9"/>
    <x v="18"/>
    <s v="Diesel Driven CP Pump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s v="Completed"/>
    <m/>
  </r>
  <r>
    <s v="Bay 4&amp;5 - _x000a_Pumps"/>
    <x v="9"/>
    <x v="25"/>
    <m/>
    <m/>
    <m/>
    <m/>
    <m/>
    <m/>
    <m/>
    <d v="1899-12-30T16:00:00"/>
    <d v="1899-12-30T19:00:00"/>
    <n v="3"/>
    <m/>
    <m/>
  </r>
  <r>
    <s v="Bay 4&amp;5 - _x000a_Pumps"/>
    <x v="9"/>
    <x v="18"/>
    <m/>
    <m/>
    <m/>
    <m/>
    <m/>
    <m/>
    <m/>
    <d v="1899-12-30T16:00:00"/>
    <d v="1899-12-30T19:00:00"/>
    <n v="3"/>
    <m/>
    <m/>
  </r>
  <r>
    <s v="Bay 4&amp;5 - _x000a_Pumps"/>
    <x v="10"/>
    <x v="0"/>
    <s v="Contractor dewatering Pump"/>
    <s v="CP150X3"/>
    <s v="Vaccum pump repair"/>
    <d v="2025-12-12T00:00:00"/>
    <d v="2025-12-13T00:00:00"/>
    <m/>
    <m/>
    <d v="1899-12-30T08:00:00"/>
    <d v="1899-12-30T19:00:00"/>
    <n v="11"/>
    <s v="Completed"/>
    <m/>
  </r>
  <r>
    <s v="Bay 4&amp;5 - _x000a_Pumps"/>
    <x v="10"/>
    <x v="2"/>
    <m/>
    <m/>
    <m/>
    <m/>
    <m/>
    <m/>
    <m/>
    <d v="1899-12-30T07:30:00"/>
    <d v="1899-12-30T08:30:00"/>
    <n v="1.0000000000000004"/>
    <m/>
    <m/>
  </r>
  <r>
    <s v="Bay 4&amp;5 - _x000a_Pumps"/>
    <x v="10"/>
    <x v="5"/>
    <s v="Contractor dewatering Pump"/>
    <s v="CP150-832"/>
    <s v="Pump prepapre for assembling"/>
    <d v="2025-12-09T00:00:00"/>
    <d v="2025-12-13T00:00:00"/>
    <m/>
    <m/>
    <d v="1899-12-30T13:00:00"/>
    <d v="1899-12-30T19:00:00"/>
    <n v="6"/>
    <s v="Completed"/>
    <m/>
  </r>
  <r>
    <s v="Bay 4&amp;5 - _x000a_Pumps"/>
    <x v="10"/>
    <x v="2"/>
    <m/>
    <m/>
    <m/>
    <m/>
    <m/>
    <m/>
    <m/>
    <d v="1899-12-30T08:30:00"/>
    <d v="1899-12-30T09:30:00"/>
    <n v="0.99999999999999911"/>
    <m/>
    <m/>
  </r>
  <r>
    <s v="Bay 4&amp;5 - _x000a_Pumps"/>
    <x v="10"/>
    <x v="3"/>
    <s v="Contractor dewatering Pump"/>
    <s v="CP150-574"/>
    <s v="Engine minor repair &amp; test"/>
    <d v="2025-12-08T00:00:00"/>
    <d v="2025-12-13T00:00:00"/>
    <d v="2025-12-13T00:00:00"/>
    <m/>
    <d v="1899-12-30T07:30:00"/>
    <d v="1899-12-30T10:30:00"/>
    <n v="3"/>
    <s v="Completed"/>
    <m/>
  </r>
  <r>
    <s v="Bay 4&amp;5 - _x000a_Pumps"/>
    <x v="10"/>
    <x v="2"/>
    <m/>
    <m/>
    <m/>
    <m/>
    <m/>
    <m/>
    <m/>
    <d v="1899-12-30T09:30:00"/>
    <d v="1899-12-30T10:30:00"/>
    <n v="1.0000000000000004"/>
    <m/>
    <m/>
  </r>
  <r>
    <s v="Bay 4&amp;5 - _x000a_Pumps"/>
    <x v="10"/>
    <x v="4"/>
    <s v="Contractor dewatering Pump"/>
    <s v="PT175-536"/>
    <s v="Engine dismantling &amp; prepare for assembling"/>
    <d v="2025-12-12T00:00:00"/>
    <d v="2025-12-13T00:00:00"/>
    <m/>
    <m/>
    <d v="1899-12-30T08:00:00"/>
    <d v="1899-12-30T19:00:00"/>
    <n v="11"/>
    <s v="Completed"/>
    <m/>
  </r>
  <r>
    <s v="Bay 4&amp;5 - _x000a_Pumps"/>
    <x v="10"/>
    <x v="2"/>
    <m/>
    <m/>
    <m/>
    <m/>
    <m/>
    <m/>
    <m/>
    <d v="1899-12-30T10:30:00"/>
    <d v="1899-12-30T11:00:00"/>
    <n v="0.49999999999999956"/>
    <m/>
    <m/>
  </r>
  <r>
    <s v="Bay 4&amp;5 - _x000a_Pumps"/>
    <x v="10"/>
    <x v="28"/>
    <s v="Contractor dewatering Pump"/>
    <s v="CP150-836"/>
    <s v="Pump &amp; float repair, vaccum oil tank clean, oil change, water test"/>
    <d v="2025-12-13T00:00:00"/>
    <d v="2025-12-13T00:00:00"/>
    <m/>
    <m/>
    <d v="1899-12-30T07:30:00"/>
    <d v="1899-12-30T18:30:00"/>
    <n v="11"/>
    <s v="Completed"/>
    <m/>
  </r>
  <r>
    <s v="Bay 4&amp;5 - _x000a_Pumps"/>
    <x v="10"/>
    <x v="2"/>
    <m/>
    <m/>
    <m/>
    <m/>
    <m/>
    <m/>
    <m/>
    <d v="1899-12-30T11:00:00"/>
    <d v="1899-12-30T12:00:00"/>
    <n v="1.0000000000000004"/>
    <s v="Completed"/>
    <m/>
  </r>
  <r>
    <s v="Bay 4&amp;5 - _x000a_Pumps"/>
    <x v="10"/>
    <x v="1"/>
    <s v="Contractor dewatering Pump"/>
    <s v="PT175-521"/>
    <s v="Pump assembling, engine fixing on frame, alignment &amp; water test"/>
    <d v="2025-12-11T00:00:00"/>
    <d v="2025-12-13T00:00:00"/>
    <m/>
    <m/>
    <d v="1899-12-30T07:30:00"/>
    <d v="1899-12-30T18:30:00"/>
    <n v="11"/>
    <s v="Completed"/>
    <m/>
  </r>
  <r>
    <s v="Bay 4&amp;5 - _x000a_Pumps"/>
    <x v="10"/>
    <x v="2"/>
    <m/>
    <m/>
    <m/>
    <m/>
    <m/>
    <m/>
    <m/>
    <d v="1899-12-30T13:00:00"/>
    <d v="1899-12-30T15:00:00"/>
    <n v="2.0000000000000009"/>
    <m/>
    <m/>
  </r>
  <r>
    <s v="Bay 6 -_x000a_Generator"/>
    <x v="10"/>
    <x v="7"/>
    <s v="Generator"/>
    <s v="GENJ30-069/070"/>
    <s v="General inspection &amp; general repair"/>
    <d v="2025-12-13T00:00:00"/>
    <d v="2025-12-13T00:00:00"/>
    <m/>
    <m/>
    <d v="1899-12-30T07:30:00"/>
    <d v="1899-12-30T12:30:00"/>
    <n v="5.0000000000000009"/>
    <s v="Completed"/>
    <m/>
  </r>
  <r>
    <s v="Bay 6 -_x000a_Generator"/>
    <x v="10"/>
    <x v="7"/>
    <s v="Generator"/>
    <s v="GEN250-057"/>
    <s v="Ac alternator"/>
    <d v="2025-11-14T00:00:00"/>
    <d v="2025-12-13T00:00:00"/>
    <m/>
    <m/>
    <d v="1899-12-30T12:30:00"/>
    <d v="1899-12-30T16:30:00"/>
    <n v="3.9999999999999991"/>
    <s v="Hold"/>
    <m/>
  </r>
  <r>
    <s v="Bay 6 -_x000a_Generator"/>
    <x v="10"/>
    <x v="7"/>
    <s v="Other"/>
    <s v="3rd party pump"/>
    <s v="Silincer fixing, fuel connection &amp; PDI"/>
    <d v="2025-12-13T00:00:00"/>
    <d v="2025-12-13T00:00:00"/>
    <m/>
    <m/>
    <d v="1899-12-30T14:00:00"/>
    <d v="1899-12-30T16:30:00"/>
    <n v="2.4999999999999991"/>
    <s v="Completed"/>
    <m/>
  </r>
  <r>
    <s v="Bay 6 -_x000a_Generator"/>
    <x v="10"/>
    <x v="23"/>
    <s v="Generator"/>
    <s v="GEN5-013/014"/>
    <s v="General repair, oil service, load test"/>
    <d v="2025-12-13T00:00:00"/>
    <d v="2025-12-13T00:00:00"/>
    <d v="2025-12-13T00:00:00"/>
    <m/>
    <d v="1899-12-30T07:30:00"/>
    <d v="1899-12-30T11:30:00"/>
    <n v="4"/>
    <s v="Completed"/>
    <m/>
  </r>
  <r>
    <s v="Bay 6 -_x000a_Generator"/>
    <x v="10"/>
    <x v="32"/>
    <m/>
    <m/>
    <m/>
    <m/>
    <m/>
    <m/>
    <m/>
    <d v="1899-12-30T07:30:00"/>
    <d v="1899-12-30T11:30:00"/>
    <n v="4"/>
    <m/>
    <m/>
  </r>
  <r>
    <s v="Bay 6 -_x000a_Generator"/>
    <x v="10"/>
    <x v="23"/>
    <s v="Generator"/>
    <s v="GEN10-001"/>
    <s v="Load test"/>
    <d v="2025-12-13T00:00:00"/>
    <d v="2025-12-13T00:00:00"/>
    <d v="2025-12-13T00:00:00"/>
    <m/>
    <d v="1899-12-30T11:30:00"/>
    <d v="1899-12-30T12:30:00"/>
    <n v="1.0000000000000004"/>
    <s v="Completed"/>
    <m/>
  </r>
  <r>
    <s v="Bay 6 -_x000a_Generator"/>
    <x v="10"/>
    <x v="32"/>
    <m/>
    <m/>
    <m/>
    <m/>
    <m/>
    <m/>
    <m/>
    <d v="1899-12-30T11:30:00"/>
    <d v="1899-12-30T12:30:00"/>
    <n v="1.0000000000000004"/>
    <m/>
    <m/>
  </r>
  <r>
    <s v="Bay 6 -_x000a_Generator"/>
    <x v="10"/>
    <x v="23"/>
    <s v="Generator"/>
    <s v="GENJ30-069/070"/>
    <s v="Load test"/>
    <d v="2025-12-13T00:00:00"/>
    <d v="2025-12-13T00:00:00"/>
    <d v="2025-12-13T00:00:00"/>
    <m/>
    <d v="1899-12-30T12:30:00"/>
    <d v="1899-12-30T16:30:00"/>
    <n v="3.9999999999999991"/>
    <s v="Completed"/>
    <m/>
  </r>
  <r>
    <s v="Bay 6 -_x000a_Generator"/>
    <x v="10"/>
    <x v="32"/>
    <m/>
    <m/>
    <m/>
    <m/>
    <m/>
    <m/>
    <m/>
    <d v="1899-12-30T12:30:00"/>
    <d v="1899-12-30T16:30:00"/>
    <n v="3.9999999999999991"/>
    <m/>
    <m/>
  </r>
  <r>
    <s v="Electrical"/>
    <x v="10"/>
    <x v="8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0"/>
    <x v="9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0"/>
    <x v="12"/>
    <s v="Submersible pump"/>
    <s v="SMSP3-021"/>
    <s v="95kw pump water testing"/>
    <d v="2025-12-13T00:00:00"/>
    <d v="2025-12-13T00:00:00"/>
    <m/>
    <m/>
    <d v="1899-12-30T07:30:00"/>
    <d v="1899-12-30T13:00:00"/>
    <n v="5.4999999999999991"/>
    <s v="Completed"/>
    <m/>
  </r>
  <r>
    <s v="Electrical"/>
    <x v="10"/>
    <x v="17"/>
    <m/>
    <m/>
    <m/>
    <m/>
    <m/>
    <m/>
    <m/>
    <d v="1899-12-30T07:30:00"/>
    <d v="1899-12-30T13:00:00"/>
    <n v="5.4999999999999991"/>
    <m/>
    <m/>
  </r>
  <r>
    <s v="Electrical"/>
    <x v="10"/>
    <x v="14"/>
    <m/>
    <m/>
    <m/>
    <m/>
    <m/>
    <m/>
    <m/>
    <d v="1899-12-30T07:30:00"/>
    <d v="1899-12-30T13:00:00"/>
    <n v="5.4999999999999991"/>
    <m/>
    <m/>
  </r>
  <r>
    <s v="Electrical"/>
    <x v="10"/>
    <x v="17"/>
    <s v="Submersible pump"/>
    <s v="SM1002-276"/>
    <s v="Rotor repair &amp; assembling"/>
    <d v="2025-12-12T00:00:00"/>
    <d v="2025-12-15T00:00:00"/>
    <m/>
    <m/>
    <d v="1899-12-30T07:30:00"/>
    <d v="1899-12-30T16:30:00"/>
    <n v="9"/>
    <s v="Ongoing"/>
    <m/>
  </r>
  <r>
    <s v="Electrical"/>
    <x v="10"/>
    <x v="33"/>
    <s v="Generator"/>
    <s v="GENJ135-003"/>
    <s v="Inspection, servicing &amp; assemble"/>
    <d v="2025-12-11T00:00:00"/>
    <d v="2025-12-13T00:00:00"/>
    <m/>
    <m/>
    <d v="1899-12-30T07:30:00"/>
    <d v="1899-12-30T16:00:00"/>
    <n v="8.5"/>
    <s v="Completed"/>
    <m/>
  </r>
  <r>
    <s v="Electrical"/>
    <x v="10"/>
    <x v="34"/>
    <m/>
    <m/>
    <m/>
    <m/>
    <m/>
    <m/>
    <m/>
    <d v="1899-12-30T07:30:00"/>
    <d v="1899-12-30T16:00:00"/>
    <n v="8.5"/>
    <m/>
    <m/>
  </r>
  <r>
    <s v="Electrical"/>
    <x v="10"/>
    <x v="24"/>
    <s v="Borehole pump"/>
    <s v="New BH pump 2.2kw"/>
    <s v="10nos new B:H pumps inspection &amp; fleet socketing"/>
    <d v="2025-12-13T00:00:00"/>
    <d v="2025-12-13T00:00:00"/>
    <m/>
    <m/>
    <d v="1899-12-30T08:00:00"/>
    <d v="1899-12-30T13:00:00"/>
    <n v="5"/>
    <s v="Completed"/>
    <m/>
  </r>
  <r>
    <s v="Electrical"/>
    <x v="10"/>
    <x v="12"/>
    <s v="Submersible pump"/>
    <s v="SMSP3-017"/>
    <s v="7.5kw pump water testing"/>
    <d v="2025-12-13T00:00:00"/>
    <d v="2025-12-13T00:00:00"/>
    <d v="2025-12-13T00:00:00"/>
    <m/>
    <d v="1899-12-30T13:00:00"/>
    <d v="1899-12-30T17:00:00"/>
    <n v="4.0000000000000018"/>
    <s v="Completed"/>
    <m/>
  </r>
  <r>
    <s v="Electrical"/>
    <x v="10"/>
    <x v="35"/>
    <m/>
    <m/>
    <m/>
    <m/>
    <m/>
    <m/>
    <m/>
    <d v="1899-12-30T13:00:00"/>
    <d v="1899-12-30T17:00:00"/>
    <n v="4.0000000000000018"/>
    <m/>
    <m/>
  </r>
  <r>
    <s v="Electrical"/>
    <x v="10"/>
    <x v="14"/>
    <m/>
    <m/>
    <m/>
    <m/>
    <m/>
    <m/>
    <m/>
    <d v="1899-12-30T13:00:00"/>
    <d v="1899-12-30T17:00:00"/>
    <n v="4.0000000000000018"/>
    <m/>
    <m/>
  </r>
  <r>
    <s v="Bay 4&amp;5 - _x000a_Pumps"/>
    <x v="10"/>
    <x v="18"/>
    <s v="Other"/>
    <s v="General work"/>
    <s v="General work &amp; system work"/>
    <d v="2025-12-12T00:00:00"/>
    <d v="2025-12-12T00:00:00"/>
    <m/>
    <m/>
    <d v="1899-12-30T07:30:00"/>
    <d v="1899-12-30T16:30:00"/>
    <n v="9"/>
    <s v="Completed"/>
    <m/>
  </r>
  <r>
    <s v="Bay 4&amp;5 - _x000a_Pumps"/>
    <x v="10"/>
    <x v="20"/>
    <s v="Diesel Driven CP Pump"/>
    <s v="HL130M-10"/>
    <s v="Exh modification,priming &amp; NRV repairing, fan guard repairing"/>
    <d v="2025-12-12T00:00:00"/>
    <d v="2025-12-20T00:00:00"/>
    <m/>
    <m/>
    <d v="1899-12-30T08:00:00"/>
    <d v="1899-12-30T18:00:00"/>
    <n v="10"/>
    <s v="Completed"/>
    <m/>
  </r>
  <r>
    <s v="Bay 4&amp;5 - _x000a_Pumps"/>
    <x v="10"/>
    <x v="21"/>
    <m/>
    <m/>
    <m/>
    <m/>
    <m/>
    <m/>
    <m/>
    <d v="1899-12-30T08:00:00"/>
    <d v="1899-12-30T18:00:00"/>
    <n v="10"/>
    <m/>
    <m/>
  </r>
  <r>
    <s v="Bay 4&amp;5 - _x000a_Pumps"/>
    <x v="10"/>
    <x v="25"/>
    <s v="Diesel Driven CP Pump"/>
    <s v="CD150M-004"/>
    <s v="Pump end dismantling, compressor repairing, engine service"/>
    <d v="2025-12-12T00:00:00"/>
    <d v="2025-12-25T00:00:00"/>
    <d v="2025-12-12T00:00:00"/>
    <m/>
    <d v="1899-12-30T07:30:00"/>
    <d v="1899-12-30T17:30:00"/>
    <n v="10"/>
    <s v="Completed"/>
    <m/>
  </r>
  <r>
    <s v="Bay 4&amp;5 - _x000a_Pumps"/>
    <x v="10"/>
    <x v="19"/>
    <m/>
    <m/>
    <m/>
    <m/>
    <m/>
    <m/>
    <m/>
    <d v="1899-12-30T07:30:00"/>
    <d v="1899-12-30T17:30:00"/>
    <n v="10"/>
    <m/>
    <m/>
  </r>
  <r>
    <s v="Bay 4&amp;5 - _x000a_Pumps"/>
    <x v="10"/>
    <x v="18"/>
    <s v="Diesel Driven CP Pump"/>
    <s v="BA700-001_x000a_BA700-002"/>
    <s v="Inspection battery installation, washing &amp; testing, PDI"/>
    <d v="2025-12-12T00:00:00"/>
    <d v="2025-12-12T00:00:00"/>
    <d v="2025-12-12T00:00:00"/>
    <m/>
    <d v="1899-12-30T16:00:00"/>
    <d v="1899-12-30T19:00:00"/>
    <n v="3"/>
    <s v="Completed"/>
    <m/>
  </r>
  <r>
    <s v="Bay 4&amp;5 - _x000a_Pumps"/>
    <x v="10"/>
    <x v="25"/>
    <m/>
    <m/>
    <m/>
    <m/>
    <m/>
    <m/>
    <m/>
    <d v="1899-12-30T16:00:00"/>
    <d v="1899-12-30T19:00:00"/>
    <n v="3"/>
    <m/>
    <m/>
  </r>
  <r>
    <s v="Bay 4&amp;5 - _x000a_Pumps"/>
    <x v="10"/>
    <x v="18"/>
    <m/>
    <m/>
    <m/>
    <m/>
    <m/>
    <m/>
    <m/>
    <d v="1899-12-30T16:00:00"/>
    <d v="1899-12-30T19:00:00"/>
    <n v="3"/>
    <m/>
    <m/>
  </r>
  <r>
    <s v="Electrical"/>
    <x v="11"/>
    <x v="8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1"/>
    <x v="9"/>
    <s v="Other"/>
    <s v="General work"/>
    <s v="General work stock labeling &amp; paint for SS"/>
    <d v="2025-12-13T00:00:00"/>
    <d v="2025-12-13T00:00:00"/>
    <d v="2025-12-13T00:00:00"/>
    <m/>
    <d v="1899-12-30T08:00:00"/>
    <d v="1899-12-30T17:00:00"/>
    <n v="9.0000000000000018"/>
    <s v="Completed"/>
    <m/>
  </r>
  <r>
    <s v="Electrical"/>
    <x v="11"/>
    <x v="12"/>
    <s v="Generator"/>
    <s v="GEN250-051"/>
    <s v="Alternator service and assembling"/>
    <d v="2025-12-15T00:00:00"/>
    <d v="2025-12-16T00:00:00"/>
    <m/>
    <m/>
    <d v="1899-12-30T08:00:00"/>
    <d v="1899-12-30T17:00:00"/>
    <n v="9.0000000000000018"/>
    <s v="Hold"/>
    <m/>
  </r>
  <r>
    <s v="Electrical"/>
    <x v="11"/>
    <x v="35"/>
    <m/>
    <m/>
    <m/>
    <m/>
    <m/>
    <m/>
    <m/>
    <d v="1899-12-30T08:00:00"/>
    <d v="1899-12-30T17:00:00"/>
    <n v="9.0000000000000018"/>
    <m/>
    <m/>
  </r>
  <r>
    <s v="Electrical"/>
    <x v="11"/>
    <x v="34"/>
    <s v="Generator"/>
    <s v="GEN150-021"/>
    <s v="Alternator service and assembling"/>
    <d v="2025-12-15T00:00:00"/>
    <d v="2025-12-15T00:00:00"/>
    <m/>
    <m/>
    <d v="1899-12-30T07:30:00"/>
    <d v="1899-12-30T16:30:00"/>
    <n v="9"/>
    <s v="Hold"/>
    <m/>
  </r>
  <r>
    <s v="Electrical"/>
    <x v="11"/>
    <x v="33"/>
    <m/>
    <m/>
    <m/>
    <m/>
    <m/>
    <m/>
    <m/>
    <d v="1899-12-30T07:30:00"/>
    <d v="1899-12-30T16:30:00"/>
    <n v="9"/>
    <m/>
    <m/>
  </r>
  <r>
    <s v="Electrical"/>
    <x v="11"/>
    <x v="24"/>
    <s v="Borehole pump"/>
    <s v="New BH pump 2.2kw"/>
    <s v="19nos new BH pumps inspection &amp; fleet socketing"/>
    <d v="2025-12-15T00:00:00"/>
    <d v="2025-12-15T00:00:00"/>
    <m/>
    <m/>
    <d v="1899-12-30T08:00:00"/>
    <d v="1899-12-30T17:00:00"/>
    <n v="9.0000000000000018"/>
    <s v="Completed"/>
    <m/>
  </r>
  <r>
    <s v="Electrical"/>
    <x v="11"/>
    <x v="36"/>
    <s v="Generator"/>
    <s v="GEN45-005"/>
    <s v="Exciter field rewinding and assembling"/>
    <d v="2025-12-15T00:00:00"/>
    <d v="2025-12-15T00:00:00"/>
    <m/>
    <m/>
    <d v="1899-12-30T07:30:00"/>
    <d v="1899-12-30T16:30:00"/>
    <n v="9"/>
    <s v="Hold"/>
    <m/>
  </r>
  <r>
    <s v="Electrical"/>
    <x v="11"/>
    <x v="17"/>
    <s v="Submersible pump"/>
    <s v="SM1002-276"/>
    <s v="Rotor repair &amp; assembling"/>
    <d v="2025-12-12T00:00:00"/>
    <d v="2025-12-15T00:00:00"/>
    <m/>
    <m/>
    <d v="1899-12-30T07:30:00"/>
    <d v="1899-12-30T16:30:00"/>
    <n v="9"/>
    <s v="Completed"/>
    <m/>
  </r>
  <r>
    <s v="Electrical"/>
    <x v="11"/>
    <x v="14"/>
    <m/>
    <m/>
    <m/>
    <d v="2025-12-12T00:00:00"/>
    <d v="2025-12-15T00:00:00"/>
    <m/>
    <m/>
    <d v="1899-12-30T07:30:00"/>
    <d v="1899-12-30T16:30:00"/>
    <n v="9"/>
    <s v="Completed"/>
    <m/>
  </r>
  <r>
    <s v="Electrical"/>
    <x v="11"/>
    <x v="9"/>
    <s v="Panel"/>
    <s v="General work"/>
    <s v="Scrap panels stand removing and arrangements"/>
    <d v="2025-12-15T00:00:00"/>
    <d v="2025-12-15T00:00:00"/>
    <m/>
    <m/>
    <d v="1899-12-30T07:30:00"/>
    <d v="1899-12-30T16:30:00"/>
    <n v="9"/>
    <s v="Completed"/>
    <m/>
  </r>
  <r>
    <s v="Electrical"/>
    <x v="11"/>
    <x v="8"/>
    <m/>
    <m/>
    <m/>
    <d v="2025-12-15T00:00:00"/>
    <d v="2025-12-15T00:00:00"/>
    <m/>
    <m/>
    <d v="1899-12-30T07:30:00"/>
    <d v="1899-12-30T16:30:00"/>
    <n v="9"/>
    <s v="Completed"/>
    <m/>
  </r>
  <r>
    <s v="Bay 6 -_x000a_Generator"/>
    <x v="11"/>
    <x v="7"/>
    <s v="Generator"/>
    <s v="GEN30-020"/>
    <s v="Repair on site - Fuel pump replacement"/>
    <d v="2025-12-15T00:00:00"/>
    <d v="2025-12-15T00:00:00"/>
    <m/>
    <m/>
    <d v="1899-12-30T07:30:00"/>
    <d v="1899-12-30T13:00:00"/>
    <n v="5.4999999999999991"/>
    <s v="Completed"/>
    <m/>
  </r>
  <r>
    <s v="Bay 6 -_x000a_Generator"/>
    <x v="11"/>
    <x v="23"/>
    <s v="Tank"/>
    <s v="BFT1-006"/>
    <s v="Fuel tank cleaning"/>
    <d v="2025-12-15T00:00:00"/>
    <d v="2025-12-15T00:00:00"/>
    <m/>
    <m/>
    <d v="1899-12-30T07:30:00"/>
    <d v="1899-12-30T14:00:00"/>
    <n v="6.5000000000000009"/>
    <s v="Hold"/>
    <m/>
  </r>
  <r>
    <s v="Bay 6 -_x000a_Generator"/>
    <x v="11"/>
    <x v="23"/>
    <m/>
    <s v="BFT1-015"/>
    <m/>
    <m/>
    <m/>
    <m/>
    <m/>
    <d v="1899-12-30T07:30:00"/>
    <d v="1899-12-30T14:00:00"/>
    <n v="6.5000000000000009"/>
    <m/>
    <m/>
  </r>
  <r>
    <s v="Bay 6 -_x000a_Generator"/>
    <x v="11"/>
    <x v="23"/>
    <s v="Generator"/>
    <s v="GEN250-057"/>
    <s v="Ac alternator fixing "/>
    <d v="2025-12-13T00:00:00"/>
    <d v="2025-12-15T00:00:00"/>
    <m/>
    <m/>
    <d v="1899-12-30T14:00:00"/>
    <d v="1899-12-30T16:30:00"/>
    <n v="2.4999999999999991"/>
    <s v="Completed"/>
    <m/>
  </r>
  <r>
    <s v="Bay 6 -_x000a_Generator"/>
    <x v="11"/>
    <x v="7"/>
    <m/>
    <m/>
    <m/>
    <m/>
    <m/>
    <m/>
    <m/>
    <d v="1899-12-30T14:00:00"/>
    <d v="1899-12-30T16:30:00"/>
    <n v="2.4999999999999991"/>
    <m/>
    <m/>
  </r>
  <r>
    <s v="Bay 6 -_x000a_Generator"/>
    <x v="11"/>
    <x v="7"/>
    <s v="Generator"/>
    <s v="GENJ150-058"/>
    <s v="Alternator removing and dismantling"/>
    <d v="2025-12-15T00:00:00"/>
    <d v="2025-12-15T00:00:00"/>
    <m/>
    <m/>
    <d v="1899-12-30T09:00:00"/>
    <d v="1899-12-30T14:00:00"/>
    <n v="5.0000000000000009"/>
    <s v="Completed"/>
    <m/>
  </r>
  <r>
    <s v="Bay 4&amp;5 - _x000a_Pumps"/>
    <x v="11"/>
    <x v="18"/>
    <s v="Other"/>
    <s v="AC350-08"/>
    <s v="Inspection funtional test"/>
    <d v="2025-12-15T00:00:00"/>
    <d v="2025-12-15T00:00:00"/>
    <m/>
    <m/>
    <d v="1899-12-30T07:30:00"/>
    <d v="1899-12-30T13:00:00"/>
    <n v="5.4999999999999991"/>
    <s v="Completed"/>
    <m/>
  </r>
  <r>
    <s v="Bay 4&amp;5 - _x000a_Pumps"/>
    <x v="11"/>
    <x v="18"/>
    <s v="Other"/>
    <s v="AC350-08"/>
    <s v="Inspection funtional test"/>
    <d v="2025-12-15T00:00:00"/>
    <d v="2025-12-15T00:00:00"/>
    <m/>
    <m/>
    <d v="1899-12-30T14:00:00"/>
    <d v="1899-12-30T16:30:00"/>
    <n v="2.4999999999999991"/>
    <s v="Completed"/>
    <m/>
  </r>
  <r>
    <s v="Bay 4&amp;5 - _x000a_Pumps"/>
    <x v="11"/>
    <x v="18"/>
    <s v="Diesel Driven CP Pump"/>
    <s v="BA100-001"/>
    <s v="Inspection funtional test"/>
    <d v="2025-12-15T00:00:00"/>
    <d v="2025-12-15T00:00:00"/>
    <m/>
    <m/>
    <d v="1899-12-30T13:00:00"/>
    <d v="1899-12-30T16:30:00"/>
    <n v="3.5000000000000009"/>
    <s v="Completed"/>
    <m/>
  </r>
  <r>
    <s v="Bay 4&amp;5 - _x000a_Pumps"/>
    <x v="11"/>
    <x v="25"/>
    <s v="Diesel Driven CP Pump"/>
    <s v="CD150M-004"/>
    <s v="Pump assembling and installation on test bay"/>
    <d v="2025-12-15T00:00:00"/>
    <d v="2025-12-25T00:00:00"/>
    <m/>
    <m/>
    <d v="1899-12-30T07:30:00"/>
    <d v="1899-12-30T16:30:00"/>
    <n v="9"/>
    <s v="Ongoing"/>
    <m/>
  </r>
  <r>
    <s v="Bay 4&amp;5 - _x000a_Pumps"/>
    <x v="11"/>
    <x v="19"/>
    <m/>
    <m/>
    <m/>
    <m/>
    <m/>
    <m/>
    <m/>
    <d v="1899-12-30T07:30:00"/>
    <d v="1899-12-30T16:30:00"/>
    <n v="9"/>
    <m/>
    <m/>
  </r>
  <r>
    <s v="Bay 4&amp;5 - _x000a_Pumps"/>
    <x v="11"/>
    <x v="21"/>
    <s v="Diesel Driven CP Pump"/>
    <s v="CP1212-009"/>
    <s v="Pump end removing out from canopy"/>
    <d v="2025-12-15T00:00:00"/>
    <d v="2025-12-30T00:00:00"/>
    <m/>
    <m/>
    <d v="1899-12-30T08:00:00"/>
    <d v="1899-12-30T17:00:00"/>
    <n v="9.0000000000000018"/>
    <s v="Ongoing"/>
    <m/>
  </r>
  <r>
    <s v="Bay 4&amp;5 - _x000a_Pumps"/>
    <x v="11"/>
    <x v="20"/>
    <m/>
    <m/>
    <m/>
    <m/>
    <m/>
    <m/>
    <m/>
    <d v="1899-12-30T08:00:00"/>
    <d v="1899-12-30T17:00:00"/>
    <n v="9.0000000000000018"/>
    <m/>
    <m/>
  </r>
  <r>
    <s v="Bay 4&amp;5 - _x000a_Pumps"/>
    <x v="11"/>
    <x v="0"/>
    <s v="Contractor dewatering Pump"/>
    <s v="CP150X3"/>
    <s v="Vaccum pump repair"/>
    <d v="2025-12-15T00:00:00"/>
    <d v="2025-12-15T00:00:00"/>
    <m/>
    <m/>
    <d v="1899-12-30T08:00:00"/>
    <d v="1899-12-30T19:00:00"/>
    <n v="11"/>
    <s v="Completed"/>
    <m/>
  </r>
  <r>
    <s v="Bay 4&amp;5 - _x000a_Pumps"/>
    <x v="11"/>
    <x v="5"/>
    <s v="Contractor dewatering Pump"/>
    <s v="CP150-832"/>
    <s v="Pummp assembling"/>
    <d v="2025-12-12T00:00:00"/>
    <d v="2025-12-15T00:00:00"/>
    <m/>
    <m/>
    <d v="1899-12-30T08:00:00"/>
    <d v="1899-12-30T19:00:00"/>
    <n v="11"/>
    <s v="Completed"/>
    <m/>
  </r>
  <r>
    <s v="Bay 4&amp;5 - _x000a_Pumps"/>
    <x v="11"/>
    <x v="2"/>
    <m/>
    <m/>
    <m/>
    <m/>
    <m/>
    <m/>
    <m/>
    <d v="1899-12-30T08:30:00"/>
    <d v="1899-12-30T09:30:00"/>
    <n v="0.99999999999999911"/>
    <m/>
    <m/>
  </r>
  <r>
    <s v="Bay 4&amp;5 - _x000a_Pumps"/>
    <x v="11"/>
    <x v="3"/>
    <s v="Contractor dewatering Pump"/>
    <s v="CP150-276"/>
    <s v="Engine preparing for assembling and assembling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09:30:00"/>
    <d v="1899-12-30T10:30:00"/>
    <n v="1.0000000000000004"/>
    <m/>
    <m/>
  </r>
  <r>
    <s v="Bay 4&amp;5 - _x000a_Pumps"/>
    <x v="11"/>
    <x v="4"/>
    <s v="Contractor dewatering Pump"/>
    <s v="PT175-536"/>
    <s v="Engine assembling"/>
    <d v="2025-12-12T00:00:00"/>
    <d v="2025-12-15T00:00:00"/>
    <m/>
    <m/>
    <d v="1899-12-30T08:00:00"/>
    <d v="1899-12-30T19:00:00"/>
    <n v="11"/>
    <s v="Completed"/>
    <m/>
  </r>
  <r>
    <s v="Bay 4&amp;5 - _x000a_Pumps"/>
    <x v="11"/>
    <x v="2"/>
    <m/>
    <m/>
    <m/>
    <m/>
    <m/>
    <m/>
    <m/>
    <d v="1899-12-30T10:30:00"/>
    <d v="1899-12-30T11:00:00"/>
    <n v="0.49999999999999956"/>
    <m/>
    <m/>
  </r>
  <r>
    <s v="Bay 4&amp;5 - _x000a_Pumps"/>
    <x v="11"/>
    <x v="28"/>
    <s v="Contractor dewatering Pump"/>
    <s v="CP150-836"/>
    <s v="Pummp assembling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11:00:00"/>
    <d v="1899-12-30T12:00:00"/>
    <n v="1.0000000000000004"/>
    <s v="Completed"/>
    <m/>
  </r>
  <r>
    <s v="Bay 4&amp;5 - _x000a_Pumps"/>
    <x v="11"/>
    <x v="1"/>
    <s v="Contractor dewatering Pump"/>
    <s v="PT175-515"/>
    <s v="Pump assembling, engine fixing on frame and alignment"/>
    <d v="2025-12-13T00:00:00"/>
    <d v="2025-12-15T00:00:00"/>
    <m/>
    <m/>
    <d v="1899-12-30T07:30:00"/>
    <d v="1899-12-30T18:30:00"/>
    <n v="11"/>
    <s v="Completed"/>
    <m/>
  </r>
  <r>
    <s v="Bay 4&amp;5 - _x000a_Pumps"/>
    <x v="11"/>
    <x v="2"/>
    <m/>
    <m/>
    <m/>
    <m/>
    <m/>
    <m/>
    <m/>
    <d v="1899-12-30T10:30:00"/>
    <d v="1899-12-30T11:00:00"/>
    <n v="0.49999999999999956"/>
    <m/>
    <m/>
  </r>
  <r>
    <s v="Electrical"/>
    <x v="12"/>
    <x v="8"/>
    <s v="Panel"/>
    <s v="SPB2.2-076"/>
    <s v="Inspection &amp; repair"/>
    <d v="2025-12-16T00:00:00"/>
    <d v="2025-12-16T00:00:00"/>
    <d v="2025-12-16T00:00:00"/>
    <m/>
    <d v="1899-12-30T08:00:00"/>
    <d v="1899-12-30T12:00:00"/>
    <n v="4"/>
    <s v="Completed"/>
    <m/>
  </r>
  <r>
    <s v="Electrical"/>
    <x v="12"/>
    <x v="8"/>
    <s v="Panel"/>
    <s v="DB-287"/>
    <s v="Inspection &amp; repair"/>
    <d v="2025-12-16T00:00:00"/>
    <d v="2025-12-16T00:00:00"/>
    <m/>
    <m/>
    <d v="1899-12-30T13:00:00"/>
    <d v="1899-12-30T17:00:00"/>
    <n v="4.0000000000000018"/>
    <s v="Hold"/>
    <m/>
  </r>
  <r>
    <s v="Electrical"/>
    <x v="12"/>
    <x v="10"/>
    <s v="Panel"/>
    <s v="SPB3.7-180"/>
    <s v="New build stand &amp; canopy"/>
    <d v="2025-12-16T00:00:00"/>
    <d v="2025-12-16T00:00:00"/>
    <m/>
    <m/>
    <d v="1899-12-30T07:30:00"/>
    <d v="1899-12-30T16:30:00"/>
    <n v="9"/>
    <s v="Completed"/>
    <m/>
  </r>
  <r>
    <s v="Electrical"/>
    <x v="12"/>
    <x v="8"/>
    <s v="Panel"/>
    <s v="SPB75-001"/>
    <s v="Testing &amp; PDI"/>
    <d v="2025-12-16T00:00:00"/>
    <d v="2025-12-16T00:00:00"/>
    <d v="2025-12-16T00:00:00"/>
    <m/>
    <d v="1899-12-30T12:00:00"/>
    <d v="1899-12-30T15:00:00"/>
    <n v="3"/>
    <s v="Completed"/>
    <m/>
  </r>
  <r>
    <s v="Electrical"/>
    <x v="12"/>
    <x v="8"/>
    <s v="Panel"/>
    <s v="SPB75-004"/>
    <s v="Testing &amp; PDI"/>
    <d v="2025-12-16T00:00:00"/>
    <d v="2025-12-16T00:00:00"/>
    <m/>
    <m/>
    <d v="1899-12-30T15:00:00"/>
    <d v="1899-12-30T17:00:00"/>
    <n v="2.0000000000000009"/>
    <s v="Completed"/>
    <m/>
  </r>
  <r>
    <s v="Electrical"/>
    <x v="12"/>
    <x v="12"/>
    <s v="Generator"/>
    <s v="GEN250-051"/>
    <s v="Inspection &amp; assemble"/>
    <d v="2025-12-15T00:00:00"/>
    <d v="2025-12-16T00:00:00"/>
    <d v="2025-12-16T00:00:00"/>
    <m/>
    <d v="1899-12-30T07:30:00"/>
    <d v="1899-12-30T17:00:00"/>
    <n v="9.5"/>
    <s v="Completed"/>
    <m/>
  </r>
  <r>
    <s v="Electrical"/>
    <x v="12"/>
    <x v="14"/>
    <m/>
    <m/>
    <m/>
    <m/>
    <m/>
    <m/>
    <m/>
    <d v="1899-12-30T07:30:00"/>
    <d v="1899-12-30T17:00:00"/>
    <n v="9.5"/>
    <m/>
    <m/>
  </r>
  <r>
    <s v="Electrical"/>
    <x v="12"/>
    <x v="33"/>
    <s v="Generator"/>
    <s v="GEN150-021"/>
    <s v="Inspection &amp; assemble"/>
    <d v="2025-12-15T00:00:00"/>
    <d v="2025-12-16T00:00:00"/>
    <d v="2025-12-16T00:00:00"/>
    <m/>
    <d v="1899-12-30T07:30:00"/>
    <d v="1899-12-30T16:30:00"/>
    <n v="9"/>
    <s v="Completed"/>
    <m/>
  </r>
  <r>
    <s v="Electrical"/>
    <x v="12"/>
    <x v="24"/>
    <s v="Borehole pump"/>
    <s v="New BH pump 2.2kw"/>
    <s v="15nos new BH pumps inspection &amp; fleet socketing"/>
    <d v="2025-12-15T00:00:00"/>
    <d v="2025-12-16T00:00:00"/>
    <d v="2025-12-16T00:00:00"/>
    <m/>
    <d v="1899-12-30T08:00:00"/>
    <d v="1899-12-30T17:00:00"/>
    <n v="9.0000000000000018"/>
    <s v="Completed"/>
    <m/>
  </r>
  <r>
    <s v="Electrical"/>
    <x v="12"/>
    <x v="36"/>
    <s v="Generator"/>
    <s v="GEN250-057"/>
    <s v="Power cable connection"/>
    <d v="2025-12-16T00:00:00"/>
    <d v="2025-12-16T00:00:00"/>
    <d v="2025-12-16T00:00:00"/>
    <m/>
    <d v="1899-12-30T07:30:00"/>
    <d v="1899-12-30T11:00:00"/>
    <n v="3.4999999999999996"/>
    <s v="Completed"/>
    <m/>
  </r>
  <r>
    <s v="Electrical"/>
    <x v="12"/>
    <x v="36"/>
    <s v="Generator"/>
    <s v="GENJ150-058"/>
    <s v="Exciter field copper cable removing"/>
    <d v="2025-12-16T00:00:00"/>
    <d v="2025-12-16T00:00:00"/>
    <d v="2025-12-16T00:00:00"/>
    <m/>
    <d v="1899-12-30T13:00:00"/>
    <d v="1899-12-30T16:30:00"/>
    <n v="3.5000000000000009"/>
    <s v="Completed"/>
    <m/>
  </r>
  <r>
    <s v="Electrical"/>
    <x v="12"/>
    <x v="17"/>
    <s v="Submersible pump"/>
    <s v="SM1002-276"/>
    <s v="Assemble"/>
    <d v="2025-12-15T00:00:00"/>
    <d v="2025-12-16T00:00:00"/>
    <d v="2025-12-16T00:00:00"/>
    <m/>
    <d v="1899-12-30T07:30:00"/>
    <d v="1899-12-30T16:30:00"/>
    <n v="9"/>
    <s v="Completed"/>
    <m/>
  </r>
  <r>
    <s v="Electrical"/>
    <x v="12"/>
    <x v="35"/>
    <m/>
    <m/>
    <m/>
    <m/>
    <m/>
    <m/>
    <m/>
    <d v="1899-12-30T07:30:00"/>
    <d v="1899-12-30T16:30:00"/>
    <n v="9"/>
    <m/>
    <m/>
  </r>
  <r>
    <s v="Electrical"/>
    <x v="12"/>
    <x v="33"/>
    <s v="Other"/>
    <s v="FM-034/036"/>
    <s v="Flowmeter inspection &amp; PDI"/>
    <d v="2025-12-16T00:00:00"/>
    <d v="2025-12-16T00:00:00"/>
    <d v="2025-12-16T00:00:00"/>
    <m/>
    <d v="1899-12-30T10:00:00"/>
    <d v="1899-12-30T11:00:00"/>
    <n v="0.99999999999999911"/>
    <s v="Completed"/>
    <m/>
  </r>
  <r>
    <s v="Bay 6 -_x000a_Generator"/>
    <x v="12"/>
    <x v="7"/>
    <s v="Generator"/>
    <s v="HVMRZV925-003"/>
    <s v="All seal reapir, hydraulic pipe"/>
    <d v="2025-12-16T00:00:00"/>
    <d v="2025-12-16T00:00:00"/>
    <d v="2025-12-16T00:00:00"/>
    <m/>
    <d v="1899-12-30T07:30:00"/>
    <d v="1899-12-30T12:00:00"/>
    <n v="4.5"/>
    <s v="Completed"/>
    <m/>
  </r>
  <r>
    <s v="Bay 6 -_x000a_Generator"/>
    <x v="12"/>
    <x v="7"/>
    <s v="Generator"/>
    <s v="GEN150-021"/>
    <s v="Fuel pump &amp; injector fitting."/>
    <d v="2025-12-08T00:00:00"/>
    <d v="2025-12-16T00:00:00"/>
    <d v="2025-12-16T00:00:00"/>
    <m/>
    <d v="1899-12-30T12:00:00"/>
    <d v="1899-12-30T16:30:00"/>
    <n v="4.5"/>
    <s v="Completed"/>
    <m/>
  </r>
  <r>
    <s v="Bay 6 -_x000a_Generator"/>
    <x v="12"/>
    <x v="23"/>
    <s v="Tank"/>
    <s v="BFT1-006"/>
    <s v="Fuel tank cleaning &amp; fitting fixing"/>
    <d v="2025-12-15T00:00:00"/>
    <d v="2025-12-16T00:00:00"/>
    <d v="2025-12-16T00:00:00"/>
    <m/>
    <d v="1899-12-30T07:30:00"/>
    <d v="1899-12-30T14:30:00"/>
    <n v="6.9999999999999991"/>
    <s v="Completed"/>
    <m/>
  </r>
  <r>
    <s v="Bay 6 -_x000a_Generator"/>
    <x v="12"/>
    <x v="32"/>
    <m/>
    <s v="BFT1-015"/>
    <m/>
    <m/>
    <m/>
    <m/>
    <m/>
    <d v="1899-12-30T07:30:00"/>
    <d v="1899-12-30T14:30:00"/>
    <n v="6.9999999999999991"/>
    <m/>
    <m/>
  </r>
  <r>
    <s v="Bay 6 -_x000a_Generator"/>
    <x v="12"/>
    <x v="23"/>
    <s v="Generator"/>
    <s v="GENJ30-079"/>
    <s v="General inspection &amp; load test"/>
    <d v="2025-12-13T00:00:00"/>
    <d v="2025-12-16T00:00:00"/>
    <d v="2025-12-16T00:00:00"/>
    <m/>
    <d v="1899-12-30T14:30:00"/>
    <d v="1899-12-30T16:30:00"/>
    <n v="2.0000000000000009"/>
    <s v="Completed"/>
    <m/>
  </r>
  <r>
    <s v="Bay 6 -_x000a_Generator"/>
    <x v="12"/>
    <x v="32"/>
    <m/>
    <m/>
    <m/>
    <m/>
    <m/>
    <m/>
    <m/>
    <d v="1899-12-30T14:30:00"/>
    <d v="1899-12-30T16:30:00"/>
    <n v="2.0000000000000009"/>
    <m/>
    <m/>
  </r>
  <r>
    <s v="Bay 4&amp;5 - _x000a_Pumps"/>
    <x v="12"/>
    <x v="18"/>
    <s v="Other"/>
    <s v="General work"/>
    <s v="General work"/>
    <d v="2025-12-16T00:00:00"/>
    <d v="2025-12-16T00:00:00"/>
    <d v="2025-12-16T00:00:00"/>
    <m/>
    <d v="1899-12-30T07:30:00"/>
    <d v="1899-12-30T16:30:00"/>
    <n v="9"/>
    <s v="Completed"/>
    <m/>
  </r>
  <r>
    <s v="Bay 4&amp;5 - _x000a_Pumps"/>
    <x v="12"/>
    <x v="25"/>
    <s v="Diesel Driven CP Pump"/>
    <s v="CD150M-004"/>
    <s v="installation on test bay, water test &amp; removing from test bay"/>
    <d v="2025-12-15T00:00:00"/>
    <d v="2025-12-25T00:00:00"/>
    <d v="2025-12-16T00:00:00"/>
    <m/>
    <d v="1899-12-30T07:30:00"/>
    <d v="1899-12-30T16:30:00"/>
    <n v="9"/>
    <s v="Completed"/>
    <m/>
  </r>
  <r>
    <s v="Bay 4&amp;5 - _x000a_Pumps"/>
    <x v="12"/>
    <x v="19"/>
    <m/>
    <m/>
    <m/>
    <m/>
    <m/>
    <m/>
    <m/>
    <d v="1899-12-30T07:30:00"/>
    <d v="1899-12-30T16:30:00"/>
    <n v="9"/>
    <m/>
    <m/>
  </r>
  <r>
    <s v="Bay 4&amp;5 - _x000a_Pumps"/>
    <x v="12"/>
    <x v="21"/>
    <s v="Diesel Driven CP Pump"/>
    <s v="CP1212-009"/>
    <s v="Pump end removing out from canopy"/>
    <d v="2025-12-15T00:00:00"/>
    <d v="2025-12-30T00:00:00"/>
    <d v="2025-12-16T00:00:00"/>
    <m/>
    <d v="1899-12-30T08:00:00"/>
    <d v="1899-12-30T17:00:00"/>
    <n v="9.0000000000000018"/>
    <s v="Completed"/>
    <m/>
  </r>
  <r>
    <s v="Bay 4&amp;5 - _x000a_Pumps"/>
    <x v="12"/>
    <x v="20"/>
    <m/>
    <m/>
    <m/>
    <m/>
    <m/>
    <m/>
    <m/>
    <d v="1899-12-30T08:00:00"/>
    <d v="1899-12-30T17:00:00"/>
    <n v="9.0000000000000018"/>
    <m/>
    <m/>
  </r>
  <r>
    <s v="Bay 4&amp;5 - _x000a_Pumps"/>
    <x v="12"/>
    <x v="0"/>
    <s v="Contractor dewatering Pump"/>
    <s v="CP150X3"/>
    <s v="Final fitting, flowfinity, vaccum pump repair, "/>
    <d v="2025-12-15T00:00:00"/>
    <d v="2025-12-16T00:00:00"/>
    <d v="2025-12-16T00:00:00"/>
    <m/>
    <d v="1899-12-30T08:00:00"/>
    <d v="1899-12-30T17:00:00"/>
    <n v="9.0000000000000018"/>
    <s v="Completed"/>
    <m/>
  </r>
  <r>
    <s v="Bay 4&amp;5 - _x000a_Pumps"/>
    <x v="12"/>
    <x v="5"/>
    <s v="Contractor dewatering Pump"/>
    <s v="CP150-832"/>
    <s v="Water test &amp; float repair"/>
    <d v="2025-12-12T00:00:00"/>
    <d v="2025-12-16T00:00:00"/>
    <m/>
    <m/>
    <d v="1899-12-30T08:00:00"/>
    <d v="1899-12-30T19:00:00"/>
    <n v="11"/>
    <s v="Ongoing"/>
    <m/>
  </r>
  <r>
    <s v="Bay 4&amp;5 - _x000a_Pumps"/>
    <x v="12"/>
    <x v="2"/>
    <m/>
    <m/>
    <m/>
    <m/>
    <m/>
    <m/>
    <m/>
    <d v="1899-12-30T08:30:00"/>
    <d v="1899-12-30T09:30:00"/>
    <n v="0.99999999999999911"/>
    <m/>
    <m/>
  </r>
  <r>
    <s v="Bay 4&amp;5 - _x000a_Pumps"/>
    <x v="12"/>
    <x v="3"/>
    <s v="Contractor dewatering Pump"/>
    <s v="CP150-276"/>
    <s v="Engine preparing for assembling and assemb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09:30:00"/>
    <d v="1899-12-30T10:30:00"/>
    <n v="1.0000000000000004"/>
    <m/>
    <m/>
  </r>
  <r>
    <s v="Bay 4&amp;5 - _x000a_Pumps"/>
    <x v="12"/>
    <x v="4"/>
    <s v="Contractor dewatering Pump"/>
    <s v="PT175-536"/>
    <s v="Engine assembling"/>
    <d v="2025-12-12T00:00:00"/>
    <d v="2025-12-16T00:00:00"/>
    <d v="2025-12-16T00:00:00"/>
    <m/>
    <d v="1899-12-30T08:00:00"/>
    <d v="1899-12-30T19:00:00"/>
    <n v="11"/>
    <s v="Completed"/>
    <m/>
  </r>
  <r>
    <s v="Bay 4&amp;5 - _x000a_Pumps"/>
    <x v="12"/>
    <x v="2"/>
    <m/>
    <m/>
    <m/>
    <m/>
    <m/>
    <m/>
    <m/>
    <d v="1899-12-30T10:30:00"/>
    <d v="1899-12-30T11:00:00"/>
    <n v="0.49999999999999956"/>
    <m/>
    <m/>
  </r>
  <r>
    <s v="Bay 4&amp;5 - _x000a_Pumps"/>
    <x v="12"/>
    <x v="28"/>
    <s v="Contractor dewatering Pump"/>
    <s v="CP150-403"/>
    <s v="Pummp dismantl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11:00:00"/>
    <d v="1899-12-30T12:00:00"/>
    <n v="1.0000000000000004"/>
    <m/>
    <m/>
  </r>
  <r>
    <s v="Bay 4&amp;5 - _x000a_Pumps"/>
    <x v="12"/>
    <x v="1"/>
    <s v="Contractor dewatering Pump"/>
    <s v="PT175-536"/>
    <s v="Pump dismantling"/>
    <d v="2025-12-13T00:00:00"/>
    <d v="2025-12-16T00:00:00"/>
    <d v="2025-12-16T00:00:00"/>
    <m/>
    <d v="1899-12-30T07:30:00"/>
    <d v="1899-12-30T18:30:00"/>
    <n v="11"/>
    <s v="Completed"/>
    <m/>
  </r>
  <r>
    <s v="Bay 4&amp;5 - _x000a_Pumps"/>
    <x v="12"/>
    <x v="2"/>
    <m/>
    <m/>
    <m/>
    <m/>
    <m/>
    <m/>
    <m/>
    <d v="1899-12-30T10:30:00"/>
    <d v="1899-12-30T11:00:00"/>
    <n v="0.49999999999999956"/>
    <m/>
    <m/>
  </r>
  <r>
    <s v="Bay 4&amp;5 - _x000a_Pumps"/>
    <x v="12"/>
    <x v="2"/>
    <s v="Contractor dewatering Pump"/>
    <s v="CP150-396"/>
    <s v="Electrical repair"/>
    <d v="2025-12-16T00:00:00"/>
    <d v="2025-12-16T00:00:00"/>
    <m/>
    <m/>
    <d v="1899-12-30T10:00:00"/>
    <d v="1899-12-30T12:00:00"/>
    <n v="1.9999999999999996"/>
    <s v="Completed"/>
    <m/>
  </r>
  <r>
    <s v="Electrical"/>
    <x v="13"/>
    <x v="8"/>
    <s v="Panel"/>
    <s v="SPB75-004"/>
    <s v="PLC replacement, test &amp; PDI"/>
    <d v="2025-12-17T00:00:00"/>
    <d v="2025-12-17T00:00:00"/>
    <d v="2025-12-17T00:00:00"/>
    <m/>
    <d v="1899-12-30T08:00:00"/>
    <d v="1899-12-30T12:00:00"/>
    <n v="4"/>
    <s v="Completed"/>
    <m/>
  </r>
  <r>
    <s v="Electrical"/>
    <x v="13"/>
    <x v="8"/>
    <s v="Panel"/>
    <s v="DB-287"/>
    <s v="Inspection &amp; repair"/>
    <d v="2025-12-17T00:00:00"/>
    <d v="2025-12-17T00:00:00"/>
    <d v="2025-12-17T00:00:00"/>
    <m/>
    <d v="1899-12-30T13:00:00"/>
    <d v="1899-12-30T17:00:00"/>
    <n v="4.0000000000000018"/>
    <s v="Completed"/>
    <m/>
  </r>
  <r>
    <s v="Electrical"/>
    <x v="13"/>
    <x v="9"/>
    <s v="Panel"/>
    <s v="SPB3.7-181/182"/>
    <s v="Stand fixing"/>
    <d v="2025-12-17T00:00:00"/>
    <d v="2025-12-17T00:00:00"/>
    <d v="2025-12-17T00:00:00"/>
    <m/>
    <d v="1899-12-30T08:00:00"/>
    <d v="1899-12-30T17:00:00"/>
    <n v="9.0000000000000018"/>
    <s v="Completed"/>
    <m/>
  </r>
  <r>
    <s v="Electrical"/>
    <x v="13"/>
    <x v="10"/>
    <s v="Panel"/>
    <s v="SPB3.7-181/182"/>
    <s v="Stand fixing"/>
    <d v="2025-12-17T00:00:00"/>
    <d v="2025-12-17T00:00:00"/>
    <d v="2025-12-17T00:00:00"/>
    <m/>
    <d v="1899-12-30T07:30:00"/>
    <d v="1899-12-30T16:30:00"/>
    <n v="9"/>
    <s v="Completed"/>
    <m/>
  </r>
  <r>
    <s v="Electrical"/>
    <x v="13"/>
    <x v="12"/>
    <s v="Panel"/>
    <s v="SMSP3-022"/>
    <s v="Inspection &amp; reapir"/>
    <d v="2025-12-16T00:00:00"/>
    <d v="2025-12-18T00:00:00"/>
    <d v="2025-12-17T00:00:00"/>
    <m/>
    <d v="1899-12-30T07:30:00"/>
    <d v="1899-12-30T17:00:00"/>
    <n v="9.5"/>
    <s v="Completed"/>
    <m/>
  </r>
  <r>
    <s v="Electrical"/>
    <x v="13"/>
    <x v="14"/>
    <m/>
    <m/>
    <m/>
    <m/>
    <m/>
    <m/>
    <m/>
    <d v="1899-12-30T07:30:00"/>
    <d v="1899-12-30T17:00:00"/>
    <n v="9.5"/>
    <m/>
    <m/>
  </r>
  <r>
    <s v="Electrical"/>
    <x v="13"/>
    <x v="33"/>
    <s v="Generator"/>
    <s v="GEN135-013"/>
    <s v="Inspection &amp; assemble"/>
    <d v="2025-12-17T00:00:00"/>
    <d v="2025-12-17T00:00:00"/>
    <m/>
    <m/>
    <d v="1899-12-30T07:30:00"/>
    <d v="1899-12-30T16:30:00"/>
    <n v="9"/>
    <s v="Ongoing"/>
    <m/>
  </r>
  <r>
    <s v="Electrical"/>
    <x v="13"/>
    <x v="34"/>
    <m/>
    <m/>
    <m/>
    <m/>
    <m/>
    <m/>
    <m/>
    <d v="1899-12-30T07:30:00"/>
    <d v="1899-12-30T16:30:00"/>
    <n v="9"/>
    <m/>
    <m/>
  </r>
  <r>
    <s v="Electrical"/>
    <x v="13"/>
    <x v="36"/>
    <s v="Generator"/>
    <s v="GENJ150-058"/>
    <s v="Exciter field rewinding"/>
    <d v="2025-12-17T00:00:00"/>
    <d v="2025-12-19T00:00:00"/>
    <m/>
    <m/>
    <d v="1899-12-30T07:30:00"/>
    <d v="1899-12-30T16:30:00"/>
    <n v="9"/>
    <s v="Ongoing"/>
    <m/>
  </r>
  <r>
    <s v="Electrical"/>
    <x v="13"/>
    <x v="17"/>
    <s v="Submersible pump"/>
    <s v="SM1002-179"/>
    <s v="Pump dismantle"/>
    <d v="2025-12-17T00:00:00"/>
    <d v="2025-12-18T00:00:00"/>
    <m/>
    <m/>
    <d v="1899-12-30T07:30:00"/>
    <d v="1899-12-30T16:30:00"/>
    <n v="9"/>
    <s v="Ongoing"/>
    <m/>
  </r>
  <r>
    <s v="Electrical"/>
    <x v="13"/>
    <x v="35"/>
    <m/>
    <m/>
    <m/>
    <m/>
    <m/>
    <m/>
    <m/>
    <d v="1899-12-30T07:30:00"/>
    <d v="1899-12-30T16:30:00"/>
    <n v="9"/>
    <m/>
    <m/>
  </r>
  <r>
    <s v="Electrical"/>
    <x v="13"/>
    <x v="24"/>
    <s v="Panel"/>
    <s v="New 5.5kw pump"/>
    <s v="5nos BH pumps inspection, fleet number socket"/>
    <d v="2025-12-17T00:00:00"/>
    <d v="2025-12-17T00:00:00"/>
    <d v="2025-12-17T00:00:00"/>
    <m/>
    <d v="1899-12-30T08:00:00"/>
    <d v="1899-12-30T12:00:00"/>
    <n v="4"/>
    <s v="Completed"/>
    <m/>
  </r>
  <r>
    <s v="Electrical"/>
    <x v="13"/>
    <x v="24"/>
    <s v="Panel"/>
    <s v="New 2.2kw pump"/>
    <s v="12nos BH pumps inspection, fleet number socket"/>
    <d v="2025-12-17T00:00:00"/>
    <d v="2025-12-17T00:00:00"/>
    <m/>
    <m/>
    <d v="1899-12-30T13:00:00"/>
    <d v="1899-12-30T16:30:00"/>
    <n v="3.5000000000000009"/>
    <s v="Ongoing"/>
    <m/>
  </r>
  <r>
    <s v="Bay 6 -_x000a_Generator"/>
    <x v="13"/>
    <x v="23"/>
    <s v="Generator"/>
    <s v="GEN20-002"/>
    <s v="Load test &amp; final fitting"/>
    <d v="2025-11-26T00:00:00"/>
    <d v="2025-12-17T00:00:00"/>
    <d v="2025-12-17T00:00:00"/>
    <m/>
    <d v="1899-12-30T07:30:00"/>
    <d v="1899-12-30T09:30:00"/>
    <n v="1.9999999999999996"/>
    <s v="Completed"/>
    <m/>
  </r>
  <r>
    <s v="Bay 6 -_x000a_Generator"/>
    <x v="13"/>
    <x v="7"/>
    <s v="Tank"/>
    <s v="BFT334/339/343/344"/>
    <s v="Tank cap removing, suction return fitting &amp; hose fixing"/>
    <d v="2025-12-17T00:00:00"/>
    <d v="2025-12-17T00:00:00"/>
    <d v="2025-12-17T00:00:00"/>
    <m/>
    <d v="1899-12-30T12:00:00"/>
    <d v="1899-12-30T16:30:00"/>
    <n v="4.5"/>
    <s v="Completed"/>
    <m/>
  </r>
  <r>
    <s v="Bay 6 -_x000a_Generator"/>
    <x v="13"/>
    <x v="23"/>
    <m/>
    <m/>
    <m/>
    <m/>
    <m/>
    <m/>
    <m/>
    <d v="1899-12-30T09:30:00"/>
    <d v="1899-12-30T14:30:00"/>
    <n v="5"/>
    <m/>
    <m/>
  </r>
  <r>
    <s v="Bay 6 -_x000a_Generator"/>
    <x v="13"/>
    <x v="32"/>
    <m/>
    <m/>
    <m/>
    <m/>
    <m/>
    <m/>
    <m/>
    <d v="1899-12-30T07:30:00"/>
    <d v="1899-12-30T14:30:00"/>
    <n v="6.9999999999999991"/>
    <m/>
    <m/>
  </r>
  <r>
    <s v="Bay 4&amp;5 - _x000a_Pumps"/>
    <x v="13"/>
    <x v="18"/>
    <s v="Other"/>
    <s v="General work"/>
    <s v="General work"/>
    <d v="2025-12-17T00:00:00"/>
    <d v="2025-12-17T00:00:00"/>
    <m/>
    <m/>
    <d v="1899-12-30T07:30:00"/>
    <d v="1899-12-30T16:30:00"/>
    <n v="9"/>
    <s v="Completed"/>
    <m/>
  </r>
  <r>
    <s v="Bay 4&amp;5 - _x000a_Pumps"/>
    <x v="13"/>
    <x v="25"/>
    <s v="Diesel Driven CP Pump"/>
    <s v="HL130M-10"/>
    <s v="NRV installation, fan guard installation on test bay"/>
    <d v="2025-12-17T00:00:00"/>
    <d v="2025-12-25T00:00:00"/>
    <m/>
    <m/>
    <d v="1899-12-30T07:30:00"/>
    <d v="1899-12-30T16:30:00"/>
    <n v="9"/>
    <s v="Ongoing"/>
    <m/>
  </r>
  <r>
    <s v="Bay 4&amp;5 - _x000a_Pumps"/>
    <x v="13"/>
    <x v="19"/>
    <m/>
    <m/>
    <m/>
    <m/>
    <m/>
    <m/>
    <m/>
    <d v="1899-12-30T07:30:00"/>
    <d v="1899-12-30T16:30:00"/>
    <n v="9"/>
    <m/>
    <m/>
  </r>
  <r>
    <s v="Bay 4&amp;5 - _x000a_Pumps"/>
    <x v="13"/>
    <x v="21"/>
    <s v="Diesel Driven CP Pump"/>
    <s v="CP1212-009"/>
    <s v="engine removing out from canopy"/>
    <d v="2025-12-15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13"/>
    <x v="20"/>
    <m/>
    <m/>
    <m/>
    <m/>
    <m/>
    <m/>
    <m/>
    <d v="1899-12-30T08:00:00"/>
    <d v="1899-12-30T17:00:00"/>
    <n v="9.0000000000000018"/>
    <m/>
    <m/>
  </r>
  <r>
    <s v="Bay 4&amp;5 - _x000a_Pumps"/>
    <x v="13"/>
    <x v="0"/>
    <s v="Contractor dewatering Pump"/>
    <s v="DIP pump"/>
    <s v="Engine &amp; pump repair"/>
    <d v="2025-12-17T00:00:00"/>
    <d v="2025-12-17T00:00:00"/>
    <m/>
    <m/>
    <d v="1899-12-30T08:00:00"/>
    <d v="1899-12-30T17:00:00"/>
    <n v="9.0000000000000018"/>
    <s v="Completed"/>
    <m/>
  </r>
  <r>
    <s v="Bay 4&amp;5 - _x000a_Pumps"/>
    <x v="13"/>
    <x v="3"/>
    <s v="Contractor dewatering Pump"/>
    <s v="CP150-276"/>
    <s v="Engine assembling pump prepare for assembling"/>
    <d v="2025-12-13T00:00:00"/>
    <d v="2025-12-17T00:00:00"/>
    <m/>
    <m/>
    <d v="1899-12-30T07:30:00"/>
    <d v="1899-12-30T18:30:00"/>
    <n v="11"/>
    <s v="Ongoing"/>
    <m/>
  </r>
  <r>
    <s v="Bay 4&amp;5 - _x000a_Pumps"/>
    <x v="13"/>
    <x v="2"/>
    <m/>
    <m/>
    <m/>
    <m/>
    <m/>
    <m/>
    <m/>
    <d v="1899-12-30T09:30:00"/>
    <d v="1899-12-30T10:30:00"/>
    <n v="1.0000000000000004"/>
    <m/>
    <m/>
  </r>
  <r>
    <s v="Bay 4&amp;5 - _x000a_Pumps"/>
    <x v="13"/>
    <x v="4"/>
    <s v="Contractor dewatering Pump"/>
    <s v="PT175-536"/>
    <s v="Engine assembling ongoing"/>
    <d v="2025-12-12T00:00:00"/>
    <d v="2025-12-17T00:00:00"/>
    <d v="2025-12-17T00:00:00"/>
    <m/>
    <d v="1899-12-30T08:00:00"/>
    <d v="1899-12-30T19:00:00"/>
    <n v="11"/>
    <s v="Completed"/>
    <m/>
  </r>
  <r>
    <s v="Bay 4&amp;5 - _x000a_Pumps"/>
    <x v="13"/>
    <x v="2"/>
    <m/>
    <m/>
    <m/>
    <m/>
    <m/>
    <m/>
    <m/>
    <d v="1899-12-30T10:30:00"/>
    <d v="1899-12-30T11:00:00"/>
    <n v="0.49999999999999956"/>
    <m/>
    <m/>
  </r>
  <r>
    <s v="Bay 4&amp;5 - _x000a_Pumps"/>
    <x v="13"/>
    <x v="28"/>
    <s v="Contractor dewatering Pump"/>
    <s v="CP150-403"/>
    <s v="Pummp pump assembling"/>
    <d v="2025-12-15T00:00:00"/>
    <d v="2025-12-17T00:00:00"/>
    <d v="2025-12-17T00:00:00"/>
    <m/>
    <d v="1899-12-30T07:30:00"/>
    <d v="1899-12-30T18:30:00"/>
    <n v="11"/>
    <s v="Completed"/>
    <m/>
  </r>
  <r>
    <s v="Bay 4&amp;5 - _x000a_Pumps"/>
    <x v="13"/>
    <x v="2"/>
    <m/>
    <m/>
    <m/>
    <m/>
    <m/>
    <m/>
    <m/>
    <d v="1899-12-30T11:00:00"/>
    <d v="1899-12-30T12:00:00"/>
    <n v="1.0000000000000004"/>
    <m/>
    <m/>
  </r>
  <r>
    <s v="Bay 4&amp;5 - _x000a_Pumps"/>
    <x v="13"/>
    <x v="28"/>
    <s v="Contractor dewatering Pump"/>
    <s v="CP150-836"/>
    <s v="Pump assembling waiting for machine job"/>
    <d v="2025-12-13T00:00:00"/>
    <d v="2025-12-17T00:00:00"/>
    <m/>
    <m/>
    <d v="1899-12-30T07:30:00"/>
    <d v="1899-12-30T12:30:00"/>
    <n v="5.0000000000000009"/>
    <s v="Hold"/>
    <m/>
  </r>
  <r>
    <s v="Bay 4&amp;5 - _x000a_Pumps"/>
    <x v="13"/>
    <x v="1"/>
    <s v="Contractor dewatering Pump"/>
    <s v="PT175-536"/>
    <s v="Pump prepare for assembling"/>
    <d v="2025-12-13T00:00:00"/>
    <d v="2025-12-17T00:00:00"/>
    <m/>
    <m/>
    <d v="1899-12-30T07:30:00"/>
    <d v="1899-12-30T18:30:00"/>
    <n v="11"/>
    <s v="Hold"/>
    <m/>
  </r>
  <r>
    <s v="Bay 4&amp;5 - _x000a_Pumps"/>
    <x v="13"/>
    <x v="2"/>
    <m/>
    <m/>
    <m/>
    <m/>
    <m/>
    <m/>
    <m/>
    <d v="1899-12-30T10:30:00"/>
    <d v="1899-12-30T11:00:00"/>
    <n v="0.49999999999999956"/>
    <m/>
    <m/>
  </r>
  <r>
    <s v="Bay 4&amp;5 - _x000a_Pumps"/>
    <x v="13"/>
    <x v="2"/>
    <s v="Contractor dewatering Pump"/>
    <s v="CP150X3"/>
    <s v="Tested"/>
    <d v="2025-12-17T00:00:00"/>
    <d v="2025-12-17T00:00:00"/>
    <d v="2025-12-17T00:00:00"/>
    <m/>
    <d v="1899-12-30T10:00:00"/>
    <d v="1899-12-30T12:00:00"/>
    <n v="1.9999999999999996"/>
    <s v="Completed"/>
    <m/>
  </r>
  <r>
    <s v="Electrical"/>
    <x v="14"/>
    <x v="8"/>
    <s v="Panel"/>
    <s v="SPB3.7-180/181/182"/>
    <s v="Test &amp; PDI, dispatching"/>
    <d v="2025-12-18T00:00:00"/>
    <d v="2025-12-18T00:00:00"/>
    <m/>
    <m/>
    <d v="1899-12-30T08:00:00"/>
    <d v="1899-12-30T12:00:00"/>
    <n v="4"/>
    <s v="Hold"/>
    <m/>
  </r>
  <r>
    <s v="Electrical"/>
    <x v="14"/>
    <x v="8"/>
    <s v="Panel"/>
    <s v="SPB95-001"/>
    <s v="Test &amp; PDI with load"/>
    <d v="2025-12-18T00:00:00"/>
    <d v="2025-12-18T00:00:00"/>
    <d v="2025-12-18T00:00:00"/>
    <m/>
    <d v="1899-12-30T13:00:00"/>
    <d v="1899-12-30T17:00:00"/>
    <n v="4.0000000000000018"/>
    <s v="Completed"/>
    <m/>
  </r>
  <r>
    <s v="Electrical"/>
    <x v="14"/>
    <x v="9"/>
    <s v="Panel"/>
    <s v="SPB3.7-183/184"/>
    <s v="Stand fixing"/>
    <d v="2025-12-18T00:00:00"/>
    <d v="2025-12-18T00:00:00"/>
    <d v="2025-12-18T00:00:00"/>
    <m/>
    <d v="1899-12-30T08:00:00"/>
    <d v="1899-12-30T17:00:00"/>
    <n v="9.0000000000000018"/>
    <s v="Completed"/>
    <m/>
  </r>
  <r>
    <s v="Electrical"/>
    <x v="14"/>
    <x v="10"/>
    <s v="Panel"/>
    <s v="SPB3.7-183/184"/>
    <s v="Stand fixing"/>
    <d v="2025-12-18T00:00:00"/>
    <d v="2025-12-18T00:00:00"/>
    <d v="2025-12-18T00:00:00"/>
    <m/>
    <d v="1899-12-30T07:30:00"/>
    <d v="1899-12-30T16:30:00"/>
    <n v="9"/>
    <s v="Completed"/>
    <m/>
  </r>
  <r>
    <s v="Electrical"/>
    <x v="14"/>
    <x v="12"/>
    <s v="Panel"/>
    <s v="SMSP3-022"/>
    <s v="95kw pump water testing"/>
    <d v="2025-12-18T00:00:00"/>
    <d v="2025-12-18T00:00:00"/>
    <d v="2025-12-18T00:00:00"/>
    <m/>
    <d v="1899-12-30T07:30:00"/>
    <d v="1899-12-30T12:00:00"/>
    <n v="4.5"/>
    <s v="Completed"/>
    <m/>
  </r>
  <r>
    <s v="Electrical"/>
    <x v="14"/>
    <x v="14"/>
    <m/>
    <m/>
    <m/>
    <m/>
    <m/>
    <m/>
    <m/>
    <d v="1899-12-30T07:30:00"/>
    <d v="1899-12-30T12:00:00"/>
    <n v="4.5"/>
    <m/>
    <m/>
  </r>
  <r>
    <s v="Electrical"/>
    <x v="14"/>
    <x v="35"/>
    <m/>
    <m/>
    <m/>
    <m/>
    <m/>
    <m/>
    <m/>
    <d v="1899-12-30T07:30:00"/>
    <d v="1899-12-30T12:00:00"/>
    <n v="4.5"/>
    <m/>
    <m/>
  </r>
  <r>
    <s v="Electrical"/>
    <x v="14"/>
    <x v="33"/>
    <s v="Generator"/>
    <s v="GEN135-013"/>
    <s v="Inspection &amp; assemble"/>
    <d v="2025-12-17T00:00:00"/>
    <d v="2025-12-18T00:00:00"/>
    <d v="2025-12-18T00:00:00"/>
    <m/>
    <d v="1899-12-30T07:30:00"/>
    <d v="1899-12-30T12:00:00"/>
    <n v="4.5"/>
    <s v="Completed"/>
    <m/>
  </r>
  <r>
    <s v="Electrical"/>
    <x v="14"/>
    <x v="34"/>
    <m/>
    <m/>
    <m/>
    <m/>
    <m/>
    <m/>
    <m/>
    <d v="1899-12-30T07:30:00"/>
    <d v="1899-12-30T12:00:00"/>
    <n v="4.5"/>
    <m/>
    <m/>
  </r>
  <r>
    <s v="Electrical"/>
    <x v="14"/>
    <x v="36"/>
    <s v="Generator"/>
    <s v="GENJ150-058"/>
    <s v="Exciter field rewinding"/>
    <d v="2025-12-17T00:00:00"/>
    <d v="2025-12-18T00:00:00"/>
    <d v="2025-12-18T00:00:00"/>
    <m/>
    <d v="1899-12-30T07:30:00"/>
    <d v="1899-12-30T12:00:00"/>
    <n v="4.5"/>
    <s v="Completed"/>
    <m/>
  </r>
  <r>
    <s v="Electrical"/>
    <x v="14"/>
    <x v="17"/>
    <s v="Panel"/>
    <s v="SM1002-058"/>
    <s v="Rotor repair &amp; assembling"/>
    <d v="2025-12-17T00:00:00"/>
    <d v="2025-12-18T00:00:00"/>
    <m/>
    <m/>
    <d v="1899-12-30T07:30:00"/>
    <d v="1899-12-30T16:30:00"/>
    <n v="9"/>
    <s v="Ongoing"/>
    <m/>
  </r>
  <r>
    <s v="Electrical"/>
    <x v="14"/>
    <x v="24"/>
    <s v="Panel"/>
    <s v="New 2.2kw pump"/>
    <s v="12nos BH pumps inspection, fleet number socket"/>
    <d v="2025-12-17T00:00:00"/>
    <d v="2025-12-18T00:00:00"/>
    <m/>
    <m/>
    <d v="1899-12-30T08:00:00"/>
    <d v="1899-12-30T12:00:00"/>
    <n v="4"/>
    <s v="Ongoing"/>
    <m/>
  </r>
  <r>
    <s v="Electrical"/>
    <x v="14"/>
    <x v="14"/>
    <s v="Panel"/>
    <s v="SM1002-276"/>
    <s v="37kw pump water testing"/>
    <d v="2025-12-18T00:00:00"/>
    <d v="2025-12-18T00:00:00"/>
    <m/>
    <m/>
    <d v="1899-12-30T13:00:00"/>
    <d v="1899-12-30T15:00:00"/>
    <n v="2.0000000000000009"/>
    <s v="Ongoing"/>
    <m/>
  </r>
  <r>
    <s v="Electrical"/>
    <x v="14"/>
    <x v="35"/>
    <m/>
    <m/>
    <m/>
    <m/>
    <m/>
    <m/>
    <m/>
    <d v="1899-12-30T13:00:00"/>
    <d v="1899-12-30T15:00:00"/>
    <n v="2.0000000000000009"/>
    <m/>
    <m/>
  </r>
  <r>
    <s v="Electrical"/>
    <x v="14"/>
    <x v="36"/>
    <s v="Generator"/>
    <s v="GEN60-041"/>
    <s v="Ac alternator, copper winding removing"/>
    <d v="2025-12-18T00:00:00"/>
    <d v="2025-12-18T00:00:00"/>
    <m/>
    <m/>
    <d v="1899-12-30T13:00:00"/>
    <d v="1899-12-30T16:30:00"/>
    <n v="3.5000000000000009"/>
    <s v="Ongoing"/>
    <m/>
  </r>
  <r>
    <s v="Electrical"/>
    <x v="14"/>
    <x v="12"/>
    <m/>
    <m/>
    <m/>
    <m/>
    <m/>
    <m/>
    <m/>
    <d v="1899-12-30T13:00:00"/>
    <d v="1899-12-30T16:30:00"/>
    <n v="3.5000000000000009"/>
    <m/>
    <m/>
  </r>
  <r>
    <s v="Electrical"/>
    <x v="14"/>
    <x v="33"/>
    <s v="Generator"/>
    <s v="GEN45-005"/>
    <s v="Inspection &amp; assemble"/>
    <d v="2025-12-18T00:00:00"/>
    <d v="2025-12-18T00:00:00"/>
    <m/>
    <m/>
    <d v="1899-12-30T13:00:00"/>
    <d v="1899-12-30T16:30:00"/>
    <n v="3.5000000000000009"/>
    <s v="Ongoing"/>
    <m/>
  </r>
  <r>
    <s v="Electrical"/>
    <x v="14"/>
    <x v="34"/>
    <m/>
    <m/>
    <m/>
    <m/>
    <m/>
    <m/>
    <m/>
    <d v="1899-12-30T13:00:00"/>
    <d v="1899-12-30T16:30:00"/>
    <n v="3.5000000000000009"/>
    <m/>
    <m/>
  </r>
  <r>
    <s v="Bay 6 -_x000a_Generator"/>
    <x v="14"/>
    <x v="23"/>
    <s v="Generator"/>
    <s v="GEN20-002"/>
    <s v="Load test &amp; final fitting"/>
    <d v="2025-11-26T00:00:00"/>
    <d v="2025-12-17T00:00:00"/>
    <m/>
    <m/>
    <d v="1899-12-30T07:30:00"/>
    <d v="1899-12-30T09:30:00"/>
    <n v="1.9999999999999996"/>
    <s v="Ongoing"/>
    <m/>
  </r>
  <r>
    <s v="Bay 6 -_x000a_Generator"/>
    <x v="14"/>
    <x v="7"/>
    <s v="Tank"/>
    <s v="BFT334/321/326/327/335"/>
    <s v="Main cover removing, suction return fitting &amp; hose fixing"/>
    <d v="2025-12-18T00:00:00"/>
    <d v="2025-12-18T00:00:00"/>
    <d v="2025-12-18T00:00:00"/>
    <m/>
    <d v="1899-12-30T07:30:00"/>
    <d v="1899-12-30T16:30:00"/>
    <n v="9"/>
    <s v="Completed"/>
    <m/>
  </r>
  <r>
    <s v="Bay 6 -_x000a_Generator"/>
    <x v="14"/>
    <x v="23"/>
    <m/>
    <m/>
    <m/>
    <m/>
    <m/>
    <m/>
    <m/>
    <d v="1899-12-30T07:30:00"/>
    <d v="1899-12-30T16:30:00"/>
    <n v="9"/>
    <m/>
    <m/>
  </r>
  <r>
    <s v="Bay 6 -_x000a_Generator"/>
    <x v="14"/>
    <x v="32"/>
    <m/>
    <m/>
    <m/>
    <m/>
    <m/>
    <m/>
    <m/>
    <d v="1899-12-30T07:30:00"/>
    <d v="1899-12-30T16:30:00"/>
    <n v="9"/>
    <m/>
    <m/>
  </r>
  <r>
    <s v="Bay 4&amp;5 - _x000a_Pumps"/>
    <x v="14"/>
    <x v="21"/>
    <s v="Diesel Driven CP Pump"/>
    <s v="HL130M-10"/>
    <s v="Water &amp; Vaccum test"/>
    <d v="2025-12-18T00:00:00"/>
    <d v="2025-12-25T00:00:00"/>
    <m/>
    <m/>
    <d v="1899-12-30T08:00:00"/>
    <d v="1899-12-30T15:00:00"/>
    <n v="7"/>
    <s v="Ongoing"/>
    <m/>
  </r>
  <r>
    <s v="Bay 4&amp;5 - _x000a_Pumps"/>
    <x v="14"/>
    <x v="20"/>
    <m/>
    <m/>
    <m/>
    <m/>
    <m/>
    <m/>
    <m/>
    <d v="1899-12-30T08:00:00"/>
    <d v="1899-12-30T15:00:00"/>
    <n v="7"/>
    <m/>
    <m/>
  </r>
  <r>
    <s v="Bay 4&amp;5 - _x000a_Pumps"/>
    <x v="14"/>
    <x v="21"/>
    <s v="Diesel Driven CP Pump"/>
    <s v="CD150M-004"/>
    <s v="Final fitting, PDI, flowfinity"/>
    <d v="2025-12-18T00:00:00"/>
    <d v="2025-12-18T00:00:00"/>
    <m/>
    <m/>
    <d v="1899-12-30T15:00:00"/>
    <d v="1899-12-30T17:00:00"/>
    <n v="2.0000000000000009"/>
    <s v="Ongoing"/>
    <m/>
  </r>
  <r>
    <s v="Bay 4&amp;5 - _x000a_Pumps"/>
    <x v="14"/>
    <x v="20"/>
    <m/>
    <m/>
    <m/>
    <m/>
    <m/>
    <m/>
    <m/>
    <d v="1899-12-30T15:00:00"/>
    <d v="1899-12-30T17:00:00"/>
    <n v="2.0000000000000009"/>
    <m/>
    <m/>
  </r>
  <r>
    <s v="Bay 4&amp;5 - _x000a_Pumps"/>
    <x v="14"/>
    <x v="0"/>
    <s v="Contractor dewatering Pump"/>
    <s v="DIP pump 3rd party"/>
    <s v="Engine prepapre for assembling, "/>
    <d v="2025-12-17T00:00:00"/>
    <d v="2025-12-18T00:00:00"/>
    <m/>
    <m/>
    <d v="1899-12-30T08:00:00"/>
    <d v="1899-12-30T12:00:00"/>
    <n v="4"/>
    <s v="Completed"/>
    <m/>
  </r>
  <r>
    <s v="Bay 4&amp;5 - _x000a_Pumps"/>
    <x v="14"/>
    <x v="0"/>
    <s v="Contractor dewatering Pump"/>
    <s v="CP150X2"/>
    <s v="vaccum pump"/>
    <d v="2025-12-18T00:00:00"/>
    <d v="2025-12-18T00:00:00"/>
    <m/>
    <m/>
    <d v="1899-12-30T13:00:00"/>
    <d v="1899-12-30T19:00:00"/>
    <n v="6"/>
    <s v="Completed"/>
    <m/>
  </r>
  <r>
    <s v="Bay 4&amp;5 - _x000a_Pumps"/>
    <x v="14"/>
    <x v="3"/>
    <s v="Contractor dewatering Pump"/>
    <s v="CP150-090"/>
    <s v="Pump repair"/>
    <d v="2025-12-18T00:00:00"/>
    <d v="2025-12-18T00:00:00"/>
    <m/>
    <m/>
    <d v="1899-12-30T12:30:00"/>
    <d v="1899-12-30T18:30:00"/>
    <n v="6"/>
    <s v="Completed"/>
    <m/>
  </r>
  <r>
    <s v="Bay 4&amp;5 - _x000a_Pumps"/>
    <x v="14"/>
    <x v="2"/>
    <m/>
    <m/>
    <m/>
    <m/>
    <m/>
    <m/>
    <m/>
    <d v="1899-12-30T09:30:00"/>
    <d v="1899-12-30T10:30:00"/>
    <n v="1.0000000000000004"/>
    <m/>
    <m/>
  </r>
  <r>
    <s v="Bay 4&amp;5 - _x000a_Pumps"/>
    <x v="14"/>
    <x v="3"/>
    <s v="Contractor dewatering Pump"/>
    <s v="CP150-276"/>
    <s v="Engine assmebling"/>
    <d v="2025-12-16T00:00:00"/>
    <d v="2025-12-18T00:00:00"/>
    <m/>
    <m/>
    <d v="1899-12-30T07:30:00"/>
    <d v="1899-12-30T12:30:00"/>
    <n v="5.0000000000000009"/>
    <s v="Completed"/>
    <m/>
  </r>
  <r>
    <s v="Bay 4&amp;5 - _x000a_Pumps"/>
    <x v="14"/>
    <x v="4"/>
    <s v="Contractor dewatering Pump"/>
    <s v="PT175-520"/>
    <s v="Engine repair"/>
    <d v="2025-12-12T00:00:00"/>
    <d v="2025-12-18T00:00:00"/>
    <m/>
    <m/>
    <d v="1899-12-30T08:00:00"/>
    <d v="1899-12-30T19:00:00"/>
    <n v="11"/>
    <s v="Ongoing"/>
    <m/>
  </r>
  <r>
    <s v="Bay 4&amp;5 - _x000a_Pumps"/>
    <x v="14"/>
    <x v="2"/>
    <m/>
    <m/>
    <m/>
    <m/>
    <m/>
    <m/>
    <m/>
    <d v="1899-12-30T10:30:00"/>
    <d v="1899-12-30T11:00:00"/>
    <n v="0.49999999999999956"/>
    <m/>
    <m/>
  </r>
  <r>
    <s v="Bay 4&amp;5 - _x000a_Pumps"/>
    <x v="14"/>
    <x v="28"/>
    <s v="Contractor dewatering Pump"/>
    <s v="CP150-403"/>
    <s v="Pump &amp; engine repair, water test"/>
    <d v="2025-12-15T00:00:00"/>
    <d v="2025-12-18T00:00:00"/>
    <m/>
    <m/>
    <d v="1899-12-30T07:30:00"/>
    <d v="1899-12-30T11:30:00"/>
    <n v="4"/>
    <s v="Ongoing"/>
    <m/>
  </r>
  <r>
    <s v="Bay 4&amp;5 - _x000a_Pumps"/>
    <x v="14"/>
    <x v="2"/>
    <m/>
    <m/>
    <m/>
    <m/>
    <m/>
    <m/>
    <m/>
    <d v="1899-12-30T11:00:00"/>
    <d v="1899-12-30T12:00:00"/>
    <n v="1.0000000000000004"/>
    <m/>
    <m/>
  </r>
  <r>
    <s v="Bay 4&amp;5 - _x000a_Pumps"/>
    <x v="14"/>
    <x v="28"/>
    <s v="Contractor dewatering Pump"/>
    <s v="CP150-836"/>
    <s v="Pump assembling waiting for machine job"/>
    <d v="2025-12-13T00:00:00"/>
    <d v="2025-12-18T00:00:00"/>
    <m/>
    <m/>
    <d v="1899-12-30T07:30:00"/>
    <d v="1899-12-30T12:30:00"/>
    <n v="5.0000000000000009"/>
    <s v="Hold"/>
    <m/>
  </r>
  <r>
    <s v="Bay 4&amp;5 - _x000a_Pumps"/>
    <x v="14"/>
    <x v="1"/>
    <s v="Contractor dewatering Pump"/>
    <s v="PT175-536"/>
    <s v="Pump prepare for assembling"/>
    <d v="2025-12-13T00:00:00"/>
    <d v="2025-12-17T00:00:00"/>
    <m/>
    <m/>
    <d v="1899-12-30T07:30:00"/>
    <d v="1899-12-30T18:30:00"/>
    <n v="11"/>
    <s v="Hold"/>
    <m/>
  </r>
  <r>
    <s v="Bay 4&amp;5 - _x000a_Pumps"/>
    <x v="14"/>
    <x v="2"/>
    <m/>
    <m/>
    <m/>
    <m/>
    <m/>
    <m/>
    <m/>
    <d v="1899-12-30T10:30:00"/>
    <d v="1899-12-30T11:00:00"/>
    <n v="0.49999999999999956"/>
    <m/>
    <m/>
  </r>
  <r>
    <s v="Bay 4&amp;5 - _x000a_Pumps"/>
    <x v="14"/>
    <x v="2"/>
    <s v="Other"/>
    <s v="General work"/>
    <s v="MCS work &amp; general work"/>
    <d v="2025-12-18T00:00:00"/>
    <d v="2025-12-18T00:00:00"/>
    <m/>
    <m/>
    <d v="1899-12-30T10:00:00"/>
    <d v="1899-12-30T11:00:00"/>
    <n v="0.99999999999999911"/>
    <s v="Ongoing"/>
    <m/>
  </r>
  <r>
    <s v="Electrical"/>
    <x v="15"/>
    <x v="9"/>
    <s v="Panel"/>
    <s v="SPB37-082"/>
    <s v="Repair work"/>
    <d v="2025-12-19T00:00:00"/>
    <d v="2025-12-19T00:00:00"/>
    <m/>
    <m/>
    <d v="1899-12-30T07:00:00"/>
    <d v="1899-12-30T17:00:00"/>
    <n v="10"/>
    <s v="Ongoing"/>
    <m/>
  </r>
  <r>
    <s v="Electrical"/>
    <x v="15"/>
    <x v="10"/>
    <m/>
    <m/>
    <m/>
    <m/>
    <m/>
    <m/>
    <m/>
    <d v="1899-12-30T07:00:00"/>
    <d v="1899-12-30T17:00:00"/>
    <n v="10"/>
    <m/>
    <m/>
  </r>
  <r>
    <s v="Electrical"/>
    <x v="15"/>
    <x v="33"/>
    <s v="Panel"/>
    <s v="SMSP3-023"/>
    <s v="75kw pump inspection &amp; dismantle"/>
    <d v="2025-12-19T00:00:00"/>
    <d v="2025-12-19T00:00:00"/>
    <d v="2025-12-19T00:00:00"/>
    <m/>
    <d v="1899-12-30T07:30:00"/>
    <d v="1899-12-30T16:30:00"/>
    <n v="9"/>
    <s v="Completed"/>
    <m/>
  </r>
  <r>
    <s v="Electrical"/>
    <x v="15"/>
    <x v="14"/>
    <m/>
    <m/>
    <m/>
    <m/>
    <m/>
    <m/>
    <m/>
    <d v="1899-12-30T07:30:00"/>
    <d v="1899-12-30T16:30:00"/>
    <n v="9"/>
    <m/>
    <m/>
  </r>
  <r>
    <s v="Electrical"/>
    <x v="15"/>
    <x v="36"/>
    <s v="Generator"/>
    <s v="GEN60-041"/>
    <s v="Ac alternator copper winding, rewinding"/>
    <d v="2025-12-18T00:00:00"/>
    <d v="2025-12-19T00:00:00"/>
    <m/>
    <m/>
    <d v="1899-12-30T07:30:00"/>
    <d v="1899-12-30T16:30:00"/>
    <n v="9"/>
    <s v="Ongoing"/>
    <m/>
  </r>
  <r>
    <s v="Electrical"/>
    <x v="15"/>
    <x v="24"/>
    <s v="Panel"/>
    <s v="New 5.5kw pump"/>
    <s v="10nos BH pumps inspection, fleet number socket32a, tagging."/>
    <d v="2025-12-19T00:00:00"/>
    <d v="2025-12-19T00:00:00"/>
    <d v="2025-12-19T00:00:00"/>
    <m/>
    <d v="1899-12-30T08:00:00"/>
    <d v="1899-12-30T17:00:00"/>
    <n v="9.0000000000000018"/>
    <s v="Completed"/>
    <m/>
  </r>
  <r>
    <s v="Bay 6 -_x000a_Generator"/>
    <x v="15"/>
    <x v="23"/>
    <s v="Generator"/>
    <s v="GEN20-002"/>
    <s v="Load test &amp; final fitting"/>
    <d v="2025-11-26T00:00:00"/>
    <d v="2025-12-17T00:00:00"/>
    <m/>
    <m/>
    <d v="1899-12-30T07:30:00"/>
    <d v="1899-12-30T09:30:00"/>
    <n v="1.9999999999999996"/>
    <s v="Ongoing"/>
    <m/>
  </r>
  <r>
    <s v="Bay 6 -_x000a_Generator"/>
    <x v="15"/>
    <x v="7"/>
    <s v="Generator"/>
    <s v="GEN250-057"/>
    <s v="Radiator &amp; ac alternator fixing"/>
    <d v="2025-11-21T00:00:00"/>
    <d v="2025-12-19T00:00:00"/>
    <d v="2025-12-19T00:00:00"/>
    <m/>
    <d v="1899-12-30T09:45:00"/>
    <d v="1899-12-30T16:30:00"/>
    <n v="6.75"/>
    <s v="Completed"/>
    <m/>
  </r>
  <r>
    <s v="Bay 6 -_x000a_Generator"/>
    <x v="15"/>
    <x v="23"/>
    <m/>
    <m/>
    <m/>
    <m/>
    <m/>
    <m/>
    <m/>
    <d v="1899-12-30T14:00:00"/>
    <d v="1899-12-30T14:30:00"/>
    <n v="0.49999999999999822"/>
    <m/>
    <m/>
  </r>
  <r>
    <s v="Bay 6 -_x000a_Generator"/>
    <x v="15"/>
    <x v="23"/>
    <s v="Generator"/>
    <s v="GEN100-013"/>
    <s v="Canopy &amp; ac alternator removing"/>
    <d v="2025-12-19T00:00:00"/>
    <d v="2025-12-19T00:00:00"/>
    <d v="2025-12-19T00:00:00"/>
    <m/>
    <d v="1899-12-30T09:00:00"/>
    <d v="1899-12-30T14:00:00"/>
    <n v="5.0000000000000009"/>
    <s v="Completed"/>
    <m/>
  </r>
  <r>
    <s v="Bay 6 -_x000a_Generator"/>
    <x v="15"/>
    <x v="32"/>
    <m/>
    <m/>
    <m/>
    <m/>
    <m/>
    <m/>
    <m/>
    <d v="1899-12-30T09:00:00"/>
    <d v="1899-12-30T14:00:00"/>
    <n v="5.0000000000000009"/>
    <m/>
    <m/>
  </r>
  <r>
    <s v="Bay 4&amp;5 - _x000a_Pumps"/>
    <x v="15"/>
    <x v="18"/>
    <s v="Diesel Driven CP Pump"/>
    <s v="KV550-001"/>
    <s v="pump dismentaling"/>
    <d v="2025-12-19T00:00:00"/>
    <d v="2025-12-30T00:00:00"/>
    <d v="2025-12-19T00:00:00"/>
    <m/>
    <d v="1899-12-30T08:00:00"/>
    <d v="1899-12-30T12:00:00"/>
    <n v="4"/>
    <s v="Completed"/>
    <m/>
  </r>
  <r>
    <s v="Bay 4&amp;5 - _x000a_Pumps"/>
    <x v="15"/>
    <x v="20"/>
    <m/>
    <m/>
    <m/>
    <m/>
    <m/>
    <m/>
    <m/>
    <d v="1899-12-30T07:30:00"/>
    <d v="1899-12-30T16:30:00"/>
    <n v="9"/>
    <m/>
    <m/>
  </r>
  <r>
    <s v="Bay 4&amp;5 - _x000a_Pumps"/>
    <x v="15"/>
    <x v="18"/>
    <s v="Diesel Driven CP Pump"/>
    <s v="CD300M-08"/>
    <s v="Pump end dismantling."/>
    <d v="2025-12-19T00:00:00"/>
    <d v="2025-12-19T00:00:00"/>
    <d v="2025-12-19T00:00:00"/>
    <m/>
    <d v="1899-12-30T13:00:00"/>
    <d v="1899-12-30T17:00:00"/>
    <n v="4.0000000000000018"/>
    <s v="Completed"/>
    <m/>
  </r>
  <r>
    <s v="Bay 4&amp;5 - _x000a_Pumps"/>
    <x v="15"/>
    <x v="37"/>
    <m/>
    <m/>
    <m/>
    <m/>
    <m/>
    <m/>
    <m/>
    <d v="1899-12-30T15:00:00"/>
    <d v="1899-12-30T17:00:00"/>
    <n v="2.0000000000000009"/>
    <m/>
    <m/>
  </r>
  <r>
    <s v="Bay 4&amp;5 - _x000a_Pumps"/>
    <x v="15"/>
    <x v="0"/>
    <s v="Contractor dewatering Pump"/>
    <s v="CP150X3"/>
    <s v="vaccum pump repair"/>
    <d v="2025-12-19T00:00:00"/>
    <d v="2025-12-19T00:00:00"/>
    <m/>
    <m/>
    <d v="1899-12-30T08:00:00"/>
    <d v="1899-12-30T19:00:00"/>
    <n v="11"/>
    <s v="Ongoing"/>
    <m/>
  </r>
  <r>
    <s v="Bay 4&amp;5 - _x000a_Pumps"/>
    <x v="15"/>
    <x v="3"/>
    <s v="Contractor dewatering Pump"/>
    <s v="CP150-090"/>
    <s v="Pump repair"/>
    <d v="2025-12-18T00:00:00"/>
    <d v="2025-12-18T00:00:00"/>
    <d v="2025-12-19T00:00:00"/>
    <m/>
    <d v="1899-12-30T12:30:00"/>
    <d v="1899-12-30T18:30:00"/>
    <n v="6"/>
    <s v="Completed"/>
    <m/>
  </r>
  <r>
    <s v="Bay 4&amp;5 - _x000a_Pumps"/>
    <x v="15"/>
    <x v="2"/>
    <m/>
    <m/>
    <m/>
    <m/>
    <m/>
    <m/>
    <m/>
    <d v="1899-12-30T09:30:00"/>
    <d v="1899-12-30T10:30:00"/>
    <n v="1.0000000000000004"/>
    <m/>
    <m/>
  </r>
  <r>
    <s v="Bay 4&amp;5 - _x000a_Pumps"/>
    <x v="15"/>
    <x v="4"/>
    <s v="Contractor dewatering Pump"/>
    <s v="PT175-520"/>
    <s v="Pump assembling"/>
    <d v="2025-12-18T00:00:00"/>
    <d v="2025-12-19T00:00:00"/>
    <d v="2025-12-19T00:00:00"/>
    <m/>
    <d v="1899-12-30T08:00:00"/>
    <d v="1899-12-30T19:00:00"/>
    <n v="11"/>
    <s v="Completed"/>
    <m/>
  </r>
  <r>
    <s v="Bay 4&amp;5 - _x000a_Pumps"/>
    <x v="15"/>
    <x v="2"/>
    <m/>
    <m/>
    <m/>
    <m/>
    <m/>
    <m/>
    <m/>
    <d v="1899-12-30T10:30:00"/>
    <d v="1899-12-30T11:00:00"/>
    <n v="0.49999999999999956"/>
    <m/>
    <m/>
  </r>
  <r>
    <s v="Bay 4&amp;5 - _x000a_Pumps"/>
    <x v="15"/>
    <x v="28"/>
    <s v="Contractor dewatering Pump"/>
    <s v="CP150-836"/>
    <s v="Pump assembling ongoing"/>
    <d v="2025-12-13T00:00:00"/>
    <d v="2025-12-19T00:00:00"/>
    <m/>
    <m/>
    <d v="1899-12-30T07:30:00"/>
    <d v="1899-12-30T11:30:00"/>
    <n v="4"/>
    <s v="Completed"/>
    <m/>
  </r>
  <r>
    <s v="Bay 4&amp;5 - _x000a_Pumps"/>
    <x v="15"/>
    <x v="2"/>
    <m/>
    <m/>
    <m/>
    <m/>
    <m/>
    <m/>
    <m/>
    <d v="1899-12-30T11:00:00"/>
    <d v="1899-12-30T12:00:00"/>
    <n v="1.0000000000000004"/>
    <m/>
    <m/>
  </r>
  <r>
    <s v="Bay 4&amp;5 - _x000a_Pumps"/>
    <x v="15"/>
    <x v="1"/>
    <s v="Contractor dewatering Pump"/>
    <s v="PT175-536"/>
    <s v="Pump prepare for assembling"/>
    <d v="2025-12-16T00:00:00"/>
    <d v="2025-12-19T00:00:00"/>
    <d v="2025-12-19T00:00:00"/>
    <m/>
    <d v="1899-12-30T07:30:00"/>
    <d v="1899-12-30T18:30:00"/>
    <n v="11"/>
    <s v="Completed"/>
    <m/>
  </r>
  <r>
    <s v="Bay 4&amp;5 - _x000a_Pumps"/>
    <x v="15"/>
    <x v="2"/>
    <m/>
    <m/>
    <m/>
    <m/>
    <m/>
    <m/>
    <m/>
    <d v="1899-12-30T10:30:00"/>
    <d v="1899-12-30T11:00:00"/>
    <n v="0.49999999999999956"/>
    <m/>
    <m/>
  </r>
  <r>
    <s v="Bay 4&amp;5 - _x000a_Pumps"/>
    <x v="15"/>
    <x v="2"/>
    <s v="Other"/>
    <s v="General work"/>
    <s v="MCS work &amp; general work"/>
    <d v="2025-12-18T00:00:00"/>
    <d v="2025-12-19T00:00:00"/>
    <m/>
    <m/>
    <d v="1899-12-30T10:00:00"/>
    <d v="1899-12-30T11:00:00"/>
    <n v="0.99999999999999911"/>
    <s v="Ongoing"/>
    <m/>
  </r>
  <r>
    <s v="Bay 4&amp;5 - _x000a_Pumps"/>
    <x v="15"/>
    <x v="5"/>
    <s v="Contractor dewatering Pump"/>
    <s v="CP150-276"/>
    <s v="Pump assembling"/>
    <d v="2025-12-16T00:00:00"/>
    <d v="2025-12-19T00:00:00"/>
    <d v="2025-12-19T00:00:00"/>
    <m/>
    <d v="1899-12-30T07:30:00"/>
    <d v="1899-12-30T19:00:00"/>
    <n v="11.5"/>
    <s v="Completed"/>
    <m/>
  </r>
  <r>
    <s v="Bay 4&amp;5 - _x000a_Pumps"/>
    <x v="15"/>
    <x v="3"/>
    <s v="Contractor dewatering Pump"/>
    <s v="CP150-632"/>
    <s v="Pump repair"/>
    <d v="2025-12-18T00:00:00"/>
    <d v="2025-12-19T00:00:00"/>
    <d v="2025-12-19T00:00:00"/>
    <m/>
    <d v="1899-12-30T07:30:00"/>
    <d v="1899-12-30T12:00:00"/>
    <n v="4.5"/>
    <s v="Completed"/>
    <m/>
  </r>
  <r>
    <s v="Bay 4&amp;5 - _x000a_Pumps"/>
    <x v="14"/>
    <x v="5"/>
    <s v="Contractor dewatering Pump"/>
    <s v="CP150-632"/>
    <s v="Pump repair"/>
    <d v="2025-12-17T00:00:00"/>
    <d v="2025-12-19T00:00:00"/>
    <m/>
    <m/>
    <d v="1899-12-30T14:00:00"/>
    <d v="1899-12-30T19:00:00"/>
    <n v="4.9999999999999982"/>
    <s v="Ongoing"/>
    <m/>
  </r>
  <r>
    <s v="Electrical"/>
    <x v="16"/>
    <x v="8"/>
    <s v="Panel"/>
    <s v="SPB3.7"/>
    <s v="4nos panels testing, PDI &amp; dispatching"/>
    <d v="2025-12-20T00:00:00"/>
    <d v="2025-12-20T00:00:00"/>
    <m/>
    <m/>
    <d v="1899-12-30T08:00:00"/>
    <d v="1899-12-30T17:00:00"/>
    <n v="9.0000000000000018"/>
    <s v="Hold"/>
    <m/>
  </r>
  <r>
    <s v="Electrical"/>
    <x v="16"/>
    <x v="9"/>
    <s v="Panel"/>
    <s v="SPB3.7-185/186"/>
    <s v="Stand &amp; canopy fixing "/>
    <d v="2025-12-20T00:00:00"/>
    <d v="2025-12-20T00:00:00"/>
    <d v="2025-12-20T00:00:00"/>
    <m/>
    <d v="1899-12-30T08:00:00"/>
    <d v="1899-12-30T17:00:00"/>
    <n v="9.0000000000000018"/>
    <s v="Completed"/>
    <m/>
  </r>
  <r>
    <s v="Electrical"/>
    <x v="16"/>
    <x v="10"/>
    <m/>
    <m/>
    <m/>
    <m/>
    <m/>
    <m/>
    <m/>
    <d v="1899-12-30T07:00:00"/>
    <d v="1899-12-30T17:00:00"/>
    <n v="10"/>
    <m/>
    <m/>
  </r>
  <r>
    <s v="Electrical"/>
    <x v="16"/>
    <x v="33"/>
    <s v="Panel"/>
    <s v="SMSP3-023"/>
    <s v="75kw pumpservicing &amp; cleaning"/>
    <d v="2025-12-19T00:00:00"/>
    <d v="2025-12-20T00:00:00"/>
    <m/>
    <m/>
    <d v="1899-12-30T07:30:00"/>
    <d v="1899-12-30T16:30:00"/>
    <n v="9"/>
    <s v="Ongoing"/>
    <m/>
  </r>
  <r>
    <s v="Electrical"/>
    <x v="16"/>
    <x v="14"/>
    <m/>
    <m/>
    <m/>
    <m/>
    <m/>
    <m/>
    <m/>
    <d v="1899-12-30T07:30:00"/>
    <d v="1899-12-30T16:30:00"/>
    <n v="9"/>
    <m/>
    <m/>
  </r>
  <r>
    <s v="Electrical"/>
    <x v="16"/>
    <x v="36"/>
    <s v="Generator"/>
    <s v="GEN60-041"/>
    <s v="Ac alternator copper winding, removing"/>
    <d v="2025-12-18T00:00:00"/>
    <d v="2025-12-20T00:00:00"/>
    <m/>
    <m/>
    <d v="1899-12-30T07:30:00"/>
    <d v="1899-12-30T16:30:00"/>
    <n v="9"/>
    <s v="Ongoing"/>
    <m/>
  </r>
  <r>
    <s v="Electrical"/>
    <x v="16"/>
    <x v="24"/>
    <s v="Panel"/>
    <s v="New 2.2kw pump"/>
    <s v="12nos BH pumps inspection, fleet number socket 32a, number tagging."/>
    <d v="2025-12-20T00:00:00"/>
    <d v="2025-12-20T00:00:00"/>
    <m/>
    <m/>
    <d v="1899-12-30T08:00:00"/>
    <d v="1899-12-30T17:00:00"/>
    <n v="9.0000000000000018"/>
    <s v="Ongoing"/>
    <m/>
  </r>
  <r>
    <s v="Electrical"/>
    <x v="16"/>
    <x v="17"/>
    <s v="Submersible pump"/>
    <s v="SM1002-058"/>
    <s v="Cable glinding"/>
    <d v="2025-12-20T00:00:00"/>
    <d v="2025-12-20T00:00:00"/>
    <d v="2025-12-20T00:00:00"/>
    <m/>
    <d v="1899-12-30T07:30:00"/>
    <d v="1899-12-30T09:30:00"/>
    <n v="1.9999999999999996"/>
    <s v="Completed"/>
    <m/>
  </r>
  <r>
    <s v="Electrical"/>
    <x v="16"/>
    <x v="17"/>
    <s v="Generator"/>
    <s v="GEN135-013"/>
    <s v="Power cable connection"/>
    <d v="2025-12-20T00:00:00"/>
    <d v="2025-12-20T00:00:00"/>
    <d v="2025-12-20T00:00:00"/>
    <m/>
    <d v="1899-12-30T10:00:00"/>
    <d v="1899-12-30T13:00:00"/>
    <n v="2.9999999999999987"/>
    <s v="Completed"/>
    <m/>
  </r>
  <r>
    <s v="Electrical"/>
    <x v="16"/>
    <x v="12"/>
    <s v="Submersible pump"/>
    <s v="SMSP3-021"/>
    <s v="95kw pump inspection"/>
    <d v="2025-12-20T00:00:00"/>
    <d v="2025-12-20T00:00:00"/>
    <m/>
    <m/>
    <d v="1899-12-30T07:30:00"/>
    <d v="1899-12-30T12:00:00"/>
    <n v="4.5"/>
    <s v="Ongoing"/>
    <m/>
  </r>
  <r>
    <s v="Electrical"/>
    <x v="16"/>
    <x v="34"/>
    <m/>
    <m/>
    <m/>
    <m/>
    <m/>
    <m/>
    <m/>
    <d v="1899-12-30T07:30:00"/>
    <d v="1899-12-30T12:00:00"/>
    <n v="4.5"/>
    <m/>
    <m/>
  </r>
  <r>
    <s v="Bay 6 -_x000a_Generator"/>
    <x v="16"/>
    <x v="7"/>
    <s v="Generator"/>
    <s v="GEN135-013"/>
    <s v="Rear seal change, ac alternator fixing, valve &amp; fuel tank cleaning"/>
    <d v="2025-12-12T00:00:00"/>
    <d v="2025-12-20T00:00:00"/>
    <d v="2025-12-20T00:00:00"/>
    <m/>
    <d v="1899-12-30T07:30:00"/>
    <d v="1899-12-30T16:30:00"/>
    <n v="9"/>
    <s v="Completed"/>
    <m/>
  </r>
  <r>
    <s v="Bay 6 -_x000a_Generator"/>
    <x v="16"/>
    <x v="32"/>
    <s v="Generator"/>
    <s v="GEN200-007"/>
    <s v="Radiator fixing &amp; final fitting "/>
    <d v="2025-11-08T00:00:00"/>
    <d v="2025-12-20T00:00:00"/>
    <d v="2025-12-20T00:00:00"/>
    <m/>
    <d v="1899-12-30T07:30:00"/>
    <d v="1899-12-30T10:30:00"/>
    <n v="3"/>
    <s v="Completed"/>
    <m/>
  </r>
  <r>
    <s v="Bay 6 -_x000a_Generator"/>
    <x v="16"/>
    <x v="23"/>
    <m/>
    <m/>
    <m/>
    <m/>
    <m/>
    <m/>
    <m/>
    <d v="1899-12-30T07:30:00"/>
    <d v="1899-12-30T10:30:00"/>
    <n v="3"/>
    <m/>
    <m/>
  </r>
  <r>
    <s v="Bay 6 -_x000a_Generator"/>
    <x v="16"/>
    <x v="23"/>
    <s v="Generator"/>
    <s v="GEN150-053"/>
    <s v="Radiator fixing &amp; final fitting "/>
    <d v="2025-12-05T00:00:00"/>
    <d v="2025-12-20T00:00:00"/>
    <d v="2025-12-20T00:00:00"/>
    <m/>
    <d v="1899-12-30T10:30:00"/>
    <d v="1899-12-30T15:30:00"/>
    <n v="5.0000000000000009"/>
    <s v="Completed"/>
    <m/>
  </r>
  <r>
    <s v="Bay 6 -_x000a_Generator"/>
    <x v="16"/>
    <x v="32"/>
    <m/>
    <m/>
    <m/>
    <m/>
    <m/>
    <m/>
    <m/>
    <d v="1899-12-30T10:30:00"/>
    <d v="1899-12-30T15:30:00"/>
    <n v="5.0000000000000009"/>
    <m/>
    <m/>
  </r>
  <r>
    <s v="Bay 6 -_x000a_Generator"/>
    <x v="16"/>
    <x v="23"/>
    <s v="Generator"/>
    <s v="GEN250-057"/>
    <s v="Load test"/>
    <d v="2025-11-21T00:00:00"/>
    <d v="2025-12-20T00:00:00"/>
    <m/>
    <m/>
    <d v="1899-12-30T15:30:00"/>
    <d v="1899-12-30T16:30:00"/>
    <n v="0.99999999999999911"/>
    <s v="Hold"/>
    <m/>
  </r>
  <r>
    <s v="Bay 6 -_x000a_Generator"/>
    <x v="16"/>
    <x v="32"/>
    <m/>
    <m/>
    <m/>
    <m/>
    <m/>
    <m/>
    <m/>
    <d v="1899-12-30T15:30:00"/>
    <d v="1899-12-30T16:30:00"/>
    <n v="0.99999999999999911"/>
    <m/>
    <m/>
  </r>
  <r>
    <s v="Bay 4&amp;5 - _x000a_Pumps"/>
    <x v="16"/>
    <x v="18"/>
    <s v="Diesel Driven CP Pump"/>
    <s v="KV550-001"/>
    <s v="Suction casing repairing, sleeve removing from the shaft"/>
    <d v="2025-12-20T00:00:00"/>
    <d v="2025-12-30T00:00:00"/>
    <d v="2025-12-30T00:00:00"/>
    <m/>
    <d v="1899-12-30T07:30:00"/>
    <d v="1899-12-30T16:30:00"/>
    <n v="9"/>
    <s v="Completed"/>
    <m/>
  </r>
  <r>
    <s v="Bay 4&amp;5 - _x000a_Pumps"/>
    <x v="16"/>
    <x v="20"/>
    <m/>
    <m/>
    <m/>
    <m/>
    <m/>
    <m/>
    <m/>
    <d v="1899-12-30T07:30:00"/>
    <d v="1899-12-30T16:30:00"/>
    <n v="9"/>
    <m/>
    <m/>
  </r>
  <r>
    <s v="Bay 4&amp;5 - _x000a_Pumps"/>
    <x v="16"/>
    <x v="38"/>
    <s v="Diesel Driven CP Pump"/>
    <s v="HL130M-10"/>
    <s v="Water testing, removing from the test bay"/>
    <d v="2025-12-20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16"/>
    <x v="37"/>
    <m/>
    <m/>
    <m/>
    <m/>
    <m/>
    <m/>
    <m/>
    <d v="1899-12-30T08:00:00"/>
    <d v="1899-12-30T17:00:00"/>
    <n v="9.0000000000000018"/>
    <m/>
    <m/>
  </r>
  <r>
    <s v="Bay 4&amp;5 - _x000a_Pumps"/>
    <x v="16"/>
    <x v="0"/>
    <s v="Contractor dewatering Pump"/>
    <s v="CP150X3"/>
    <s v="vaccum pump repair for maf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3"/>
    <s v="Contractor dewatering Pump"/>
    <s v="CP150-090"/>
    <s v="Pump repair"/>
    <d v="2025-12-18T00:00:00"/>
    <d v="2025-12-20T00:00:00"/>
    <d v="2025-12-20T00:00:00"/>
    <m/>
    <d v="1899-12-30T07:30:00"/>
    <d v="1899-12-30T09:30:00"/>
    <n v="1.9999999999999996"/>
    <s v="Completed"/>
    <m/>
  </r>
  <r>
    <s v="Bay 4&amp;5 - _x000a_Pumps"/>
    <x v="16"/>
    <x v="2"/>
    <m/>
    <m/>
    <m/>
    <m/>
    <m/>
    <m/>
    <m/>
    <d v="1899-12-30T09:30:00"/>
    <d v="1899-12-30T10:30:00"/>
    <n v="1.0000000000000004"/>
    <m/>
    <m/>
  </r>
  <r>
    <s v="Bay 4&amp;5 - _x000a_Pumps"/>
    <x v="16"/>
    <x v="4"/>
    <s v="Contractor dewatering Pump"/>
    <s v="PT175-531"/>
    <s v="Engine dismantling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2"/>
    <m/>
    <m/>
    <m/>
    <m/>
    <m/>
    <m/>
    <m/>
    <d v="1899-12-30T10:30:00"/>
    <d v="1899-12-30T11:00:00"/>
    <n v="0.49999999999999956"/>
    <m/>
    <m/>
  </r>
  <r>
    <s v="Bay 4&amp;5 - _x000a_Pumps"/>
    <x v="16"/>
    <x v="28"/>
    <s v="Contractor dewatering Pump"/>
    <s v="CP150-022"/>
    <s v="Pump repair "/>
    <d v="2025-12-13T00:00:00"/>
    <d v="2025-12-20T00:00:00"/>
    <d v="2025-12-20T00:00:00"/>
    <m/>
    <d v="1899-12-30T11:30:00"/>
    <d v="1899-12-30T18:30:00"/>
    <n v="7"/>
    <s v="Completed"/>
    <m/>
  </r>
  <r>
    <s v="Bay 4&amp;5 - _x000a_Pumps"/>
    <x v="16"/>
    <x v="2"/>
    <m/>
    <m/>
    <m/>
    <m/>
    <m/>
    <m/>
    <m/>
    <d v="1899-12-30T11:00:00"/>
    <d v="1899-12-30T12:00:00"/>
    <n v="1.0000000000000004"/>
    <m/>
    <m/>
  </r>
  <r>
    <s v="Bay 4&amp;5 - _x000a_Pumps"/>
    <x v="16"/>
    <x v="1"/>
    <s v="Contractor dewatering Pump"/>
    <s v="PT175-521"/>
    <s v="Final fitting"/>
    <d v="2025-12-20T00:00:00"/>
    <d v="2025-12-20T00:00:00"/>
    <d v="2025-12-20T00:00:00"/>
    <m/>
    <d v="1899-12-30T07:30:00"/>
    <d v="1899-12-30T11:30:00"/>
    <n v="4"/>
    <s v="Completed"/>
    <m/>
  </r>
  <r>
    <s v="Bay 4&amp;5 - _x000a_Pumps"/>
    <x v="16"/>
    <x v="2"/>
    <m/>
    <m/>
    <m/>
    <m/>
    <m/>
    <m/>
    <m/>
    <d v="1899-12-30T10:30:00"/>
    <d v="1899-12-30T11:00:00"/>
    <n v="0.49999999999999956"/>
    <m/>
    <m/>
  </r>
  <r>
    <s v="Bay 4&amp;5 - _x000a_Pumps"/>
    <x v="16"/>
    <x v="1"/>
    <s v="Contractor dewatering Pump"/>
    <s v="PT175-536"/>
    <s v="Pump &amp; engine repair, water test"/>
    <d v="2025-12-16T00:00:00"/>
    <d v="2025-12-20T00:00:00"/>
    <m/>
    <m/>
    <d v="1899-12-30T11:30:00"/>
    <d v="1899-12-30T18:30:00"/>
    <n v="7"/>
    <s v="Ongoing"/>
    <m/>
  </r>
  <r>
    <s v="Bay 4&amp;5 - _x000a_Pumps"/>
    <x v="16"/>
    <x v="2"/>
    <s v="Other"/>
    <s v="General work"/>
    <s v="MCS work &amp; general work"/>
    <d v="2025-12-18T00:00:00"/>
    <d v="2025-12-19T00:00:00"/>
    <m/>
    <m/>
    <d v="1899-12-30T10:00:00"/>
    <d v="1899-12-30T11:00:00"/>
    <n v="0.99999999999999911"/>
    <s v="Ongoing"/>
    <m/>
  </r>
  <r>
    <s v="Bay 4&amp;5 - _x000a_Pumps"/>
    <x v="16"/>
    <x v="5"/>
    <s v="Contractor dewatering Pump"/>
    <s v="CP150-001"/>
    <s v="Pump repair"/>
    <d v="2025-12-20T00:00:00"/>
    <d v="2025-12-20T00:00:00"/>
    <d v="2025-12-20T00:00:00"/>
    <m/>
    <d v="1899-12-30T08:00:00"/>
    <d v="1899-12-30T19:00:00"/>
    <n v="11"/>
    <s v="Completed"/>
    <m/>
  </r>
  <r>
    <s v="Bay 4&amp;5 - _x000a_Pumps"/>
    <x v="16"/>
    <x v="3"/>
    <s v="Contractor dewatering Pump"/>
    <s v="CP150-923"/>
    <s v="Engine repair"/>
    <d v="2025-12-20T00:00:00"/>
    <d v="2025-12-20T00:00:00"/>
    <d v="2025-12-20T00:00:00"/>
    <m/>
    <d v="1899-12-30T09:30:00"/>
    <d v="1899-12-30T18:30:00"/>
    <n v="9.0000000000000018"/>
    <s v="Completed"/>
    <m/>
  </r>
  <r>
    <s v="Electrical"/>
    <x v="17"/>
    <x v="8"/>
    <s v="Panel"/>
    <s v="ATS400"/>
    <s v="Motorized change over inspection&amp; repairing"/>
    <d v="2025-12-22T00:00:00"/>
    <d v="2025-12-22T00:00:00"/>
    <m/>
    <m/>
    <d v="1899-12-30T08:00:00"/>
    <d v="1899-12-30T17:00:00"/>
    <n v="9.0000000000000018"/>
    <s v="Hold"/>
    <m/>
  </r>
  <r>
    <s v="Electrical"/>
    <x v="17"/>
    <x v="9"/>
    <s v="Panel"/>
    <s v="SPB3.7-187/188"/>
    <s v="Stand Canopy &amp; alarm system fixing"/>
    <d v="2025-12-22T00:00:00"/>
    <d v="2025-12-22T00:00:00"/>
    <d v="2025-12-22T00:00:00"/>
    <m/>
    <d v="1899-12-30T08:00:00"/>
    <d v="1899-12-30T17:00:00"/>
    <n v="9.0000000000000018"/>
    <s v="Completed"/>
    <m/>
  </r>
  <r>
    <s v="Electrical"/>
    <x v="17"/>
    <x v="10"/>
    <m/>
    <m/>
    <m/>
    <m/>
    <m/>
    <m/>
    <m/>
    <d v="1899-12-30T07:00:00"/>
    <d v="1899-12-30T17:00:00"/>
    <n v="10"/>
    <m/>
    <m/>
  </r>
  <r>
    <s v="Electrical"/>
    <x v="17"/>
    <x v="34"/>
    <s v="Panel"/>
    <s v="DB-363"/>
    <s v="Stand replacement, MCCb replacement, Test &amp; PDI"/>
    <d v="2025-12-22T00:00:00"/>
    <d v="2025-12-22T00:00:00"/>
    <d v="2025-12-22T00:00:00"/>
    <m/>
    <d v="1899-12-30T07:30:00"/>
    <d v="1899-12-30T16:30:00"/>
    <n v="9"/>
    <s v="Completed"/>
    <m/>
  </r>
  <r>
    <s v="Electrical"/>
    <x v="17"/>
    <x v="33"/>
    <s v="Panel"/>
    <s v="SMSP3-021"/>
    <s v="95kv pump inspection &amp; repairing &amp; assemble"/>
    <d v="2025-12-22T00:00:00"/>
    <d v="2025-12-24T00:00:00"/>
    <m/>
    <m/>
    <d v="1899-12-30T07:30:00"/>
    <d v="1899-12-30T17:00:00"/>
    <n v="9.5"/>
    <s v="Ongoing"/>
    <m/>
  </r>
  <r>
    <s v="Electrical"/>
    <x v="17"/>
    <x v="12"/>
    <m/>
    <m/>
    <m/>
    <m/>
    <m/>
    <m/>
    <m/>
    <d v="1899-12-30T07:30:00"/>
    <d v="1899-12-30T17:00:00"/>
    <n v="9.5"/>
    <m/>
    <m/>
  </r>
  <r>
    <s v="Electrical"/>
    <x v="17"/>
    <x v="36"/>
    <s v="Generator"/>
    <s v="GEN60-041"/>
    <s v="Ac alternator copper winding, "/>
    <d v="2025-12-22T00:00:00"/>
    <d v="2025-12-26T00:00:00"/>
    <m/>
    <m/>
    <d v="1899-12-30T07:30:00"/>
    <d v="1899-12-30T16:30:00"/>
    <n v="9"/>
    <s v="Ongoing"/>
    <m/>
  </r>
  <r>
    <s v="Electrical"/>
    <x v="17"/>
    <x v="35"/>
    <m/>
    <m/>
    <m/>
    <m/>
    <m/>
    <m/>
    <m/>
    <d v="1899-12-30T07:30:00"/>
    <d v="1899-12-30T16:30:00"/>
    <n v="9"/>
    <m/>
    <m/>
  </r>
  <r>
    <s v="Electrical"/>
    <x v="17"/>
    <x v="35"/>
    <s v="Generator"/>
    <s v="GEN150-021"/>
    <s v="Power cable connection"/>
    <d v="2025-12-22T00:00:00"/>
    <d v="2025-12-22T00:00:00"/>
    <d v="2025-12-22T00:00:00"/>
    <m/>
    <d v="1899-12-30T13:00:00"/>
    <d v="1899-12-30T15:00:00"/>
    <n v="2.0000000000000009"/>
    <s v="Completed"/>
    <m/>
  </r>
  <r>
    <s v="Electrical"/>
    <x v="17"/>
    <x v="24"/>
    <s v="Borehole pump"/>
    <s v="New 2.2kw pump"/>
    <s v="12nos BH pumps inspection, fleet number socket 32a, number tagging."/>
    <d v="2025-12-22T00:00:00"/>
    <d v="2025-12-22T00:00:00"/>
    <d v="2025-12-22T00:00:00"/>
    <m/>
    <d v="1899-12-30T07:30:00"/>
    <d v="1899-12-30T17:00:00"/>
    <n v="9.5"/>
    <s v="Completed"/>
    <m/>
  </r>
  <r>
    <s v="Electrical"/>
    <x v="17"/>
    <x v="14"/>
    <m/>
    <m/>
    <m/>
    <m/>
    <m/>
    <m/>
    <m/>
    <d v="1899-12-30T07:30:00"/>
    <d v="1899-12-30T17:00:00"/>
    <n v="9.5"/>
    <m/>
    <m/>
  </r>
  <r>
    <s v="Electrical"/>
    <x v="17"/>
    <x v="24"/>
    <s v="Borehole pump"/>
    <s v="New 5.5kw pump"/>
    <s v="20nos B:H pumps inspection &amp; fleet number tagging."/>
    <d v="2025-12-22T00:00:00"/>
    <d v="2025-12-22T00:00:00"/>
    <d v="2025-12-22T00:00:00"/>
    <m/>
    <d v="1899-12-30T11:00:00"/>
    <d v="1899-12-30T17:00:00"/>
    <n v="6.0000000000000018"/>
    <s v="Completed"/>
    <m/>
  </r>
  <r>
    <s v="Electrical"/>
    <x v="17"/>
    <x v="14"/>
    <m/>
    <m/>
    <m/>
    <m/>
    <m/>
    <m/>
    <m/>
    <d v="1899-12-30T11:00:00"/>
    <d v="1899-12-30T17:00:00"/>
    <n v="6.0000000000000018"/>
    <m/>
    <m/>
  </r>
  <r>
    <s v="Electrical"/>
    <x v="17"/>
    <x v="17"/>
    <s v="Submersible pump"/>
    <s v="SMSP3-023"/>
    <s v="75kw pump service &amp; cleaning "/>
    <d v="2025-12-22T00:00:00"/>
    <d v="2025-12-22T00:00:00"/>
    <d v="2025-12-22T00:00:00"/>
    <m/>
    <d v="1899-12-30T07:30:00"/>
    <d v="1899-12-30T16:30:00"/>
    <n v="9"/>
    <s v="Completed"/>
    <m/>
  </r>
  <r>
    <s v="Bay 6 -_x000a_Generator"/>
    <x v="17"/>
    <x v="7"/>
    <s v="Generator"/>
    <s v="GEN150-021"/>
    <s v="Ac alternator &amp; timing cover fixing, "/>
    <d v="2025-12-08T00:00:00"/>
    <d v="2025-12-22T00:00:00"/>
    <d v="2025-12-22T00:00:00"/>
    <m/>
    <d v="1899-12-30T07:30:00"/>
    <d v="1899-12-30T13:00:00"/>
    <n v="5.4999999999999991"/>
    <s v="Completed"/>
    <m/>
  </r>
  <r>
    <s v="Bay 6 -_x000a_Generator"/>
    <x v="17"/>
    <x v="32"/>
    <m/>
    <m/>
    <m/>
    <m/>
    <m/>
    <m/>
    <m/>
    <d v="1899-12-30T07:30:00"/>
    <d v="1899-12-30T13:00:00"/>
    <n v="5.4999999999999991"/>
    <m/>
    <m/>
  </r>
  <r>
    <s v="Bay 6 -_x000a_Generator"/>
    <x v="17"/>
    <x v="7"/>
    <s v="Tank"/>
    <s v="BFT-325/332/337"/>
    <s v="Main cover removed, returned pipe tightened."/>
    <d v="2025-12-22T00:00:00"/>
    <d v="2025-12-22T00:00:00"/>
    <d v="2025-12-22T00:00:00"/>
    <m/>
    <m/>
    <m/>
    <n v="0"/>
    <s v="Completed"/>
    <m/>
  </r>
  <r>
    <s v="Bay 6 -_x000a_Generator"/>
    <x v="17"/>
    <x v="32"/>
    <m/>
    <m/>
    <m/>
    <m/>
    <m/>
    <m/>
    <m/>
    <m/>
    <m/>
    <n v="0"/>
    <m/>
    <m/>
  </r>
  <r>
    <s v="Bay 6 -_x000a_Generator"/>
    <x v="17"/>
    <x v="23"/>
    <s v="Generator"/>
    <s v="GEN200-007"/>
    <s v="Load test &amp; final fitting"/>
    <d v="2025-11-08T00:00:00"/>
    <d v="2025-12-22T00:00:00"/>
    <d v="2025-12-22T00:00:00"/>
    <m/>
    <d v="1899-12-30T07:30:00"/>
    <d v="1899-12-30T09:30:00"/>
    <n v="1.9999999999999996"/>
    <s v="Completed"/>
    <m/>
  </r>
  <r>
    <s v="Bay 6 -_x000a_Generator"/>
    <x v="17"/>
    <x v="23"/>
    <s v="Generator"/>
    <s v="GEN135-013"/>
    <s v="Load test &amp; final fitting"/>
    <d v="2025-12-12T00:00:00"/>
    <d v="2025-12-22T00:00:00"/>
    <d v="2025-12-22T00:00:00"/>
    <m/>
    <d v="1899-12-30T09:30:00"/>
    <d v="1899-12-30T14:00:00"/>
    <n v="4.5000000000000018"/>
    <s v="Completed"/>
    <m/>
  </r>
  <r>
    <s v="Bay 6 -_x000a_Generator"/>
    <x v="17"/>
    <x v="23"/>
    <s v="Generator"/>
    <s v="GEN150-053"/>
    <s v="Load test &amp; final fitting"/>
    <d v="2025-12-05T00:00:00"/>
    <d v="2025-12-22T00:00:00"/>
    <m/>
    <m/>
    <d v="1899-12-30T14:00:00"/>
    <d v="1899-12-30T14:30:00"/>
    <n v="0.49999999999999822"/>
    <s v="Completed"/>
    <m/>
  </r>
  <r>
    <s v="Bay 4&amp;5 - _x000a_Pumps"/>
    <x v="17"/>
    <x v="18"/>
    <s v="Diesel Driven CP Pump"/>
    <s v="HD12TCR-002"/>
    <s v="Drive chain replacement"/>
    <d v="2025-12-22T00:00:00"/>
    <d v="2025-12-22T00:00:00"/>
    <d v="2025-12-22T00:00:00"/>
    <m/>
    <d v="1899-12-30T07:30:00"/>
    <d v="1899-12-30T11:00:00"/>
    <n v="3.4999999999999996"/>
    <s v="Completed"/>
    <m/>
  </r>
  <r>
    <s v="Bay 4&amp;5 - _x000a_Pumps"/>
    <x v="17"/>
    <x v="20"/>
    <m/>
    <m/>
    <m/>
    <m/>
    <m/>
    <m/>
    <m/>
    <d v="1899-12-30T07:30:00"/>
    <d v="1899-12-30T11:00:00"/>
    <n v="3.4999999999999996"/>
    <m/>
    <m/>
  </r>
  <r>
    <s v="Bay 4&amp;5 - _x000a_Pumps"/>
    <x v="17"/>
    <x v="38"/>
    <s v="Diesel Driven CP Pump"/>
    <s v="CP181820"/>
    <s v="ECM filter housing, sensor replacement, radiator cleaning, fan hub inspection."/>
    <d v="2025-12-22T00:00:00"/>
    <d v="2025-12-25T00:00:00"/>
    <d v="2025-12-22T00:00:00"/>
    <m/>
    <d v="1899-12-30T08:00:00"/>
    <d v="1899-12-30T17:00:00"/>
    <n v="9.0000000000000018"/>
    <s v="Completed"/>
    <m/>
  </r>
  <r>
    <s v="Bay 4&amp;5 - _x000a_Pumps"/>
    <x v="17"/>
    <x v="37"/>
    <m/>
    <m/>
    <m/>
    <m/>
    <m/>
    <m/>
    <m/>
    <d v="1899-12-30T08:00:00"/>
    <d v="1899-12-30T17:00:00"/>
    <n v="9.0000000000000018"/>
    <m/>
    <m/>
  </r>
  <r>
    <s v="Bay 4&amp;5 - _x000a_Pumps"/>
    <x v="17"/>
    <x v="0"/>
    <s v="Contractor dewatering Pump"/>
    <s v="CP150X2"/>
    <s v="vaccum pump repair for maf"/>
    <d v="2025-12-22T00:00:00"/>
    <d v="2025-12-22T00:00:00"/>
    <d v="2025-12-22T00:00:00"/>
    <m/>
    <d v="1899-12-30T08:00:00"/>
    <d v="1899-12-30T15:00:00"/>
    <n v="7"/>
    <s v="Completed"/>
    <m/>
  </r>
  <r>
    <s v="Bay 4&amp;5 - _x000a_Pumps"/>
    <x v="17"/>
    <x v="0"/>
    <s v="Contractor dewatering Pump"/>
    <s v="CP150-836/632"/>
    <s v="Final fitting"/>
    <d v="2025-12-22T00:00:00"/>
    <d v="2025-12-22T00:00:00"/>
    <d v="2025-12-22T00:00:00"/>
    <m/>
    <d v="1899-12-30T15:00:00"/>
    <d v="1899-12-30T19:00:00"/>
    <n v="3.9999999999999991"/>
    <s v="Completed"/>
    <m/>
  </r>
  <r>
    <s v="Bay 4&amp;5 - _x000a_Pumps"/>
    <x v="17"/>
    <x v="4"/>
    <s v="Contractor dewatering Pump"/>
    <s v="PT175-531"/>
    <s v="Engine prepare for assembling "/>
    <d v="2025-12-22T00:00:00"/>
    <d v="2025-12-22T00:00:00"/>
    <d v="2025-12-22T00:00:00"/>
    <m/>
    <d v="1899-12-30T08:00:00"/>
    <d v="1899-12-30T19:00:00"/>
    <n v="11"/>
    <s v="Completed"/>
    <m/>
  </r>
  <r>
    <s v="Bay 4&amp;5 - _x000a_Pumps"/>
    <x v="17"/>
    <x v="2"/>
    <m/>
    <m/>
    <m/>
    <m/>
    <m/>
    <m/>
    <m/>
    <d v="1899-12-30T10:30:00"/>
    <d v="1899-12-30T11:00:00"/>
    <n v="0.49999999999999956"/>
    <m/>
    <m/>
  </r>
  <r>
    <s v="Bay 4&amp;5 - _x000a_Pumps"/>
    <x v="17"/>
    <x v="28"/>
    <s v="Contractor dewatering Pump"/>
    <s v="CP150-022"/>
    <s v="Pump repair &amp; engine repair"/>
    <d v="2025-12-20T00:00:00"/>
    <d v="2025-12-22T00:00:00"/>
    <d v="2025-12-22T00:00:00"/>
    <m/>
    <d v="1899-12-30T07:30:00"/>
    <d v="1899-12-30T10:30:00"/>
    <n v="3"/>
    <s v="Completed"/>
    <m/>
  </r>
  <r>
    <s v="Bay 4&amp;5 - _x000a_Pumps"/>
    <x v="17"/>
    <x v="2"/>
    <m/>
    <m/>
    <m/>
    <m/>
    <m/>
    <m/>
    <m/>
    <d v="1899-12-30T11:00:00"/>
    <d v="1899-12-30T12:00:00"/>
    <n v="1.0000000000000004"/>
    <m/>
    <m/>
  </r>
  <r>
    <s v="Bay 4&amp;5 - _x000a_Pumps"/>
    <x v="17"/>
    <x v="1"/>
    <s v="Contractor dewatering Pump"/>
    <s v="PT175-536"/>
    <s v="Pump &amp; engine repair &amp; water test"/>
    <d v="2025-12-22T00:00:00"/>
    <d v="2025-12-22T00:00:00"/>
    <m/>
    <m/>
    <d v="1899-12-30T07:30:00"/>
    <d v="1899-12-30T18:30:00"/>
    <n v="11"/>
    <s v="Completed"/>
    <m/>
  </r>
  <r>
    <s v="Bay 4&amp;5 - _x000a_Pumps"/>
    <x v="17"/>
    <x v="2"/>
    <m/>
    <m/>
    <m/>
    <m/>
    <m/>
    <m/>
    <m/>
    <d v="1899-12-30T10:30:00"/>
    <d v="1899-12-30T11:00:00"/>
    <n v="0.49999999999999956"/>
    <m/>
    <m/>
  </r>
  <r>
    <s v="Bay 4&amp;5 - _x000a_Pumps"/>
    <x v="17"/>
    <x v="5"/>
    <s v="Contractor dewatering Pump"/>
    <s v="CP150-001"/>
    <s v="Pump &amp; engine repair, test failed, pump dismantle"/>
    <d v="2025-12-20T00:00:00"/>
    <d v="2025-12-22T00:00:00"/>
    <m/>
    <m/>
    <d v="1899-12-30T11:30:00"/>
    <d v="1899-12-30T18:30:00"/>
    <n v="7"/>
    <s v="Hold"/>
    <m/>
  </r>
  <r>
    <s v="Bay 4&amp;5 - _x000a_Pumps"/>
    <x v="17"/>
    <x v="2"/>
    <s v="Other"/>
    <s v="General work"/>
    <s v="MCS work &amp; general work"/>
    <d v="2025-12-22T00:00:00"/>
    <d v="2025-12-22T00:00:00"/>
    <d v="2025-12-22T00:00:00"/>
    <m/>
    <d v="1899-12-30T10:00:00"/>
    <d v="1899-12-30T11:00:00"/>
    <n v="0.99999999999999911"/>
    <s v="Completed"/>
    <m/>
  </r>
  <r>
    <s v="Bay 4&amp;5 - _x000a_Pumps"/>
    <x v="17"/>
    <x v="5"/>
    <s v="Contractor dewatering Pump"/>
    <s v="CP150-001"/>
    <s v="Pump repair"/>
    <d v="2025-12-22T00:00:00"/>
    <d v="2025-12-22T00:00:00"/>
    <d v="2025-12-22T00:00:00"/>
    <m/>
    <d v="1899-12-30T08:00:00"/>
    <d v="1899-12-30T19:00:00"/>
    <n v="11"/>
    <s v="Completed"/>
    <m/>
  </r>
  <r>
    <s v="Bay 4&amp;5 - _x000a_Pumps"/>
    <x v="17"/>
    <x v="3"/>
    <s v="Contractor dewatering Pump"/>
    <s v="CP150-923"/>
    <s v="Pump prepare for assembling"/>
    <d v="2025-12-20T00:00:00"/>
    <d v="2025-12-22T00:00:00"/>
    <d v="2025-12-22T00:00:00"/>
    <m/>
    <d v="1899-12-30T07:30:00"/>
    <d v="1899-12-30T18:30:00"/>
    <n v="11"/>
    <s v="Completed"/>
    <m/>
  </r>
  <r>
    <s v="Electrical"/>
    <x v="18"/>
    <x v="8"/>
    <s v="Panel"/>
    <s v="SPB3.7-180/181"/>
    <s v="Test &amp; PDI"/>
    <d v="2025-12-23T00:00:00"/>
    <d v="2025-12-23T00:00:00"/>
    <d v="2025-12-23T00:00:00"/>
    <m/>
    <d v="1899-12-30T08:00:00"/>
    <d v="1899-12-30T17:00:00"/>
    <n v="9.0000000000000018"/>
    <s v="Completed"/>
    <m/>
  </r>
  <r>
    <s v="Electrical"/>
    <x v="18"/>
    <x v="9"/>
    <s v="Panel"/>
    <s v="SPB3.7-188/189"/>
    <s v="Alarm system &amp; lock holder fixing"/>
    <d v="2025-12-23T00:00:00"/>
    <d v="2025-12-23T00:00:00"/>
    <d v="2025-12-23T00:00:00"/>
    <m/>
    <d v="1899-12-30T08:00:00"/>
    <d v="1899-12-30T17:00:00"/>
    <n v="9.0000000000000018"/>
    <s v="Completed"/>
    <m/>
  </r>
  <r>
    <s v="Electrical"/>
    <x v="18"/>
    <x v="10"/>
    <m/>
    <m/>
    <m/>
    <m/>
    <m/>
    <m/>
    <m/>
    <d v="1899-12-30T08:00:00"/>
    <d v="1899-12-30T17:00:00"/>
    <n v="9.0000000000000018"/>
    <m/>
    <m/>
  </r>
  <r>
    <s v="Electrical"/>
    <x v="18"/>
    <x v="34"/>
    <s v="Panel"/>
    <s v="SPBX4"/>
    <s v="Test &amp; PDI"/>
    <d v="2025-12-23T00:00:00"/>
    <d v="2025-12-23T00:00:00"/>
    <d v="2025-12-23T00:00:00"/>
    <m/>
    <d v="1899-12-30T07:30:00"/>
    <d v="1899-12-30T16:30:00"/>
    <n v="9"/>
    <s v="Completed"/>
    <m/>
  </r>
  <r>
    <s v="Electrical"/>
    <x v="18"/>
    <x v="33"/>
    <s v="Panel"/>
    <s v="SMSP3-021"/>
    <s v="95kv pump inspection &amp; repairing &amp; assemble"/>
    <d v="2025-12-22T00:00:00"/>
    <d v="2025-12-24T00:00:00"/>
    <m/>
    <m/>
    <d v="1899-12-30T07:30:00"/>
    <d v="1899-12-30T17:00:00"/>
    <n v="9.5"/>
    <s v="Ongoing"/>
    <m/>
  </r>
  <r>
    <s v="Electrical"/>
    <x v="18"/>
    <x v="12"/>
    <m/>
    <m/>
    <m/>
    <m/>
    <m/>
    <m/>
    <m/>
    <d v="1899-12-30T07:30:00"/>
    <d v="1899-12-30T17:00:00"/>
    <n v="9.5"/>
    <m/>
    <m/>
  </r>
  <r>
    <s v="Electrical"/>
    <x v="18"/>
    <x v="36"/>
    <s v="Generator"/>
    <s v="GEN60-041"/>
    <s v="Ac alternator re- winding, "/>
    <d v="2025-12-22T00:00:00"/>
    <d v="2025-12-26T00:00:00"/>
    <m/>
    <m/>
    <d v="1899-12-30T07:30:00"/>
    <d v="1899-12-30T16:30:00"/>
    <n v="9"/>
    <s v="Ongoing"/>
    <m/>
  </r>
  <r>
    <s v="Electrical"/>
    <x v="18"/>
    <x v="35"/>
    <m/>
    <m/>
    <m/>
    <m/>
    <m/>
    <m/>
    <m/>
    <d v="1899-12-30T07:30:00"/>
    <d v="1899-12-30T16:30:00"/>
    <n v="9"/>
    <m/>
    <m/>
  </r>
  <r>
    <s v="Electrical"/>
    <x v="18"/>
    <x v="24"/>
    <s v="Borehole pump"/>
    <s v="New 5.5kw pump"/>
    <s v="10nos B:H pumps inspection &amp; fleet number tagging."/>
    <d v="2025-12-22T00:00:00"/>
    <d v="2025-12-23T00:00:00"/>
    <d v="2025-12-23T00:00:00"/>
    <m/>
    <d v="1899-12-30T07:30:00"/>
    <d v="1899-12-30T12:00:00"/>
    <n v="4.5"/>
    <s v="Completed"/>
    <m/>
  </r>
  <r>
    <s v="Electrical"/>
    <x v="18"/>
    <x v="14"/>
    <m/>
    <m/>
    <m/>
    <m/>
    <m/>
    <m/>
    <m/>
    <d v="1899-12-30T07:30:00"/>
    <d v="1899-12-30T12:00:00"/>
    <n v="4.5"/>
    <m/>
    <m/>
  </r>
  <r>
    <s v="Electrical"/>
    <x v="18"/>
    <x v="24"/>
    <s v="Borehole pump"/>
    <s v="SLB/125-03"/>
    <s v="37kw old B:H pump 5nos inspection &amp; water testing"/>
    <d v="2025-12-23T00:00:00"/>
    <d v="2025-12-23T00:00:00"/>
    <m/>
    <m/>
    <d v="1899-12-30T13:00:00"/>
    <d v="1899-12-30T17:00:00"/>
    <n v="4.0000000000000018"/>
    <s v="Ongoing"/>
    <m/>
  </r>
  <r>
    <s v="Electrical"/>
    <x v="18"/>
    <x v="14"/>
    <m/>
    <m/>
    <m/>
    <m/>
    <m/>
    <m/>
    <m/>
    <d v="1899-12-30T13:00:00"/>
    <d v="1899-12-30T17:00:00"/>
    <n v="4.0000000000000018"/>
    <m/>
    <m/>
  </r>
  <r>
    <s v="Electrical"/>
    <x v="18"/>
    <x v="17"/>
    <s v="Submersible pump"/>
    <s v="SGN-006"/>
    <s v="Pump inspection &amp; dismantle"/>
    <d v="2025-12-23T00:00:00"/>
    <d v="2025-12-23T00:00:00"/>
    <m/>
    <m/>
    <d v="1899-12-30T07:30:00"/>
    <d v="1899-12-30T16:30:00"/>
    <n v="9"/>
    <s v="Ongoing"/>
    <m/>
  </r>
  <r>
    <s v="Bay 6 -_x000a_Generator"/>
    <x v="18"/>
    <x v="7"/>
    <s v="Tank"/>
    <s v="BFT-322/341/345/346"/>
    <s v="Main cover removed, returned pipe tightened."/>
    <d v="2025-12-23T00:00:00"/>
    <d v="2025-12-23T00:00:00"/>
    <m/>
    <m/>
    <d v="1899-12-30T07:30:00"/>
    <d v="1899-12-30T16:30:00"/>
    <n v="9"/>
    <s v="Ongoing"/>
    <m/>
  </r>
  <r>
    <s v="Bay 6 -_x000a_Generator"/>
    <x v="18"/>
    <x v="32"/>
    <m/>
    <m/>
    <m/>
    <m/>
    <m/>
    <m/>
    <m/>
    <d v="1899-12-30T07:30:00"/>
    <d v="1899-12-30T16:30:00"/>
    <n v="9"/>
    <m/>
    <m/>
  </r>
  <r>
    <s v="Bay 6 -_x000a_Generator"/>
    <x v="18"/>
    <x v="23"/>
    <m/>
    <m/>
    <m/>
    <m/>
    <m/>
    <m/>
    <m/>
    <d v="1899-12-30T11:30:00"/>
    <d v="1899-12-30T16:30:00"/>
    <n v="5"/>
    <m/>
    <m/>
  </r>
  <r>
    <s v="Bay 6 -_x000a_Generator"/>
    <x v="18"/>
    <x v="23"/>
    <s v="Generator"/>
    <s v="GEN150-004"/>
    <s v="Ac alternator removing &amp; dismantling"/>
    <d v="2025-12-23T00:00:00"/>
    <d v="2025-12-23T00:00:00"/>
    <m/>
    <m/>
    <d v="1899-12-30T07:30:00"/>
    <d v="1899-12-30T11:30:00"/>
    <n v="4"/>
    <s v="Ongoing"/>
    <m/>
  </r>
  <r>
    <s v="Bay 4&amp;5 - _x000a_Pumps"/>
    <x v="18"/>
    <x v="18"/>
    <s v="Diesel Driven CP Pump"/>
    <s v="KV550-001"/>
    <s v="Pump end swapping"/>
    <d v="2025-12-23T00:00:00"/>
    <d v="2025-12-25T00:00:00"/>
    <m/>
    <m/>
    <d v="1899-12-30T07:30:00"/>
    <d v="1899-12-30T09:00:00"/>
    <n v="1.5"/>
    <s v="Completed"/>
    <m/>
  </r>
  <r>
    <s v="Bay 4&amp;5 - _x000a_Pumps"/>
    <x v="18"/>
    <x v="20"/>
    <m/>
    <m/>
    <m/>
    <m/>
    <m/>
    <m/>
    <m/>
    <d v="1899-12-30T07:30:00"/>
    <d v="1899-12-30T19:00:00"/>
    <n v="11.5"/>
    <m/>
    <m/>
  </r>
  <r>
    <s v="Bay 4&amp;5 - _x000a_Pumps"/>
    <x v="18"/>
    <x v="18"/>
    <s v="Other"/>
    <s v="General work"/>
    <s v="General repair"/>
    <d v="2025-12-23T00:00:00"/>
    <d v="2025-12-23T00:00:00"/>
    <d v="2025-12-23T00:00:00"/>
    <m/>
    <d v="1899-12-30T09:00:00"/>
    <d v="1899-12-30T11:30:00"/>
    <n v="2.5000000000000004"/>
    <s v="Completed"/>
    <m/>
  </r>
  <r>
    <s v="Bay 4&amp;5 - _x000a_Pumps"/>
    <x v="18"/>
    <x v="39"/>
    <m/>
    <m/>
    <m/>
    <m/>
    <m/>
    <m/>
    <m/>
    <d v="1899-12-30T09:00:00"/>
    <d v="1899-12-30T11:30:00"/>
    <n v="2.5000000000000004"/>
    <m/>
    <m/>
  </r>
  <r>
    <s v="Bay 4&amp;5 - _x000a_Pumps"/>
    <x v="18"/>
    <x v="18"/>
    <s v="Diesel Driven CP Pump"/>
    <s v="CD300M015"/>
    <s v="wet testing"/>
    <d v="2025-12-23T00:00:00"/>
    <d v="2025-12-23T00:00:00"/>
    <d v="2025-12-23T00:00:00"/>
    <m/>
    <d v="1899-12-30T16:00:00"/>
    <d v="1899-12-30T17:30:00"/>
    <n v="1.5"/>
    <s v="Completed"/>
    <m/>
  </r>
  <r>
    <s v="Bay 4&amp;5 - _x000a_Pumps"/>
    <x v="18"/>
    <x v="40"/>
    <m/>
    <m/>
    <m/>
    <m/>
    <m/>
    <m/>
    <m/>
    <d v="1899-12-30T16:00:00"/>
    <d v="1899-12-30T17:30:00"/>
    <n v="1.5"/>
    <m/>
    <m/>
  </r>
  <r>
    <s v="Bay 4&amp;5 - _x000a_Pumps"/>
    <x v="18"/>
    <x v="38"/>
    <s v="Diesel Driven CP Pump"/>
    <s v="CP181820"/>
    <s v="Vaccum pump repairing, fuel line replacement, vaccum testing, cooling fan guard repairing"/>
    <d v="2025-12-23T00:00:00"/>
    <d v="2025-12-24T00:00:00"/>
    <m/>
    <m/>
    <d v="1899-12-30T08:00:00"/>
    <d v="1899-12-30T19:00:00"/>
    <n v="11"/>
    <s v="Completed"/>
    <m/>
  </r>
  <r>
    <s v="Bay 4&amp;5 - _x000a_Pumps"/>
    <x v="18"/>
    <x v="37"/>
    <m/>
    <m/>
    <m/>
    <m/>
    <m/>
    <m/>
    <m/>
    <d v="1899-12-30T08:00:00"/>
    <d v="1899-12-30T19:00:00"/>
    <n v="11"/>
    <m/>
    <m/>
  </r>
  <r>
    <s v="Bay 4&amp;5 - _x000a_Pumps"/>
    <x v="18"/>
    <x v="0"/>
    <s v="Contractor dewatering Pump"/>
    <s v="CP150-022/923/001"/>
    <s v="vaccum pump repair "/>
    <d v="2025-12-23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4"/>
    <s v="Contractor dewatering Pump"/>
    <s v="PT175-531"/>
    <s v="Engine assembling "/>
    <d v="2025-12-20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2"/>
    <m/>
    <m/>
    <m/>
    <m/>
    <m/>
    <m/>
    <m/>
    <d v="1899-12-30T10:30:00"/>
    <d v="1899-12-30T11:00:00"/>
    <n v="0.49999999999999956"/>
    <m/>
    <m/>
  </r>
  <r>
    <s v="Bay 4&amp;5 - _x000a_Pumps"/>
    <x v="18"/>
    <x v="28"/>
    <s v="Contractor dewatering Pump"/>
    <s v="CP150-022"/>
    <s v="Pump assembling"/>
    <d v="2025-12-20T00:00:00"/>
    <d v="2025-12-23T00:00:00"/>
    <d v="2025-12-23T00:00:00"/>
    <m/>
    <d v="1899-12-30T07:30:00"/>
    <d v="1899-12-30T11:30:00"/>
    <n v="4"/>
    <s v="Completed"/>
    <m/>
  </r>
  <r>
    <s v="Bay 4&amp;5 - _x000a_Pumps"/>
    <x v="18"/>
    <x v="2"/>
    <m/>
    <m/>
    <m/>
    <m/>
    <m/>
    <m/>
    <m/>
    <d v="1899-12-30T11:00:00"/>
    <d v="1899-12-30T12:00:00"/>
    <n v="1.0000000000000004"/>
    <m/>
    <m/>
  </r>
  <r>
    <s v="Bay 4&amp;5 - _x000a_Pumps"/>
    <x v="18"/>
    <x v="28"/>
    <s v="Contractor dewatering Pump"/>
    <s v="CP150-844"/>
    <s v="Cylinder head dismantling"/>
    <d v="2025-12-23T00:00:00"/>
    <d v="2025-12-23T00:00:00"/>
    <d v="2025-12-23T00:00:00"/>
    <m/>
    <d v="1899-12-30T11:30:00"/>
    <d v="1899-12-30T18:30:00"/>
    <n v="7"/>
    <s v="Completed"/>
    <m/>
  </r>
  <r>
    <s v="Bay 4&amp;5 - _x000a_Pumps"/>
    <x v="18"/>
    <x v="1"/>
    <s v="Contractor dewatering Pump"/>
    <s v="PT175-531"/>
    <s v="Pump dismantling"/>
    <d v="2025-12-20T00:00:00"/>
    <d v="2025-12-23T00:00:00"/>
    <d v="2025-12-23T00:00:00"/>
    <m/>
    <d v="1899-12-30T07:30:00"/>
    <d v="1899-12-30T18:30:00"/>
    <n v="11"/>
    <s v="Completed"/>
    <m/>
  </r>
  <r>
    <s v="Bay 4&amp;5 - _x000a_Pumps"/>
    <x v="18"/>
    <x v="2"/>
    <m/>
    <m/>
    <m/>
    <m/>
    <m/>
    <m/>
    <m/>
    <d v="1899-12-30T10:30:00"/>
    <d v="1899-12-30T11:00:00"/>
    <n v="0.49999999999999956"/>
    <m/>
    <m/>
  </r>
  <r>
    <s v="Bay 4&amp;5 - _x000a_Pumps"/>
    <x v="18"/>
    <x v="5"/>
    <s v="Contractor dewatering Pump"/>
    <s v="CP150-001"/>
    <s v="Pump &amp; engine repair, test failed, pump dismantling"/>
    <d v="2025-12-20T00:00:00"/>
    <d v="2025-12-23T00:00:00"/>
    <d v="2025-12-23T00:00:00"/>
    <m/>
    <d v="1899-12-30T08:00:00"/>
    <d v="1899-12-30T19:00:00"/>
    <n v="11"/>
    <s v="Completed"/>
    <m/>
  </r>
  <r>
    <s v="Bay 4&amp;5 - _x000a_Pumps"/>
    <x v="18"/>
    <x v="2"/>
    <s v="Other"/>
    <s v="General work"/>
    <s v="MCS work &amp; general work"/>
    <d v="2025-12-23T00:00:00"/>
    <d v="2025-12-23T00:00:00"/>
    <d v="2025-12-23T00:00:00"/>
    <m/>
    <d v="1899-12-30T10:00:00"/>
    <d v="1899-12-30T12:00:00"/>
    <n v="1.9999999999999996"/>
    <s v="Completed"/>
    <m/>
  </r>
  <r>
    <s v="Bay 4&amp;5 - _x000a_Pumps"/>
    <x v="18"/>
    <x v="3"/>
    <s v="Contractor dewatering Pump"/>
    <s v="CP150-923"/>
    <s v="Pump assembling"/>
    <d v="2025-12-20T00:00:00"/>
    <d v="2025-12-23T00:00:00"/>
    <d v="2025-12-23T00:00:00"/>
    <m/>
    <d v="1899-12-30T07:30:00"/>
    <d v="1899-12-30T18:30:00"/>
    <n v="11"/>
    <s v="Completed"/>
    <m/>
  </r>
  <r>
    <s v="Electrical"/>
    <x v="19"/>
    <x v="8"/>
    <s v="Panel"/>
    <s v="CPB"/>
    <s v="5nos old CPB panels disposal"/>
    <d v="2025-12-24T00:00:00"/>
    <d v="2025-12-24T00:00:00"/>
    <d v="2025-12-24T00:00:00"/>
    <m/>
    <d v="1899-12-30T08:00:00"/>
    <d v="1899-12-30T17:00:00"/>
    <n v="9.0000000000000018"/>
    <s v="Completed"/>
    <m/>
  </r>
  <r>
    <s v="Electrical"/>
    <x v="19"/>
    <x v="9"/>
    <m/>
    <m/>
    <m/>
    <m/>
    <m/>
    <m/>
    <m/>
    <d v="1899-12-30T08:00:00"/>
    <d v="1899-12-30T17:00:00"/>
    <n v="9.0000000000000018"/>
    <m/>
    <m/>
  </r>
  <r>
    <s v="Electrical"/>
    <x v="19"/>
    <x v="34"/>
    <s v="Panel"/>
    <s v="SPB3.7-052"/>
    <s v="Assemble after paint, test &amp; PDI"/>
    <d v="2025-12-24T00:00:00"/>
    <d v="2025-12-24T00:00:00"/>
    <d v="2025-12-24T00:00:00"/>
    <m/>
    <d v="1899-12-30T07:30:00"/>
    <d v="1899-12-30T16:30:00"/>
    <n v="9"/>
    <s v="Completed"/>
    <m/>
  </r>
  <r>
    <s v="Electrical"/>
    <x v="19"/>
    <x v="33"/>
    <s v="Panel"/>
    <s v="SMSP3-021"/>
    <s v="95kv pump inspection &amp; repairing &amp; assemble"/>
    <d v="2025-12-22T00:00:00"/>
    <d v="2025-12-24T00:00:00"/>
    <d v="2025-12-24T00:00:00"/>
    <m/>
    <d v="1899-12-30T07:30:00"/>
    <d v="1899-12-30T17:00:00"/>
    <n v="9.5"/>
    <s v="Completed"/>
    <m/>
  </r>
  <r>
    <s v="Electrical"/>
    <x v="19"/>
    <x v="12"/>
    <m/>
    <m/>
    <m/>
    <m/>
    <m/>
    <m/>
    <m/>
    <d v="1899-12-30T07:30:00"/>
    <d v="1899-12-30T17:00:00"/>
    <n v="9.5"/>
    <m/>
    <m/>
  </r>
  <r>
    <s v="Electrical"/>
    <x v="19"/>
    <x v="36"/>
    <s v="Generator"/>
    <s v="GEN60-041"/>
    <s v="Ac alternator re- winding, "/>
    <d v="2025-12-22T00:00:00"/>
    <d v="2025-12-24T00:00:00"/>
    <m/>
    <m/>
    <d v="1899-12-30T07:30:00"/>
    <d v="1899-12-30T16:30:00"/>
    <n v="9"/>
    <s v="Ongoing"/>
    <m/>
  </r>
  <r>
    <s v="Electrical"/>
    <x v="19"/>
    <x v="35"/>
    <m/>
    <m/>
    <m/>
    <m/>
    <m/>
    <m/>
    <m/>
    <d v="1899-12-30T07:30:00"/>
    <d v="1899-12-30T16:30:00"/>
    <n v="9"/>
    <m/>
    <m/>
  </r>
  <r>
    <s v="Electrical"/>
    <x v="19"/>
    <x v="24"/>
    <s v="Borehole pump"/>
    <s v="New 2.2kw pump"/>
    <s v="16nos B:H pumps inspection &amp; fleet number tagging socket32a."/>
    <d v="2025-12-24T00:00:00"/>
    <d v="2025-12-26T00:00:00"/>
    <d v="2025-12-24T00:00:00"/>
    <m/>
    <d v="1899-12-30T07:30:00"/>
    <d v="1899-12-30T17:00:00"/>
    <n v="9.5"/>
    <s v="Completed"/>
    <m/>
  </r>
  <r>
    <s v="Electrical"/>
    <x v="19"/>
    <x v="14"/>
    <m/>
    <m/>
    <m/>
    <m/>
    <m/>
    <m/>
    <m/>
    <d v="1899-12-30T07:30:00"/>
    <d v="1899-12-30T17:00:00"/>
    <n v="9.5"/>
    <m/>
    <m/>
  </r>
  <r>
    <s v="Electrical"/>
    <x v="19"/>
    <x v="17"/>
    <s v="Submersible pump"/>
    <s v="SGN-006"/>
    <s v="Pump inspection, repairing &amp; assemble"/>
    <s v="23=4/12/2025"/>
    <d v="2025-12-26T00:00:00"/>
    <m/>
    <m/>
    <d v="1899-12-30T07:30:00"/>
    <d v="1899-12-30T16:30:00"/>
    <n v="9"/>
    <s v="Ongoing"/>
    <m/>
  </r>
  <r>
    <s v="Bay 6 -_x000a_Generator"/>
    <x v="19"/>
    <x v="7"/>
    <s v="Tank"/>
    <s v="BFT-320/324/329/340"/>
    <s v="Main cover removed, returned pipeline &amp; hose fitting"/>
    <d v="2025-12-24T00:00:00"/>
    <d v="2025-12-24T00:00:00"/>
    <d v="2025-12-24T00:00:00"/>
    <m/>
    <d v="1899-12-30T14:00:00"/>
    <d v="1899-12-30T16:30:00"/>
    <n v="2.4999999999999991"/>
    <s v="Completed"/>
    <m/>
  </r>
  <r>
    <s v="Bay 6 -_x000a_Generator"/>
    <x v="19"/>
    <x v="32"/>
    <m/>
    <m/>
    <m/>
    <m/>
    <m/>
    <m/>
    <m/>
    <d v="1899-12-30T07:30:00"/>
    <d v="1899-12-30T16:30:00"/>
    <n v="9"/>
    <m/>
    <m/>
  </r>
  <r>
    <s v="Bay 6 -_x000a_Generator"/>
    <x v="19"/>
    <x v="23"/>
    <m/>
    <m/>
    <m/>
    <m/>
    <m/>
    <m/>
    <m/>
    <d v="1899-12-30T07:30:00"/>
    <d v="1899-12-30T16:30:00"/>
    <n v="9"/>
    <m/>
    <m/>
  </r>
  <r>
    <s v="Bay 6 -_x000a_Generator"/>
    <x v="19"/>
    <x v="7"/>
    <s v="Generator"/>
    <s v="GENJ135-002"/>
    <s v="Ac alternator fixing, valave &amp; fuel tank cleaning."/>
    <d v="2025-12-10T00:00:00"/>
    <d v="2025-12-24T00:00:00"/>
    <d v="2025-12-24T00:00:00"/>
    <m/>
    <d v="1899-12-30T14:00:00"/>
    <d v="1899-12-30T16:30:00"/>
    <n v="2.4999999999999991"/>
    <s v="Completed"/>
    <m/>
  </r>
  <r>
    <s v="Bay 6 -_x000a_Generator"/>
    <x v="19"/>
    <x v="7"/>
    <s v="Drill rig"/>
    <s v="DR-20"/>
    <s v="Reapir on site"/>
    <d v="2025-12-24T00:00:00"/>
    <d v="2025-12-24T00:00:00"/>
    <d v="2025-12-24T00:00:00"/>
    <m/>
    <d v="1899-12-30T07:30:00"/>
    <d v="1899-12-30T13:00:00"/>
    <n v="5.4999999999999991"/>
    <s v="Completed"/>
    <m/>
  </r>
  <r>
    <s v="Bay 4&amp;5 - _x000a_Pumps"/>
    <x v="19"/>
    <x v="18"/>
    <s v="Diesel Driven CP Pump"/>
    <s v="KV550-001"/>
    <s v="Pump end swapping"/>
    <d v="2025-12-23T00:00:00"/>
    <d v="2025-12-25T00:00:00"/>
    <d v="2025-12-25T00:00:00"/>
    <m/>
    <d v="1899-12-30T07:30:00"/>
    <d v="1899-12-30T19:00:00"/>
    <n v="11.5"/>
    <s v="Completed"/>
    <m/>
  </r>
  <r>
    <s v="Bay 4&amp;5 - _x000a_Pumps"/>
    <x v="19"/>
    <x v="20"/>
    <m/>
    <m/>
    <m/>
    <m/>
    <m/>
    <m/>
    <m/>
    <d v="1899-12-30T07:30:00"/>
    <d v="1899-12-30T19:00:00"/>
    <n v="11.5"/>
    <m/>
    <m/>
  </r>
  <r>
    <s v="Bay 4&amp;5 - _x000a_Pumps"/>
    <x v="19"/>
    <x v="38"/>
    <s v="Diesel Driven CP Pump"/>
    <s v="CD300M-14"/>
    <s v="Radiator intercooler dismantling, pump end removing for coupling replacement"/>
    <d v="2025-12-24T00:00:00"/>
    <d v="2025-12-30T00:00:00"/>
    <d v="2025-12-30T00:00:00"/>
    <m/>
    <d v="1899-12-30T08:00:00"/>
    <d v="1899-12-30T19:00:00"/>
    <n v="11"/>
    <s v="Completed"/>
    <m/>
  </r>
  <r>
    <s v="Bay 4&amp;5 - _x000a_Pumps"/>
    <x v="19"/>
    <x v="37"/>
    <m/>
    <m/>
    <m/>
    <m/>
    <m/>
    <m/>
    <m/>
    <d v="1899-12-30T08:00:00"/>
    <d v="1899-12-30T19:00:00"/>
    <n v="11"/>
    <m/>
    <m/>
  </r>
  <r>
    <s v="Bay 4&amp;5 - _x000a_Pumps"/>
    <x v="19"/>
    <x v="0"/>
    <s v="Contractor dewatering Pump"/>
    <s v="CP150X3"/>
    <s v="vaccum pump repair "/>
    <d v="2025-12-24T00:00:00"/>
    <d v="2025-12-24T00:00:00"/>
    <d v="2025-12-24T00:00:00"/>
    <m/>
    <d v="1899-12-30T08:00:00"/>
    <d v="1899-12-30T19:00:00"/>
    <n v="11"/>
    <s v="Completed"/>
    <m/>
  </r>
  <r>
    <s v="Bay 4&amp;5 - _x000a_Pumps"/>
    <x v="19"/>
    <x v="4"/>
    <s v="Contractor dewatering Pump"/>
    <s v="PT175-531"/>
    <s v="Engine assembling ongoing"/>
    <d v="2025-12-20T00:00:00"/>
    <d v="2025-12-24T00:00:00"/>
    <d v="2025-12-24T00:00:00"/>
    <m/>
    <d v="1899-12-30T08:00:00"/>
    <d v="1899-12-30T19:00:00"/>
    <n v="11"/>
    <s v="Completed"/>
    <m/>
  </r>
  <r>
    <s v="Bay 4&amp;5 - _x000a_Pumps"/>
    <x v="19"/>
    <x v="2"/>
    <m/>
    <m/>
    <m/>
    <m/>
    <m/>
    <m/>
    <m/>
    <d v="1899-12-30T10:30:00"/>
    <d v="1899-12-30T11:00:00"/>
    <n v="0.49999999999999956"/>
    <m/>
    <m/>
  </r>
  <r>
    <s v="Bay 4&amp;5 - _x000a_Pumps"/>
    <x v="19"/>
    <x v="28"/>
    <s v="Contractor dewatering Pump"/>
    <s v="CP150-022"/>
    <s v="Pump assembling"/>
    <d v="2025-12-20T00:00:00"/>
    <d v="2025-12-23T00:00:00"/>
    <m/>
    <m/>
    <d v="1899-12-30T07:30:00"/>
    <d v="1899-12-30T11:30:00"/>
    <n v="4"/>
    <s v="Ongoing"/>
    <m/>
  </r>
  <r>
    <s v="Bay 4&amp;5 - _x000a_Pumps"/>
    <x v="19"/>
    <x v="2"/>
    <m/>
    <m/>
    <m/>
    <m/>
    <m/>
    <m/>
    <m/>
    <d v="1899-12-30T11:00:00"/>
    <d v="1899-12-30T12:00:00"/>
    <n v="1.0000000000000004"/>
    <m/>
    <m/>
  </r>
  <r>
    <s v="Bay 4&amp;5 - _x000a_Pumps"/>
    <x v="19"/>
    <x v="28"/>
    <s v="Contractor dewatering Pump"/>
    <s v="CP150-844"/>
    <s v="Engine dismantle &amp; prepare for assemble"/>
    <d v="2025-12-23T00:00:00"/>
    <d v="2025-12-24T00:00:00"/>
    <d v="2025-12-24T00:00:00"/>
    <m/>
    <d v="1899-12-30T07:30:00"/>
    <d v="1899-12-30T18:30:00"/>
    <n v="11"/>
    <s v="Completed"/>
    <m/>
  </r>
  <r>
    <s v="Bay 4&amp;5 - _x000a_Pumps"/>
    <x v="19"/>
    <x v="1"/>
    <s v="Contractor dewatering Pump"/>
    <s v="PT175-522/521/554"/>
    <s v="Fuel tank connections fixing, PDI &amp; flowfinity"/>
    <d v="2025-12-24T00:00:00"/>
    <d v="2025-12-24T00:00:00"/>
    <d v="2025-12-24T00:00:00"/>
    <m/>
    <d v="1899-12-30T07:30:00"/>
    <d v="1899-12-30T18:30:00"/>
    <n v="11"/>
    <s v="Completed"/>
    <m/>
  </r>
  <r>
    <s v="Bay 4&amp;5 - _x000a_Pumps"/>
    <x v="19"/>
    <x v="2"/>
    <m/>
    <m/>
    <m/>
    <m/>
    <m/>
    <m/>
    <m/>
    <d v="1899-12-30T10:30:00"/>
    <d v="1899-12-30T11:00:00"/>
    <n v="0.49999999999999956"/>
    <m/>
    <m/>
  </r>
  <r>
    <s v="Bay 4&amp;5 - _x000a_Pumps"/>
    <x v="19"/>
    <x v="5"/>
    <s v="Contractor dewatering Pump"/>
    <s v="CP150-374"/>
    <s v="Float Reapir &amp; vaccum pump change."/>
    <d v="2025-12-24T00:00:00"/>
    <d v="2025-12-24T00:00:00"/>
    <d v="2025-12-24T00:00:00"/>
    <m/>
    <d v="1899-12-30T10:00:00"/>
    <d v="1899-12-30T19:00:00"/>
    <n v="8.9999999999999982"/>
    <s v="Completed"/>
    <m/>
  </r>
  <r>
    <s v="Bay 4&amp;5 - _x000a_Pumps"/>
    <x v="19"/>
    <x v="5"/>
    <s v="Contractor dewatering Pump"/>
    <s v="CP150-001"/>
    <s v="Pump minor repair &amp; water test"/>
    <d v="2025-12-24T00:00:00"/>
    <d v="2025-12-24T00:00:00"/>
    <d v="2025-12-24T00:00:00"/>
    <m/>
    <d v="1899-12-30T07:30:00"/>
    <d v="1899-12-30T11:30:00"/>
    <n v="4"/>
    <s v="Completed"/>
    <m/>
  </r>
  <r>
    <s v="Bay 4&amp;5 - _x000a_Pumps"/>
    <x v="19"/>
    <x v="2"/>
    <s v="Other"/>
    <s v="General work"/>
    <s v="MCS work &amp; general work"/>
    <d v="2025-12-24T00:00:00"/>
    <d v="2025-12-24T00:00:00"/>
    <d v="2025-12-24T00:00:00"/>
    <m/>
    <d v="1899-12-30T10:00:00"/>
    <d v="1899-12-30T12:00:00"/>
    <n v="1.9999999999999996"/>
    <s v="Completed"/>
    <m/>
  </r>
  <r>
    <s v="Bay 4&amp;5 - _x000a_Pumps"/>
    <x v="19"/>
    <x v="3"/>
    <s v="Contractor dewatering Pump"/>
    <s v="CP150-633"/>
    <s v="Pump repair"/>
    <d v="2025-12-24T00:00:00"/>
    <d v="2025-12-24T00:00:00"/>
    <d v="2025-12-24T00:00:00"/>
    <m/>
    <d v="1899-12-30T11:00:00"/>
    <d v="1899-12-30T13:30:00"/>
    <n v="2.5000000000000004"/>
    <s v="Completed"/>
    <m/>
  </r>
  <r>
    <s v="Electrical"/>
    <x v="20"/>
    <x v="8"/>
    <s v="Panel"/>
    <s v="CPB"/>
    <s v="5nos old CPB panels disposal"/>
    <d v="2025-12-25T00:00:00"/>
    <d v="2025-12-25T00:00:00"/>
    <d v="2025-12-25T00:00:00"/>
    <m/>
    <d v="1899-12-30T08:00:00"/>
    <d v="1899-12-30T17:00:00"/>
    <n v="9.0000000000000018"/>
    <s v="Completed"/>
    <m/>
  </r>
  <r>
    <s v="Electrical"/>
    <x v="20"/>
    <x v="10"/>
    <s v="Panel"/>
    <s v="SPB3.7-052"/>
    <s v="Sensors wiring, site task"/>
    <d v="2025-12-25T00:00:00"/>
    <d v="2025-12-25T00:00:00"/>
    <d v="2025-12-25T00:00:00"/>
    <m/>
    <d v="1899-12-30T07:30:00"/>
    <d v="1899-12-30T16:30:00"/>
    <n v="9"/>
    <s v="Completed"/>
    <m/>
  </r>
  <r>
    <s v="Electrical"/>
    <x v="20"/>
    <x v="34"/>
    <m/>
    <m/>
    <m/>
    <m/>
    <m/>
    <m/>
    <m/>
    <d v="1899-12-30T07:30:00"/>
    <d v="1899-12-30T16:30:00"/>
    <n v="9"/>
    <m/>
    <m/>
  </r>
  <r>
    <s v="Electrical"/>
    <x v="20"/>
    <x v="14"/>
    <s v="Submersible pump"/>
    <s v="SMSP3-023"/>
    <s v="Parts cleaning, service &amp; pump assembling"/>
    <d v="2025-12-24T00:00:00"/>
    <d v="2025-12-26T00:00:00"/>
    <m/>
    <m/>
    <d v="1899-12-30T07:30:00"/>
    <d v="1899-12-30T17:00:00"/>
    <n v="9.5"/>
    <s v="Ongoing"/>
    <m/>
  </r>
  <r>
    <s v="Electrical"/>
    <x v="20"/>
    <x v="12"/>
    <m/>
    <m/>
    <m/>
    <m/>
    <m/>
    <m/>
    <m/>
    <d v="1899-12-30T07:30:00"/>
    <d v="1899-12-30T17:00:00"/>
    <n v="9.5"/>
    <m/>
    <m/>
  </r>
  <r>
    <s v="Electrical"/>
    <x v="20"/>
    <x v="36"/>
    <s v="Generator"/>
    <s v="GEN60-041"/>
    <s v="Ac alternator re- winding &amp; coils"/>
    <d v="2025-12-22T00:00:00"/>
    <d v="2025-12-26T00:00:00"/>
    <m/>
    <m/>
    <d v="1899-12-30T07:30:00"/>
    <d v="1899-12-30T13:00:00"/>
    <n v="5.4999999999999991"/>
    <s v="Ongoing"/>
    <m/>
  </r>
  <r>
    <s v="Electrical"/>
    <x v="20"/>
    <x v="35"/>
    <m/>
    <m/>
    <m/>
    <m/>
    <m/>
    <m/>
    <m/>
    <d v="1899-12-30T07:30:00"/>
    <d v="1899-12-30T16:30:00"/>
    <n v="9"/>
    <m/>
    <m/>
  </r>
  <r>
    <s v="Electrical"/>
    <x v="20"/>
    <x v="24"/>
    <s v="Borehole pump"/>
    <s v="New 2.2kw pump"/>
    <s v="10nos B:H pumps inspection &amp; fleet number tagging socket32a."/>
    <d v="2025-12-25T00:00:00"/>
    <d v="2025-12-25T00:00:00"/>
    <d v="2025-12-25T00:00:00"/>
    <m/>
    <d v="1899-12-30T07:30:00"/>
    <d v="1899-12-30T17:00:00"/>
    <n v="9.5"/>
    <s v="Completed"/>
    <m/>
  </r>
  <r>
    <s v="Electrical"/>
    <x v="20"/>
    <x v="17"/>
    <s v="Submersible pump"/>
    <s v="SGN-006"/>
    <s v="Pump inspection, repairing &amp; assemble"/>
    <d v="2025-12-24T00:00:00"/>
    <d v="2025-12-26T00:00:00"/>
    <m/>
    <m/>
    <d v="1899-12-30T07:30:00"/>
    <d v="1899-12-30T16:30:00"/>
    <n v="9"/>
    <s v="Hold"/>
    <m/>
  </r>
  <r>
    <s v="Electrical"/>
    <x v="20"/>
    <x v="33"/>
    <s v="Generator"/>
    <s v="GENJ150-058"/>
    <s v="Ac alternator winding, stator washing &amp; service"/>
    <d v="2025-12-25T00:00:00"/>
    <d v="2025-12-25T00:00:00"/>
    <m/>
    <m/>
    <d v="1899-12-30T07:30:00"/>
    <d v="1899-12-30T13:00:00"/>
    <n v="5.4999999999999991"/>
    <s v="Completed"/>
    <m/>
  </r>
  <r>
    <s v="Electrical"/>
    <x v="20"/>
    <x v="36"/>
    <s v="Generator"/>
    <s v="GEN200-009"/>
    <s v="Hose connections &amp; load test"/>
    <d v="2025-12-25T00:00:00"/>
    <d v="2025-12-25T00:00:00"/>
    <d v="2025-12-25T00:00:00"/>
    <m/>
    <d v="1899-12-30T13:00:00"/>
    <d v="1899-12-30T14:00:00"/>
    <n v="1.0000000000000018"/>
    <s v="Completed"/>
    <m/>
  </r>
  <r>
    <s v="Electrical"/>
    <x v="20"/>
    <x v="36"/>
    <s v="Generator"/>
    <s v="GENJ135-002"/>
    <s v="Hose connections &amp; load test"/>
    <d v="2025-12-25T00:00:00"/>
    <d v="2025-12-25T00:00:00"/>
    <d v="2025-12-25T00:00:00"/>
    <m/>
    <d v="1899-12-30T14:00:00"/>
    <d v="1899-12-30T15:00:00"/>
    <n v="0.99999999999999911"/>
    <s v="Completed"/>
    <m/>
  </r>
  <r>
    <s v="Electrical"/>
    <x v="20"/>
    <x v="36"/>
    <s v="Generator"/>
    <s v="GEN250-038"/>
    <s v="Hose connections &amp; load test"/>
    <d v="2025-12-25T00:00:00"/>
    <d v="2025-12-25T00:00:00"/>
    <d v="2025-12-25T00:00:00"/>
    <m/>
    <d v="1899-12-30T15:00:00"/>
    <d v="1899-12-30T16:00:00"/>
    <n v="0.99999999999999911"/>
    <s v="Completed"/>
    <m/>
  </r>
  <r>
    <s v="Bay 6 -_x000a_Generator"/>
    <x v="20"/>
    <x v="7"/>
    <s v="Drill rig"/>
    <s v="DR-20"/>
    <s v="Repair on site"/>
    <d v="2025-12-24T00:00:00"/>
    <d v="2025-12-25T00:00:00"/>
    <d v="2025-12-25T00:00:00"/>
    <m/>
    <d v="1899-12-30T07:30:00"/>
    <d v="1899-12-30T12:00:00"/>
    <n v="4.5"/>
    <s v="Completed"/>
    <m/>
  </r>
  <r>
    <s v="Bay 6 -_x000a_Generator"/>
    <x v="20"/>
    <x v="23"/>
    <s v="Generator"/>
    <s v="GEN200-009"/>
    <s v="Final fitting, head test, coolant filling"/>
    <d v="2025-12-24T00:00:00"/>
    <d v="2025-12-25T00:00:00"/>
    <d v="2025-12-25T00:00:00"/>
    <m/>
    <d v="1899-12-30T07:30:00"/>
    <d v="1899-12-30T11:30:00"/>
    <n v="4"/>
    <s v="Completed"/>
    <m/>
  </r>
  <r>
    <s v="Bay 6 -_x000a_Generator"/>
    <x v="20"/>
    <x v="32"/>
    <s v="Generator"/>
    <s v="GENJ135-002"/>
    <s v="Final fitting, head test, coolant filling"/>
    <d v="2025-12-03T00:00:00"/>
    <d v="2025-12-25T00:00:00"/>
    <d v="2025-12-25T00:00:00"/>
    <m/>
    <d v="1899-12-30T07:30:00"/>
    <d v="1899-12-30T11:30:00"/>
    <n v="4"/>
    <s v="Completed"/>
    <m/>
  </r>
  <r>
    <s v="Bay 6 -_x000a_Generator"/>
    <x v="20"/>
    <x v="32"/>
    <s v="Tank"/>
    <s v="BFT3-319/331/336/342"/>
    <s v="Main &amp; return fuel line fixing"/>
    <d v="2025-12-25T00:00:00"/>
    <d v="2025-12-25T00:00:00"/>
    <d v="2025-12-25T00:00:00"/>
    <m/>
    <d v="1899-12-30T11:30:00"/>
    <d v="1899-12-30T16:30:00"/>
    <n v="5"/>
    <s v="Completed"/>
    <m/>
  </r>
  <r>
    <s v="Bay 6 -_x000a_Generator"/>
    <x v="20"/>
    <x v="32"/>
    <s v="Generator"/>
    <s v="GEN250-038"/>
    <s v="General repair, heaed test"/>
    <d v="2025-12-25T00:00:00"/>
    <d v="2025-12-25T00:00:00"/>
    <m/>
    <m/>
    <d v="1899-12-30T11:30:00"/>
    <d v="1899-12-30T14:00:00"/>
    <n v="2.5000000000000004"/>
    <s v="Hold"/>
    <m/>
  </r>
  <r>
    <s v="Bay 6 -_x000a_Generator"/>
    <x v="20"/>
    <x v="23"/>
    <m/>
    <m/>
    <m/>
    <m/>
    <m/>
    <m/>
    <m/>
    <d v="1899-12-30T11:30:00"/>
    <d v="1899-12-30T14:00:00"/>
    <n v="2.5000000000000004"/>
    <m/>
    <m/>
  </r>
  <r>
    <s v="Bay 6 -_x000a_Generator"/>
    <x v="20"/>
    <x v="7"/>
    <s v="Other"/>
    <s v="TRAC-001"/>
    <s v="General repair, PDI, jack repair"/>
    <d v="2025-12-25T00:00:00"/>
    <d v="2025-12-25T00:00:00"/>
    <d v="2025-12-25T00:00:00"/>
    <m/>
    <d v="1899-12-30T16:00:00"/>
    <d v="1899-12-30T18:30:00"/>
    <n v="2.5000000000000018"/>
    <s v="Completed"/>
    <m/>
  </r>
  <r>
    <s v="Bay 4&amp;5 - _x000a_Pumps"/>
    <x v="20"/>
    <x v="20"/>
    <s v="Diesel Driven CP Pump"/>
    <s v="KV550-001"/>
    <s v="Final fitting"/>
    <d v="2025-12-25T00:00:00"/>
    <d v="2025-12-25T00:00:00"/>
    <d v="2025-12-25T00:00:00"/>
    <m/>
    <d v="1899-12-30T07:30:00"/>
    <d v="1899-12-30T12:00:00"/>
    <n v="4.5"/>
    <s v="Completed"/>
    <m/>
  </r>
  <r>
    <s v="Bay 4&amp;5 - _x000a_Pumps"/>
    <x v="20"/>
    <x v="18"/>
    <s v="Diesel Driven CP Pump"/>
    <s v="SCT500-35"/>
    <s v="Modification as per site"/>
    <d v="2025-12-25T00:00:00"/>
    <d v="2025-12-25T00:00:00"/>
    <d v="2025-12-25T00:00:00"/>
    <m/>
    <d v="1899-12-30T07:30:00"/>
    <d v="1899-12-30T16:30:00"/>
    <n v="9"/>
    <s v="Completed"/>
    <m/>
  </r>
  <r>
    <s v="Bay 4&amp;5 - _x000a_Pumps"/>
    <x v="20"/>
    <x v="18"/>
    <s v="Diesel Driven CP Pump"/>
    <s v="SCT500-022-023"/>
    <s v="Modification as per site"/>
    <d v="2025-12-25T00:00:00"/>
    <d v="2025-12-25T00:00:00"/>
    <d v="2025-12-25T00:00:00"/>
    <m/>
    <d v="1899-12-30T14:00:00"/>
    <d v="1899-12-30T16:30:00"/>
    <n v="2.4999999999999991"/>
    <s v="Completed"/>
    <m/>
  </r>
  <r>
    <s v="Bay 4&amp;5 - _x000a_Pumps"/>
    <x v="20"/>
    <x v="20"/>
    <m/>
    <m/>
    <m/>
    <m/>
    <m/>
    <m/>
    <m/>
    <d v="1899-12-30T14:00:00"/>
    <d v="1899-12-30T16:30:00"/>
    <n v="2.4999999999999991"/>
    <m/>
    <m/>
  </r>
  <r>
    <s v="Bay 4&amp;5 - _x000a_Pumps"/>
    <x v="20"/>
    <x v="38"/>
    <s v="Diesel Driven CP Pump"/>
    <s v="CD300M-14"/>
    <s v="Pump installation, Coupling replacement"/>
    <d v="2025-12-24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0"/>
    <x v="37"/>
    <m/>
    <m/>
    <m/>
    <m/>
    <m/>
    <m/>
    <m/>
    <d v="1899-12-30T08:00:00"/>
    <d v="1899-12-30T17:00:00"/>
    <n v="9.0000000000000018"/>
    <m/>
    <m/>
  </r>
  <r>
    <s v="Bay 4&amp;5 - _x000a_Pumps"/>
    <x v="20"/>
    <x v="0"/>
    <s v="Contractor dewatering Pump"/>
    <s v="CPX3"/>
    <s v="vaccum pump repair "/>
    <d v="2025-12-24T00:00:00"/>
    <d v="2025-12-25T00:00:00"/>
    <d v="2025-12-25T00:00:00"/>
    <m/>
    <d v="1899-12-30T08:00:00"/>
    <d v="1899-12-30T15:00:00"/>
    <n v="7"/>
    <s v="Completed"/>
    <m/>
  </r>
  <r>
    <s v="Bay 4&amp;5 - _x000a_Pumps"/>
    <x v="20"/>
    <x v="4"/>
    <s v="Contractor dewatering Pump"/>
    <s v="PT175-531"/>
    <s v="Engine assembling ongoing"/>
    <d v="2025-12-20T00:00:00"/>
    <d v="2025-12-25T00:00:00"/>
    <d v="2025-12-25T00:00:00"/>
    <m/>
    <d v="1899-12-30T08:00:00"/>
    <d v="1899-12-30T13:00:00"/>
    <n v="5"/>
    <s v="Completed"/>
    <m/>
  </r>
  <r>
    <s v="Bay 4&amp;5 - _x000a_Pumps"/>
    <x v="20"/>
    <x v="2"/>
    <m/>
    <m/>
    <m/>
    <m/>
    <m/>
    <m/>
    <m/>
    <d v="1899-12-30T10:30:00"/>
    <d v="1899-12-30T11:00:00"/>
    <n v="0.49999999999999956"/>
    <m/>
    <m/>
  </r>
  <r>
    <s v="Bay 4&amp;5 - _x000a_Pumps"/>
    <x v="20"/>
    <x v="28"/>
    <s v="Contractor dewatering Pump"/>
    <s v="CP150-844"/>
    <s v="Engine assembling"/>
    <d v="2025-12-20T00:00:00"/>
    <d v="2025-12-25T00:00:00"/>
    <d v="2025-12-25T00:00:00"/>
    <m/>
    <d v="1899-12-30T07:30:00"/>
    <d v="1899-12-30T18:30:00"/>
    <n v="11"/>
    <s v="Completed"/>
    <m/>
  </r>
  <r>
    <s v="Bay 4&amp;5 - _x000a_Pumps"/>
    <x v="20"/>
    <x v="2"/>
    <m/>
    <m/>
    <m/>
    <m/>
    <m/>
    <m/>
    <m/>
    <d v="1899-12-30T11:00:00"/>
    <d v="1899-12-30T12:00:00"/>
    <n v="1.0000000000000004"/>
    <m/>
    <m/>
  </r>
  <r>
    <s v="Bay 4&amp;5 - _x000a_Pumps"/>
    <x v="20"/>
    <x v="1"/>
    <s v="Contractor dewatering Pump"/>
    <s v="PT175-531"/>
    <s v="Pump prepare for assembling"/>
    <d v="2025-12-23T00:00:00"/>
    <d v="2025-12-25T00:00:00"/>
    <d v="2025-12-25T00:00:00"/>
    <m/>
    <d v="1899-12-30T07:30:00"/>
    <d v="1899-12-30T10:30:00"/>
    <n v="3"/>
    <s v="Completed"/>
    <m/>
  </r>
  <r>
    <s v="Bay 4&amp;5 - _x000a_Pumps"/>
    <x v="20"/>
    <x v="2"/>
    <m/>
    <m/>
    <m/>
    <m/>
    <m/>
    <m/>
    <m/>
    <d v="1899-12-30T10:30:00"/>
    <d v="1899-12-30T11:00:00"/>
    <n v="0.49999999999999956"/>
    <m/>
    <m/>
  </r>
  <r>
    <s v="Bay 4&amp;5 - _x000a_Pumps"/>
    <x v="20"/>
    <x v="1"/>
    <s v="Contractor dewatering Pump"/>
    <s v="JP-223"/>
    <s v="Pump water test failed, &amp; dismantling "/>
    <d v="2025-12-25T00:00:00"/>
    <d v="2025-12-25T00:00:00"/>
    <d v="2025-12-25T00:00:00"/>
    <m/>
    <d v="1899-12-30T10:30:00"/>
    <d v="1899-12-30T18:30:00"/>
    <n v="8"/>
    <s v="Completed"/>
    <m/>
  </r>
  <r>
    <s v="Bay 4&amp;5 - _x000a_Pumps"/>
    <x v="20"/>
    <x v="5"/>
    <s v="Contractor dewatering Pump"/>
    <s v="CP150-374"/>
    <s v="Float Reapir &amp; vaccum pump change."/>
    <d v="2025-12-24T00:00:00"/>
    <d v="2025-12-25T00:00:00"/>
    <m/>
    <m/>
    <d v="1899-12-30T10:00:00"/>
    <d v="1899-12-30T19:00:00"/>
    <n v="8.9999999999999982"/>
    <s v="Hold"/>
    <m/>
  </r>
  <r>
    <s v="Bay 4&amp;5 - _x000a_Pumps"/>
    <x v="20"/>
    <x v="2"/>
    <s v="Other"/>
    <s v="General work"/>
    <s v="MCS work &amp; general work"/>
    <d v="2025-12-25T00:00:00"/>
    <d v="2025-12-25T00:00:00"/>
    <d v="2025-12-25T00:00:00"/>
    <m/>
    <d v="1899-12-30T10:00:00"/>
    <d v="1899-12-30T12:00:00"/>
    <n v="1.9999999999999996"/>
    <s v="Completed"/>
    <m/>
  </r>
  <r>
    <s v="Bay 4&amp;5 - _x000a_Pumps"/>
    <x v="20"/>
    <x v="3"/>
    <s v="Contractor dewatering Pump"/>
    <s v="CP150-633"/>
    <s v="Pump repair"/>
    <d v="2025-12-24T00:00:00"/>
    <d v="2025-12-25T00:00:00"/>
    <m/>
    <m/>
    <d v="1899-12-30T11:00:00"/>
    <d v="1899-12-30T13:30:00"/>
    <n v="2.5000000000000004"/>
    <s v="Hold"/>
    <m/>
  </r>
  <r>
    <s v="Electrical"/>
    <x v="21"/>
    <x v="8"/>
    <s v="Panel"/>
    <s v="SPB3.7X8"/>
    <s v="Cable gland &amp; sensor cable cutting"/>
    <d v="2025-12-26T00:00:00"/>
    <d v="2025-12-26T00:00:00"/>
    <d v="2025-12-26T00:00:00"/>
    <m/>
    <d v="1899-12-30T08:00:00"/>
    <d v="1899-12-30T17:00:00"/>
    <n v="9.0000000000000018"/>
    <s v="Completed"/>
    <m/>
  </r>
  <r>
    <s v="Electrical"/>
    <x v="21"/>
    <x v="10"/>
    <m/>
    <m/>
    <m/>
    <m/>
    <m/>
    <m/>
    <m/>
    <d v="1899-12-30T07:30:00"/>
    <d v="1899-12-30T16:30:00"/>
    <n v="9"/>
    <m/>
    <m/>
  </r>
  <r>
    <s v="Electrical"/>
    <x v="21"/>
    <x v="34"/>
    <s v="Other"/>
    <s v="Site task"/>
    <s v="Site task"/>
    <d v="2025-12-26T00:00:00"/>
    <d v="2025-12-26T00:00:00"/>
    <d v="2025-12-26T00:00:00"/>
    <m/>
    <d v="1899-12-30T07:30:00"/>
    <d v="1899-12-30T16:30:00"/>
    <n v="9"/>
    <s v="Completed"/>
    <m/>
  </r>
  <r>
    <s v="Electrical"/>
    <x v="21"/>
    <x v="14"/>
    <s v="Submersible pump"/>
    <s v="SM1002/60-276/14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12"/>
    <s v="Submersible pump"/>
    <s v="SM1002/60-152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s v="Completed"/>
    <m/>
  </r>
  <r>
    <s v="Electrical"/>
    <x v="21"/>
    <x v="36"/>
    <s v="Submersible pump"/>
    <s v="SM1002/60-195/032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35"/>
    <s v="Submersible pump"/>
    <s v="SM1002/60-191/220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17"/>
    <s v="Submersible pump"/>
    <s v="SM1002/60-196/119"/>
    <s v="30meter cable &amp; joint with socket(125A) &amp; with fitting fixed"/>
    <d v="2025-12-26T00:00:00"/>
    <d v="2025-12-26T00:00:00"/>
    <d v="2025-12-26T00:00:00"/>
    <m/>
    <d v="1899-12-30T07:30:00"/>
    <d v="1899-12-30T17:00:00"/>
    <n v="9.5"/>
    <s v="Completed"/>
    <m/>
  </r>
  <r>
    <s v="Electrical"/>
    <x v="21"/>
    <x v="33"/>
    <s v="Submersible pump"/>
    <s v="SM1002/60-126"/>
    <s v="30meter cable &amp; joint with socket(125A) &amp; with fitting fixed"/>
    <d v="2025-12-26T00:00:00"/>
    <d v="2025-12-26T00:00:00"/>
    <d v="2025-12-26T00:00:00"/>
    <m/>
    <d v="1899-12-30T07:30:00"/>
    <d v="1899-12-30T12:00:00"/>
    <n v="4.5"/>
    <s v="Completed"/>
    <m/>
  </r>
  <r>
    <s v="Electrical"/>
    <x v="21"/>
    <x v="33"/>
    <s v="Submersible pump"/>
    <s v="SMSP3-021/SGN005/SF2250-005/SF300-002/SF300-001"/>
    <s v="Pump inspection, checked ok, sent to site"/>
    <d v="2025-12-26T00:00:00"/>
    <d v="2025-12-26T00:00:00"/>
    <d v="2025-12-26T00:00:00"/>
    <m/>
    <d v="1899-12-30T13:00:00"/>
    <d v="1899-12-30T17:00:00"/>
    <n v="4.0000000000000018"/>
    <s v="Completed"/>
    <m/>
  </r>
  <r>
    <s v="Electrical"/>
    <x v="21"/>
    <x v="12"/>
    <m/>
    <m/>
    <m/>
    <d v="2025-12-26T00:00:00"/>
    <d v="2025-12-26T00:00:00"/>
    <d v="2025-12-26T00:00:00"/>
    <m/>
    <d v="1899-12-30T13:00:00"/>
    <d v="1899-12-30T17:00:00"/>
    <n v="4.0000000000000018"/>
    <m/>
    <m/>
  </r>
  <r>
    <s v="Bay 6 -_x000a_Generator"/>
    <x v="21"/>
    <x v="32"/>
    <s v="Generator"/>
    <s v="GEN200-007/009/GEN250-044/012/GEN135-002/250-48/GEN250-54"/>
    <s v="Final fitting, battery fixing, PDI &amp; flowfinity"/>
    <d v="2025-12-26T00:00:00"/>
    <d v="2025-12-26T00:00:00"/>
    <d v="2025-12-26T00:00:00"/>
    <m/>
    <d v="1899-12-30T07:30:00"/>
    <d v="1899-12-30T12:30:00"/>
    <n v="5.0000000000000009"/>
    <s v="Completed"/>
    <m/>
  </r>
  <r>
    <s v="Bay 6 -_x000a_Generator"/>
    <x v="21"/>
    <x v="23"/>
    <m/>
    <m/>
    <m/>
    <m/>
    <m/>
    <m/>
    <m/>
    <d v="1899-12-30T07:30:00"/>
    <d v="1899-12-30T16:30:00"/>
    <n v="9"/>
    <m/>
    <m/>
  </r>
  <r>
    <s v="Bay 6 -_x000a_Generator"/>
    <x v="21"/>
    <x v="7"/>
    <m/>
    <m/>
    <m/>
    <m/>
    <m/>
    <m/>
    <m/>
    <d v="1899-12-30T07:30:00"/>
    <d v="1899-12-30T16:30:00"/>
    <n v="9"/>
    <m/>
    <m/>
  </r>
  <r>
    <s v="Bay 6 -_x000a_Generator"/>
    <x v="21"/>
    <x v="32"/>
    <s v="Tank"/>
    <s v="BFT3-320/329/324/340"/>
    <s v="Hose fitting fix"/>
    <d v="2025-12-26T00:00:00"/>
    <d v="2025-12-26T00:00:00"/>
    <m/>
    <m/>
    <d v="1899-12-30T14:00:00"/>
    <d v="1899-12-30T17:30:00"/>
    <n v="3.4999999999999982"/>
    <s v="Ongoing"/>
    <m/>
  </r>
  <r>
    <s v="Bay 4&amp;5 - _x000a_Pumps"/>
    <x v="21"/>
    <x v="18"/>
    <s v="Diesel Driven CP Pump"/>
    <s v="CD500M-008"/>
    <s v="Impeller &amp; wear plate replacement."/>
    <d v="2025-12-26T00:00:00"/>
    <d v="2025-12-26T00:00:00"/>
    <d v="2025-12-26T00:00:00"/>
    <m/>
    <d v="1899-12-30T07:30:00"/>
    <d v="1899-12-30T16:30:00"/>
    <n v="9"/>
    <s v="Completed"/>
    <m/>
  </r>
  <r>
    <s v="Bay 4&amp;5 - _x000a_Pumps"/>
    <x v="21"/>
    <x v="20"/>
    <m/>
    <m/>
    <m/>
    <m/>
    <m/>
    <m/>
    <m/>
    <d v="1899-12-30T07:30:00"/>
    <d v="1899-12-30T16:30:00"/>
    <n v="9"/>
    <m/>
    <m/>
  </r>
  <r>
    <s v="Bay 4&amp;5 - _x000a_Pumps"/>
    <x v="21"/>
    <x v="38"/>
    <s v="Diesel Driven CP Pump"/>
    <s v="CD300M-14"/>
    <s v="Radiator fan drive installation, pump end installing,"/>
    <d v="2025-12-26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1"/>
    <x v="37"/>
    <m/>
    <m/>
    <m/>
    <m/>
    <m/>
    <m/>
    <m/>
    <d v="1899-12-30T08:00:00"/>
    <d v="1899-12-30T17:00:00"/>
    <n v="9.0000000000000018"/>
    <m/>
    <m/>
  </r>
  <r>
    <s v="Bay 4&amp;5 - _x000a_Pumps"/>
    <x v="21"/>
    <x v="0"/>
    <s v="Contractor dewatering Pump"/>
    <s v="CPX2/CP001"/>
    <s v="vaccum pump repair &amp; final fitting"/>
    <d v="2025-12-25T00:00:00"/>
    <d v="2025-12-26T00:00:00"/>
    <d v="2025-12-26T00:00:00"/>
    <m/>
    <d v="1899-12-30T08:00:00"/>
    <d v="1899-12-30T19:00:00"/>
    <n v="11"/>
    <s v="Completed"/>
    <m/>
  </r>
  <r>
    <s v="Bay 4&amp;5 - _x000a_Pumps"/>
    <x v="21"/>
    <x v="4"/>
    <s v="Contractor dewatering Pump"/>
    <s v="PT175-531"/>
    <s v="Engine assembling ongoing"/>
    <d v="2025-12-20T00:00:00"/>
    <d v="2025-12-26T00:00:00"/>
    <m/>
    <m/>
    <d v="1899-12-30T08:00:00"/>
    <d v="1899-12-30T12:00:00"/>
    <n v="4"/>
    <s v="Ongoing"/>
    <m/>
  </r>
  <r>
    <s v="Bay 4&amp;5 - _x000a_Pumps"/>
    <x v="21"/>
    <x v="2"/>
    <m/>
    <m/>
    <m/>
    <m/>
    <m/>
    <m/>
    <m/>
    <d v="1899-12-30T10:30:00"/>
    <d v="1899-12-30T11:00:00"/>
    <n v="0.49999999999999956"/>
    <m/>
    <m/>
  </r>
  <r>
    <s v="Bay 4&amp;5 - _x000a_Pumps"/>
    <x v="21"/>
    <x v="28"/>
    <s v="Contractor dewatering Pump"/>
    <s v="CP150-844"/>
    <s v="Engine assembling ongoing"/>
    <d v="2025-12-20T00:00:00"/>
    <d v="2025-12-26T00:00:00"/>
    <m/>
    <m/>
    <d v="1899-12-30T07:30:00"/>
    <d v="1899-12-30T18:30:00"/>
    <n v="11"/>
    <s v="Hold"/>
    <m/>
  </r>
  <r>
    <s v="Bay 4&amp;5 - _x000a_Pumps"/>
    <x v="21"/>
    <x v="2"/>
    <m/>
    <m/>
    <m/>
    <m/>
    <m/>
    <m/>
    <m/>
    <d v="1899-12-30T11:00:00"/>
    <d v="1899-12-30T12:00:00"/>
    <n v="1.0000000000000004"/>
    <m/>
    <m/>
  </r>
  <r>
    <s v="Bay 4&amp;5 - _x000a_Pumps"/>
    <x v="21"/>
    <x v="1"/>
    <s v="Contractor dewatering Pump"/>
    <s v="PT175-521"/>
    <s v="Pump final fitting, PDI &amp; flowfinity"/>
    <d v="2025-12-23T00:00:00"/>
    <d v="2025-12-26T00:00:00"/>
    <d v="2025-12-26T00:00:00"/>
    <m/>
    <d v="1899-12-30T07:30:00"/>
    <d v="1899-12-30T11:30:00"/>
    <n v="4"/>
    <s v="Completed"/>
    <m/>
  </r>
  <r>
    <s v="Bay 4&amp;5 - _x000a_Pumps"/>
    <x v="21"/>
    <x v="2"/>
    <m/>
    <m/>
    <m/>
    <m/>
    <m/>
    <m/>
    <m/>
    <d v="1899-12-30T10:30:00"/>
    <d v="1899-12-30T11:00:00"/>
    <n v="0.49999999999999956"/>
    <m/>
    <m/>
  </r>
  <r>
    <s v="Bay 4&amp;5 - _x000a_Pumps"/>
    <x v="21"/>
    <x v="1"/>
    <s v="Contractor dewatering Pump"/>
    <s v="JP-223"/>
    <s v="Pump water test failed, &amp; dismantling "/>
    <d v="2025-12-25T00:00:00"/>
    <d v="2025-12-25T00:00:00"/>
    <m/>
    <m/>
    <d v="1899-12-30T10:30:00"/>
    <d v="1899-12-30T18:30:00"/>
    <n v="8"/>
    <s v="Ongoing"/>
    <m/>
  </r>
  <r>
    <s v="Bay 4&amp;5 - _x000a_Pumps"/>
    <x v="21"/>
    <x v="5"/>
    <s v="Contractor dewatering Pump"/>
    <s v="CP150-374"/>
    <s v="Float Reapir &amp; vaccum pump change. Water test"/>
    <d v="2025-12-24T00:00:00"/>
    <d v="2025-12-26T00:00:00"/>
    <d v="2025-12-26T00:00:00"/>
    <m/>
    <d v="1899-12-30T08:00:00"/>
    <d v="1899-12-30T12:00:00"/>
    <n v="4"/>
    <s v="Completed"/>
    <m/>
  </r>
  <r>
    <s v="Bay 4&amp;5 - _x000a_Pumps"/>
    <x v="21"/>
    <x v="5"/>
    <s v="Contractor dewatering Pump"/>
    <s v="CP150-001"/>
    <s v="Pump repair, final fitting, Pdi &amp; flowfinity"/>
    <d v="2025-12-26T00:00:00"/>
    <d v="2025-12-26T00:00:00"/>
    <d v="2025-12-26T00:00:00"/>
    <m/>
    <d v="1899-12-30T13:00:00"/>
    <d v="1899-12-30T15:00:00"/>
    <n v="2.0000000000000009"/>
    <s v="Completed"/>
    <m/>
  </r>
  <r>
    <s v="Bay 4&amp;5 - _x000a_Pumps"/>
    <x v="21"/>
    <x v="5"/>
    <s v="Contractor dewatering Pump"/>
    <s v="CP150-845"/>
    <s v="Priming tank pressure test"/>
    <d v="2025-12-26T00:00:00"/>
    <d v="2025-12-26T00:00:00"/>
    <d v="2025-12-26T00:00:00"/>
    <m/>
    <d v="1899-12-30T15:00:00"/>
    <d v="1899-12-30T17:00:00"/>
    <n v="2.0000000000000009"/>
    <s v="Completed"/>
    <m/>
  </r>
  <r>
    <s v="Bay 4&amp;5 - _x000a_Pumps"/>
    <x v="21"/>
    <x v="2"/>
    <s v="Other"/>
    <s v="General work"/>
    <s v="MCS work &amp; general work"/>
    <d v="2025-12-26T00:00:00"/>
    <d v="2025-12-26T00:00:00"/>
    <d v="2025-12-26T00:00:00"/>
    <m/>
    <d v="1899-12-30T10:00:00"/>
    <d v="1899-12-30T12:00:00"/>
    <n v="1.9999999999999996"/>
    <s v="Completed"/>
    <m/>
  </r>
  <r>
    <s v="Bay 4&amp;5 - _x000a_Pumps"/>
    <x v="21"/>
    <x v="3"/>
    <s v="Contractor dewatering Pump"/>
    <s v="CP150-684"/>
    <s v="Pump repair &amp; engine repair"/>
    <d v="2025-12-26T00:00:00"/>
    <d v="2025-12-26T00:00:00"/>
    <d v="2025-12-26T00:00:00"/>
    <m/>
    <d v="1899-12-30T07:30:00"/>
    <d v="1899-12-30T16:30:00"/>
    <n v="9"/>
    <s v="Completed"/>
    <m/>
  </r>
  <r>
    <s v="Electrical"/>
    <x v="22"/>
    <x v="8"/>
    <s v="Panel"/>
    <s v="ATS125-008"/>
    <s v="Test repair &amp; PDI"/>
    <d v="2025-12-27T00:00:00"/>
    <d v="2025-12-27T00:00:00"/>
    <d v="2025-12-27T00:00:00"/>
    <m/>
    <d v="1899-12-30T08:00:00"/>
    <d v="1899-12-30T17:00:00"/>
    <n v="9.0000000000000018"/>
    <s v="Completed"/>
    <m/>
  </r>
  <r>
    <s v="Electrical"/>
    <x v="22"/>
    <x v="8"/>
    <s v="Submersible pump"/>
    <s v="6XSM1002"/>
    <s v="Pump flange &amp; socket fixing"/>
    <d v="2025-12-27T00:00:00"/>
    <d v="2025-12-27T00:00:00"/>
    <d v="2025-12-27T00:00:00"/>
    <m/>
    <d v="1899-12-30T14:00:00"/>
    <d v="1899-12-30T17:00:00"/>
    <n v="3"/>
    <s v="Completed"/>
    <m/>
  </r>
  <r>
    <s v="Electrical"/>
    <x v="22"/>
    <x v="10"/>
    <s v="Submersible pump"/>
    <s v="SCP226"/>
    <s v="Solar &amp; frame fixing"/>
    <d v="2025-12-27T00:00:00"/>
    <d v="2025-12-27T00:00:00"/>
    <d v="2025-12-27T00:00:00"/>
    <m/>
    <d v="1899-12-30T07:30:00"/>
    <d v="1899-12-30T16:30:00"/>
    <n v="9"/>
    <s v="Completed"/>
    <m/>
  </r>
  <r>
    <s v="Electrical"/>
    <x v="22"/>
    <x v="34"/>
    <s v="Other"/>
    <s v="Site task"/>
    <s v="Site task"/>
    <d v="2025-12-27T00:00:00"/>
    <d v="2025-12-27T00:00:00"/>
    <d v="2025-12-27T00:00:00"/>
    <m/>
    <d v="1899-12-30T07:30:00"/>
    <d v="1899-12-30T16:30:00"/>
    <n v="9"/>
    <s v="Completed"/>
    <m/>
  </r>
  <r>
    <s v="Electrical"/>
    <x v="22"/>
    <x v="14"/>
    <s v="Submersible pump"/>
    <s v="SMSP3-023"/>
    <s v="Parts cleaning, service &amp; pump assembling"/>
    <d v="2025-12-24T00:00:00"/>
    <d v="2025-12-27T00:00:00"/>
    <m/>
    <m/>
    <d v="1899-12-30T07:30:00"/>
    <d v="1899-12-30T13:00:00"/>
    <n v="5.4999999999999991"/>
    <s v="Hold"/>
    <m/>
  </r>
  <r>
    <s v="Electrical"/>
    <x v="22"/>
    <x v="12"/>
    <m/>
    <m/>
    <m/>
    <m/>
    <m/>
    <m/>
    <m/>
    <d v="1899-12-30T07:30:00"/>
    <d v="1899-12-30T13:00:00"/>
    <n v="5.4999999999999991"/>
    <m/>
    <m/>
  </r>
  <r>
    <s v="Electrical"/>
    <x v="22"/>
    <x v="36"/>
    <s v="Generator"/>
    <s v="GEN60-041"/>
    <s v="Ac alternator re- winding &amp; coils"/>
    <d v="2025-12-22T00:00:00"/>
    <d v="2025-12-27T00:00:00"/>
    <d v="2025-12-27T00:00:00"/>
    <m/>
    <d v="1899-12-30T07:30:00"/>
    <d v="1899-12-30T16:30:00"/>
    <n v="9"/>
    <s v="Completed"/>
    <m/>
  </r>
  <r>
    <s v="Electrical"/>
    <x v="22"/>
    <x v="35"/>
    <s v="Submersible pump"/>
    <s v="SM1002-058"/>
    <s v="Water testing"/>
    <d v="2025-12-27T00:00:00"/>
    <d v="2025-12-27T00:00:00"/>
    <d v="2025-12-27T00:00:00"/>
    <m/>
    <d v="1899-12-30T07:30:00"/>
    <d v="1899-12-30T12:00:00"/>
    <n v="4.5"/>
    <s v="Completed"/>
    <m/>
  </r>
  <r>
    <s v="Electrical"/>
    <x v="22"/>
    <x v="24"/>
    <s v="Borehole pump"/>
    <s v="Old 2.2kw pump"/>
    <s v="Inspection&amp; repair"/>
    <d v="2025-12-27T00:00:00"/>
    <d v="2025-12-27T00:00:00"/>
    <d v="2025-12-27T00:00:00"/>
    <m/>
    <d v="1899-12-30T08:00:00"/>
    <d v="1899-12-30T17:00:00"/>
    <n v="9.0000000000000018"/>
    <s v="Completed"/>
    <m/>
  </r>
  <r>
    <s v="Electrical"/>
    <x v="22"/>
    <x v="17"/>
    <s v="Submersible pump"/>
    <s v="SM530-611"/>
    <s v="Pump inspection, repairing &amp; assemble"/>
    <d v="2025-12-27T00:00:00"/>
    <d v="2025-12-29T00:00:00"/>
    <m/>
    <m/>
    <d v="1899-12-30T07:30:00"/>
    <d v="1899-12-30T17:30:00"/>
    <n v="10"/>
    <s v="Ongoing"/>
    <m/>
  </r>
  <r>
    <s v="Electrical"/>
    <x v="22"/>
    <x v="33"/>
    <s v="Generator"/>
    <s v="GEN250-051"/>
    <s v="Inspection &amp; assembling"/>
    <d v="2025-12-27T00:00:00"/>
    <d v="2025-12-27T00:00:00"/>
    <m/>
    <m/>
    <d v="1899-12-30T07:30:00"/>
    <d v="1899-12-30T13:00:00"/>
    <n v="5.4999999999999991"/>
    <s v="Ongoing"/>
    <m/>
  </r>
  <r>
    <s v="Electrical"/>
    <x v="22"/>
    <x v="12"/>
    <s v="Other"/>
    <s v="SLT-027/17/30"/>
    <s v="Inspection &amp; PDI"/>
    <d v="2025-12-27T00:00:00"/>
    <d v="2025-12-27T00:00:00"/>
    <d v="2025-12-27T00:00:00"/>
    <m/>
    <d v="1899-12-30T13:00:00"/>
    <d v="1899-12-30T16:30:00"/>
    <n v="3.5000000000000009"/>
    <s v="Completed"/>
    <m/>
  </r>
  <r>
    <s v="Electrical"/>
    <x v="22"/>
    <x v="33"/>
    <m/>
    <m/>
    <m/>
    <m/>
    <m/>
    <m/>
    <m/>
    <d v="1899-12-30T13:00:00"/>
    <d v="1899-12-30T16:30:00"/>
    <n v="3.5000000000000009"/>
    <m/>
    <m/>
  </r>
  <r>
    <s v="Bay 6 -_x000a_Generator"/>
    <x v="22"/>
    <x v="23"/>
    <s v="Generator"/>
    <s v="GEN250-012"/>
    <s v="Starting problem, repair &amp; load test"/>
    <d v="2025-12-20T00:00:00"/>
    <d v="2025-12-27T00:00:00"/>
    <d v="2025-12-27T00:00:00"/>
    <m/>
    <d v="1899-12-30T07:30:00"/>
    <d v="1899-12-30T09:30:00"/>
    <n v="1.9999999999999996"/>
    <s v="Completed"/>
    <m/>
  </r>
  <r>
    <s v="Bay 6 -_x000a_Generator"/>
    <x v="22"/>
    <x v="7"/>
    <m/>
    <m/>
    <m/>
    <m/>
    <m/>
    <m/>
    <m/>
    <d v="1899-12-30T07:30:00"/>
    <d v="1899-12-30T09:30:00"/>
    <n v="1.9999999999999996"/>
    <m/>
    <m/>
  </r>
  <r>
    <s v="Bay 6 -_x000a_Generator"/>
    <x v="22"/>
    <x v="23"/>
    <s v="Generator"/>
    <s v="GEN250-057"/>
    <s v="Final fitting &amp; load testing"/>
    <d v="2025-12-26T00:00:00"/>
    <d v="2025-12-27T00:00:00"/>
    <m/>
    <m/>
    <d v="1899-12-30T09:30:00"/>
    <d v="1899-12-30T11:30:00"/>
    <n v="2.0000000000000009"/>
    <s v="Hold"/>
    <m/>
  </r>
  <r>
    <s v="Bay 6 -_x000a_Generator"/>
    <x v="22"/>
    <x v="7"/>
    <m/>
    <m/>
    <m/>
    <m/>
    <m/>
    <m/>
    <m/>
    <d v="1899-12-30T09:30:00"/>
    <d v="1899-12-30T11:30:00"/>
    <n v="2.0000000000000009"/>
    <m/>
    <m/>
  </r>
  <r>
    <s v="Bay 6 -_x000a_Generator"/>
    <x v="22"/>
    <x v="32"/>
    <s v="Tank"/>
    <s v="BFT3-320/329/324/340"/>
    <s v="Hose fixing"/>
    <d v="2025-12-27T00:00:00"/>
    <d v="2025-12-27T00:00:00"/>
    <d v="2025-12-27T00:00:00"/>
    <m/>
    <d v="1899-12-30T07:30:00"/>
    <d v="1899-12-30T12:00:00"/>
    <n v="4.5"/>
    <s v="Completed"/>
    <m/>
  </r>
  <r>
    <s v="Bay 6 -_x000a_Generator"/>
    <x v="22"/>
    <x v="23"/>
    <s v="Other"/>
    <s v="TRAC-003"/>
    <s v="General repair"/>
    <d v="2025-12-27T00:00:00"/>
    <d v="2025-12-27T00:00:00"/>
    <d v="2025-12-27T00:00:00"/>
    <m/>
    <d v="1899-12-30T02:00:00"/>
    <d v="1899-12-30T16:30:00"/>
    <n v="14.5"/>
    <s v="Completed"/>
    <m/>
  </r>
  <r>
    <s v="Bay 6 -_x000a_Generator"/>
    <x v="22"/>
    <x v="7"/>
    <m/>
    <m/>
    <m/>
    <m/>
    <m/>
    <m/>
    <m/>
    <d v="1899-12-30T02:00:00"/>
    <d v="1899-12-30T16:30:00"/>
    <n v="14.5"/>
    <m/>
    <m/>
  </r>
  <r>
    <s v="Bay 6 -_x000a_Generator"/>
    <x v="22"/>
    <x v="32"/>
    <m/>
    <m/>
    <m/>
    <m/>
    <m/>
    <m/>
    <m/>
    <d v="1899-12-30T02:00:00"/>
    <d v="1899-12-30T16:30:00"/>
    <n v="14.5"/>
    <m/>
    <m/>
  </r>
  <r>
    <s v="Bay 4&amp;5 - _x000a_Pumps"/>
    <x v="22"/>
    <x v="18"/>
    <s v="Diesel Driven CP Pump"/>
    <s v="HPP140-002"/>
    <s v="General repair, washing &amp; testing"/>
    <d v="2025-12-27T00:00:00"/>
    <d v="2025-12-30T00:00:00"/>
    <d v="2025-12-30T00:00:00"/>
    <m/>
    <d v="1899-12-30T07:30:00"/>
    <d v="1899-12-30T13:00:00"/>
    <n v="5.4999999999999991"/>
    <s v="Completed"/>
    <m/>
  </r>
  <r>
    <s v="Bay 4&amp;5 - _x000a_Pumps"/>
    <x v="22"/>
    <x v="20"/>
    <m/>
    <m/>
    <m/>
    <m/>
    <m/>
    <m/>
    <m/>
    <d v="1899-12-30T07:30:00"/>
    <d v="1899-12-30T16:30:00"/>
    <n v="9"/>
    <m/>
    <m/>
  </r>
  <r>
    <s v="Bay 4&amp;5 - _x000a_Pumps"/>
    <x v="22"/>
    <x v="38"/>
    <s v="Diesel Driven CP Pump"/>
    <s v="CD300M-14"/>
    <s v="Radiator fan drive installation, pump end installing,"/>
    <d v="2025-12-27T00:00:00"/>
    <d v="2025-12-30T00:00:00"/>
    <d v="2025-12-30T00:00:00"/>
    <m/>
    <d v="1899-12-30T08:00:00"/>
    <d v="1899-12-30T17:00:00"/>
    <n v="9.0000000000000018"/>
    <s v="Completed"/>
    <m/>
  </r>
  <r>
    <s v="Bay 4&amp;5 - _x000a_Pumps"/>
    <x v="22"/>
    <x v="37"/>
    <m/>
    <m/>
    <m/>
    <m/>
    <m/>
    <m/>
    <m/>
    <d v="1899-12-30T08:00:00"/>
    <d v="1899-12-30T17:00:00"/>
    <n v="9.0000000000000018"/>
    <m/>
    <m/>
  </r>
  <r>
    <s v="Bay 4&amp;5 - _x000a_Pumps"/>
    <x v="22"/>
    <x v="0"/>
    <s v="Contractor dewatering Pump"/>
    <s v="CP150X3"/>
    <s v="3nos CP pumps vaccum repair"/>
    <d v="2025-12-27T00:00:00"/>
    <d v="2025-12-27T00:00:00"/>
    <d v="2025-12-27T00:00:00"/>
    <m/>
    <d v="1899-12-30T08:00:00"/>
    <d v="1899-12-30T19:00:00"/>
    <n v="11"/>
    <s v="Completed"/>
    <m/>
  </r>
  <r>
    <s v="Bay 4&amp;5 - _x000a_Pumps"/>
    <x v="22"/>
    <x v="4"/>
    <s v="Contractor dewatering Pump"/>
    <s v="CP150-923"/>
    <s v="Pump repair &amp; final fitting"/>
    <d v="2025-12-27T00:00:00"/>
    <d v="2025-12-27T00:00:00"/>
    <d v="2025-12-27T00:00:00"/>
    <m/>
    <d v="1899-12-30T08:00:00"/>
    <d v="1899-12-30T10:00:00"/>
    <n v="2.0000000000000009"/>
    <s v="Completed"/>
    <m/>
  </r>
  <r>
    <s v="Bay 4&amp;5 - _x000a_Pumps"/>
    <x v="22"/>
    <x v="2"/>
    <m/>
    <m/>
    <m/>
    <m/>
    <m/>
    <m/>
    <m/>
    <d v="1899-12-30T10:30:00"/>
    <d v="1899-12-30T11:00:00"/>
    <n v="0.49999999999999956"/>
    <m/>
    <m/>
  </r>
  <r>
    <s v="Bay 4&amp;5 - _x000a_Pumps"/>
    <x v="22"/>
    <x v="4"/>
    <s v="Contractor dewatering Pump"/>
    <s v="CP150-749"/>
    <s v="Pump repair &amp; final fitting"/>
    <d v="2025-12-27T00:00:00"/>
    <d v="2025-12-27T00:00:00"/>
    <d v="2025-12-27T00:00:00"/>
    <m/>
    <d v="1899-12-30T10:00:00"/>
    <d v="1899-12-30T12:00:00"/>
    <n v="1.9999999999999996"/>
    <s v="Completed"/>
    <m/>
  </r>
  <r>
    <s v="Bay 4&amp;5 - _x000a_Pumps"/>
    <x v="22"/>
    <x v="4"/>
    <s v="Contractor dewatering Pump"/>
    <s v="CP150-573"/>
    <s v="pump repair"/>
    <d v="2025-12-27T00:00:00"/>
    <d v="2025-12-27T00:00:00"/>
    <d v="2025-12-27T00:00:00"/>
    <m/>
    <d v="1899-12-30T13:00:00"/>
    <d v="1899-12-30T19:00:00"/>
    <n v="6"/>
    <s v="Completed"/>
    <m/>
  </r>
  <r>
    <s v="Bay 4&amp;5 - _x000a_Pumps"/>
    <x v="22"/>
    <x v="28"/>
    <s v="Contractor dewatering Pump"/>
    <s v="CP150-844"/>
    <s v="Engine assembling ongoing"/>
    <d v="2025-12-20T00:00:00"/>
    <d v="2025-12-27T00:00:00"/>
    <d v="2025-12-27T00:00:00"/>
    <m/>
    <d v="1899-12-30T07:30:00"/>
    <d v="1899-12-30T18:30:00"/>
    <n v="11"/>
    <s v="Completed"/>
    <m/>
  </r>
  <r>
    <s v="Bay 4&amp;5 - _x000a_Pumps"/>
    <x v="22"/>
    <x v="2"/>
    <m/>
    <m/>
    <m/>
    <m/>
    <m/>
    <m/>
    <m/>
    <d v="1899-12-30T11:00:00"/>
    <d v="1899-12-30T12:00:00"/>
    <n v="1.0000000000000004"/>
    <m/>
    <m/>
  </r>
  <r>
    <s v="Bay 4&amp;5 - _x000a_Pumps"/>
    <x v="22"/>
    <x v="5"/>
    <s v="Contractor dewatering Pump"/>
    <s v="CP150-845"/>
    <s v="Pump repair"/>
    <d v="2025-12-26T00:00:00"/>
    <d v="2025-12-27T00:00:00"/>
    <d v="2025-12-27T00:00:00"/>
    <m/>
    <d v="1899-12-30T08:00:00"/>
    <d v="1899-12-30T19:00:00"/>
    <n v="11"/>
    <s v="Completed"/>
    <m/>
  </r>
  <r>
    <s v="Bay 4&amp;5 - _x000a_Pumps"/>
    <x v="22"/>
    <x v="2"/>
    <s v="Other"/>
    <s v="General work"/>
    <s v="MCS work &amp; general work"/>
    <d v="2025-12-27T00:00:00"/>
    <d v="2025-12-27T00:00:00"/>
    <d v="2025-12-27T00:00:00"/>
    <m/>
    <d v="1899-12-30T10:00:00"/>
    <d v="1899-12-30T12:00:00"/>
    <n v="1.9999999999999996"/>
    <s v="Completed"/>
    <m/>
  </r>
  <r>
    <s v="Bay 4&amp;5 - _x000a_Pumps"/>
    <x v="22"/>
    <x v="3"/>
    <s v="Contractor dewatering Pump"/>
    <s v="CP150-684"/>
    <s v="Pump repair &amp; engine repair"/>
    <d v="2025-12-26T00:00:00"/>
    <d v="2025-12-27T00:00:00"/>
    <d v="2025-12-27T00:00:00"/>
    <m/>
    <d v="1899-12-30T07:30:00"/>
    <d v="1899-12-30T16:30:00"/>
    <n v="9"/>
    <s v="Completed"/>
    <m/>
  </r>
  <r>
    <s v="Electrical"/>
    <x v="23"/>
    <x v="8"/>
    <s v="Panel"/>
    <s v="Old CPB"/>
    <s v="6X old cpb dismantling"/>
    <d v="2025-12-29T00:00:00"/>
    <d v="2025-12-29T00:00:00"/>
    <d v="2025-12-29T00:00:00"/>
    <m/>
    <d v="1899-12-30T08:00:00"/>
    <d v="1899-12-30T17:00:00"/>
    <n v="9.0000000000000018"/>
    <s v="Completed"/>
    <m/>
  </r>
  <r>
    <s v="Electrical"/>
    <x v="23"/>
    <x v="10"/>
    <s v="Panel"/>
    <s v="Old CPB"/>
    <s v="6X old cpb dismantling"/>
    <d v="2025-12-29T00:00:00"/>
    <d v="2025-12-29T00:00:00"/>
    <d v="2025-12-29T00:00:00"/>
    <m/>
    <d v="1899-12-30T07:30:00"/>
    <d v="1899-12-30T16:30:00"/>
    <n v="9"/>
    <s v="Completed"/>
    <m/>
  </r>
  <r>
    <s v="Electrical"/>
    <x v="23"/>
    <x v="9"/>
    <s v="Panel"/>
    <s v="Old CPB"/>
    <s v="6X old cpb dismantling"/>
    <d v="2025-12-29T00:00:00"/>
    <d v="2025-12-29T00:00:00"/>
    <d v="2025-12-29T00:00:00"/>
    <m/>
    <d v="1899-12-30T08:00:00"/>
    <d v="1899-12-30T17:00:00"/>
    <n v="9.0000000000000018"/>
    <s v="Completed"/>
    <m/>
  </r>
  <r>
    <s v="Electrical"/>
    <x v="23"/>
    <x v="33"/>
    <s v="Submersible pump"/>
    <s v="SMSP3-023"/>
    <s v="75kw pump assembling"/>
    <d v="2025-12-24T00:00:00"/>
    <d v="2025-12-29T00:00:00"/>
    <m/>
    <m/>
    <d v="1899-12-30T07:30:00"/>
    <d v="1899-12-30T17:00:00"/>
    <n v="9.5"/>
    <s v="Ongoing"/>
    <m/>
  </r>
  <r>
    <s v="Electrical"/>
    <x v="23"/>
    <x v="12"/>
    <m/>
    <m/>
    <m/>
    <m/>
    <m/>
    <m/>
    <m/>
    <d v="1899-12-30T07:30:00"/>
    <d v="1899-12-30T17:00:00"/>
    <n v="9.5"/>
    <m/>
    <m/>
  </r>
  <r>
    <s v="Electrical"/>
    <x v="23"/>
    <x v="35"/>
    <s v="Submersible pump"/>
    <s v="SM530-624"/>
    <s v="Inspection &amp; dismantle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24"/>
    <s v="Borehole pump"/>
    <s v="Old 2.2kw pump"/>
    <s v="Inspection&amp; repair"/>
    <d v="2025-12-29T00:00:00"/>
    <d v="2025-12-29T00:00:00"/>
    <m/>
    <m/>
    <d v="1899-12-30T08:00:00"/>
    <d v="1899-12-30T17:00:00"/>
    <n v="9.0000000000000018"/>
    <s v="Ongoing"/>
    <m/>
  </r>
  <r>
    <s v="Electrical"/>
    <x v="23"/>
    <x v="17"/>
    <s v="Submersible pump"/>
    <s v="SM530-611"/>
    <s v="Pump inspection, repairing &amp; assemble"/>
    <d v="2025-12-27T00:00:00"/>
    <d v="2025-12-29T00:00:00"/>
    <m/>
    <m/>
    <d v="1899-12-30T07:30:00"/>
    <d v="1899-12-30T17:30:00"/>
    <n v="10"/>
    <s v="Ongoing"/>
    <m/>
  </r>
  <r>
    <s v="Electrical"/>
    <x v="23"/>
    <x v="36"/>
    <s v="Other"/>
    <s v="SLT-021/24/18/29"/>
    <s v="Inspection &amp; PDI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14"/>
    <s v="Submersible pump"/>
    <s v="SM530-388"/>
    <s v="Inspection &amp; dismantle"/>
    <d v="2025-12-29T00:00:00"/>
    <d v="2025-12-29T00:00:00"/>
    <d v="2025-12-29T00:00:00"/>
    <m/>
    <d v="1899-12-30T07:30:00"/>
    <d v="1899-12-30T12:00:00"/>
    <n v="4.5"/>
    <s v="Completed"/>
    <m/>
  </r>
  <r>
    <s v="Electrical"/>
    <x v="23"/>
    <x v="14"/>
    <s v="Submersible pump"/>
    <s v="SM530-552/330-379"/>
    <s v="Rotor repair "/>
    <d v="2025-12-29T00:00:00"/>
    <d v="2025-12-30T00:00:00"/>
    <d v="2025-12-30T00:00:00"/>
    <m/>
    <d v="1899-12-30T13:00:00"/>
    <d v="1899-12-30T16:30:00"/>
    <n v="3.5000000000000009"/>
    <s v="Completed"/>
    <m/>
  </r>
  <r>
    <s v="Electrical"/>
    <x v="23"/>
    <x v="35"/>
    <m/>
    <m/>
    <m/>
    <m/>
    <m/>
    <m/>
    <m/>
    <d v="1899-12-30T13:00:00"/>
    <d v="1899-12-30T16:30:00"/>
    <n v="3.5000000000000009"/>
    <m/>
    <m/>
  </r>
  <r>
    <s v="Electrical"/>
    <x v="23"/>
    <x v="36"/>
    <s v="Submersible pump"/>
    <s v="SM530X2"/>
    <s v="Stator rewinding"/>
    <d v="2025-12-29T00:00:00"/>
    <d v="2025-12-30T00:00:00"/>
    <d v="2025-12-30T00:00:00"/>
    <m/>
    <d v="1899-12-30T13:00:00"/>
    <d v="1899-12-30T17:30:00"/>
    <n v="4.5"/>
    <s v="Completed"/>
    <m/>
  </r>
  <r>
    <s v="Electrical"/>
    <x v="23"/>
    <x v="17"/>
    <m/>
    <m/>
    <m/>
    <m/>
    <m/>
    <m/>
    <m/>
    <d v="1899-12-30T13:00:00"/>
    <d v="1899-12-30T17:30:00"/>
    <n v="4.5"/>
    <m/>
    <m/>
  </r>
  <r>
    <s v="Electrical"/>
    <x v="23"/>
    <x v="35"/>
    <s v="Other"/>
    <s v="SWD60AH-002"/>
    <s v="Inspection &amp; dismantle"/>
    <d v="2025-12-29T00:00:00"/>
    <d v="2025-12-29T00:00:00"/>
    <m/>
    <m/>
    <d v="1899-12-30T16:00:00"/>
    <d v="1899-12-30T18:30:00"/>
    <n v="2.5000000000000018"/>
    <s v="Ongoing"/>
    <m/>
  </r>
  <r>
    <s v="Electrical"/>
    <x v="23"/>
    <x v="14"/>
    <s v="Other"/>
    <s v="SWD60AH-001"/>
    <s v="Inspection &amp; dismantle"/>
    <d v="2025-12-29T00:00:00"/>
    <d v="2025-12-29T00:00:00"/>
    <m/>
    <m/>
    <d v="1899-12-30T16:00:00"/>
    <d v="1899-12-30T18:30:00"/>
    <n v="2.5000000000000018"/>
    <s v="Ongoing"/>
    <m/>
  </r>
  <r>
    <s v="Bay 6 -_x000a_Generator"/>
    <x v="23"/>
    <x v="23"/>
    <s v="Generator"/>
    <s v="GEN150-004"/>
    <s v="Canopy &amp; side doors fitting"/>
    <d v="2025-12-23T00:00:00"/>
    <d v="2025-12-29T00:00:00"/>
    <d v="2025-12-29T00:00:00"/>
    <m/>
    <d v="1899-12-30T07:30:00"/>
    <d v="1899-12-30T11:30:00"/>
    <n v="4"/>
    <s v="Completed"/>
    <m/>
  </r>
  <r>
    <s v="Bay 6 -_x000a_Generator"/>
    <x v="23"/>
    <x v="32"/>
    <m/>
    <m/>
    <m/>
    <m/>
    <m/>
    <m/>
    <m/>
    <d v="1899-12-30T07:30:00"/>
    <d v="1899-12-30T11:30:00"/>
    <n v="4"/>
    <m/>
    <m/>
  </r>
  <r>
    <s v="Bay 6 -_x000a_Generator"/>
    <x v="23"/>
    <x v="23"/>
    <s v="Tank"/>
    <s v="BFT3-337/333/332/328"/>
    <s v="Hose &amp; fittings fixing."/>
    <d v="2025-12-20T00:00:00"/>
    <d v="2025-12-29T00:00:00"/>
    <d v="2025-12-29T00:00:00"/>
    <m/>
    <d v="1899-12-30T07:30:00"/>
    <d v="1899-12-30T16:30:00"/>
    <n v="9"/>
    <s v="Completed"/>
    <m/>
  </r>
  <r>
    <s v="Bay 6 -_x000a_Generator"/>
    <x v="23"/>
    <x v="7"/>
    <m/>
    <m/>
    <m/>
    <m/>
    <m/>
    <m/>
    <m/>
    <d v="1899-12-30T07:30:00"/>
    <d v="1899-12-30T16:30:00"/>
    <n v="9"/>
    <m/>
    <m/>
  </r>
  <r>
    <s v="Bay 6 -_x000a_Generator"/>
    <x v="23"/>
    <x v="32"/>
    <m/>
    <m/>
    <m/>
    <m/>
    <m/>
    <m/>
    <m/>
    <d v="1899-12-30T11:30:00"/>
    <d v="1899-12-30T16:30:00"/>
    <n v="5"/>
    <m/>
    <m/>
  </r>
  <r>
    <s v="Bay 4&amp;5 - _x000a_Pumps"/>
    <x v="23"/>
    <x v="18"/>
    <s v="Diesel Driven CP Pump"/>
    <s v="HPP140-002"/>
    <s v="Hydraulic oil changing"/>
    <d v="2025-12-27T00:00:00"/>
    <d v="2025-12-29T00:00:00"/>
    <d v="2025-12-29T00:00:00"/>
    <m/>
    <d v="1899-12-30T07:30:00"/>
    <d v="1899-12-30T10:30:00"/>
    <n v="3"/>
    <s v="Completed"/>
    <m/>
  </r>
  <r>
    <s v="Bay 4&amp;5 - _x000a_Pumps"/>
    <x v="23"/>
    <x v="20"/>
    <m/>
    <m/>
    <m/>
    <m/>
    <m/>
    <m/>
    <m/>
    <d v="1899-12-30T07:30:00"/>
    <d v="1899-12-30T10:30:00"/>
    <n v="3"/>
    <m/>
    <m/>
  </r>
  <r>
    <s v="Bay 4&amp;5 - _x000a_Pumps"/>
    <x v="23"/>
    <x v="38"/>
    <s v="Diesel Driven CP Pump"/>
    <s v="CD300M-14"/>
    <s v="Installation on test bay."/>
    <d v="2025-12-27T00:00:00"/>
    <d v="2025-12-30T00:00:00"/>
    <d v="2025-12-29T00:00:00"/>
    <m/>
    <d v="1899-12-30T08:00:00"/>
    <d v="1899-12-30T17:00:00"/>
    <n v="9.0000000000000018"/>
    <s v="Completed"/>
    <m/>
  </r>
  <r>
    <s v="Bay 4&amp;5 - _x000a_Pumps"/>
    <x v="23"/>
    <x v="37"/>
    <m/>
    <m/>
    <m/>
    <m/>
    <m/>
    <m/>
    <m/>
    <d v="1899-12-30T08:00:00"/>
    <d v="1899-12-30T17:00:00"/>
    <n v="9.0000000000000018"/>
    <m/>
    <m/>
  </r>
  <r>
    <s v="Bay 4&amp;5 - _x000a_Pumps"/>
    <x v="23"/>
    <x v="0"/>
    <s v="Contractor dewatering Pump"/>
    <s v="CP150X3"/>
    <s v="3nos CP pumps vaccum repair"/>
    <d v="2025-12-27T00:00:00"/>
    <d v="2025-12-27T00:00:00"/>
    <m/>
    <m/>
    <d v="1899-12-30T08:00:00"/>
    <d v="1899-12-30T19:00:00"/>
    <n v="11"/>
    <s v="Completed"/>
    <m/>
  </r>
  <r>
    <s v="Bay 4&amp;5 - _x000a_Pumps"/>
    <x v="23"/>
    <x v="4"/>
    <s v="Contractor dewatering Pump"/>
    <s v="CP150-923"/>
    <s v="Pump repair &amp; final fitting"/>
    <d v="2025-12-27T00:00:00"/>
    <d v="2025-12-27T00:00:00"/>
    <m/>
    <m/>
    <d v="1899-12-30T08:00:00"/>
    <d v="1899-12-30T10:00:00"/>
    <n v="2.0000000000000009"/>
    <s v="Ongoing"/>
    <m/>
  </r>
  <r>
    <s v="Bay 4&amp;5 - _x000a_Pumps"/>
    <x v="23"/>
    <x v="2"/>
    <m/>
    <m/>
    <m/>
    <m/>
    <m/>
    <m/>
    <m/>
    <d v="1899-12-30T10:30:00"/>
    <d v="1899-12-30T11:00:00"/>
    <n v="0.49999999999999956"/>
    <m/>
    <m/>
  </r>
  <r>
    <s v="Bay 4&amp;5 - _x000a_Pumps"/>
    <x v="23"/>
    <x v="4"/>
    <s v="Contractor dewatering Pump"/>
    <s v="CP150-749"/>
    <s v="Pump repair &amp; final fitting"/>
    <d v="2025-12-27T00:00:00"/>
    <d v="2025-12-27T00:00:00"/>
    <m/>
    <m/>
    <d v="1899-12-30T10:00:00"/>
    <d v="1899-12-30T12:00:00"/>
    <n v="1.9999999999999996"/>
    <s v="Ongoing"/>
    <m/>
  </r>
  <r>
    <s v="Bay 4&amp;5 - _x000a_Pumps"/>
    <x v="23"/>
    <x v="4"/>
    <s v="Contractor dewatering Pump"/>
    <s v="CP150-573"/>
    <s v="pump repair"/>
    <d v="2025-12-27T00:00:00"/>
    <d v="2025-12-27T00:00:00"/>
    <m/>
    <m/>
    <d v="1899-12-30T13:00:00"/>
    <d v="1899-12-30T19:00:00"/>
    <n v="6"/>
    <s v="Ongoing"/>
    <m/>
  </r>
  <r>
    <s v="Bay 4&amp;5 - _x000a_Pumps"/>
    <x v="23"/>
    <x v="28"/>
    <s v="Contractor dewatering Pump"/>
    <s v="CP150-844"/>
    <s v="Engine assembling ongoing"/>
    <d v="2025-12-20T00:00:00"/>
    <d v="2025-12-27T00:00:00"/>
    <m/>
    <m/>
    <d v="1899-12-30T07:30:00"/>
    <d v="1899-12-30T18:30:00"/>
    <n v="11"/>
    <s v="Ongoing"/>
    <m/>
  </r>
  <r>
    <s v="Bay 4&amp;5 - _x000a_Pumps"/>
    <x v="23"/>
    <x v="2"/>
    <m/>
    <m/>
    <m/>
    <m/>
    <m/>
    <m/>
    <m/>
    <d v="1899-12-30T11:00:00"/>
    <d v="1899-12-30T12:00:00"/>
    <n v="1.0000000000000004"/>
    <m/>
    <m/>
  </r>
  <r>
    <s v="Bay 4&amp;5 - _x000a_Pumps"/>
    <x v="23"/>
    <x v="5"/>
    <s v="Contractor dewatering Pump"/>
    <s v="CP150-845"/>
    <s v="Pump repair"/>
    <d v="2025-12-26T00:00:00"/>
    <d v="2025-12-27T00:00:00"/>
    <m/>
    <m/>
    <d v="1899-12-30T08:00:00"/>
    <d v="1899-12-30T19:00:00"/>
    <n v="11"/>
    <s v="Ongoing"/>
    <m/>
  </r>
  <r>
    <s v="Bay 4&amp;5 - _x000a_Pumps"/>
    <x v="23"/>
    <x v="2"/>
    <s v="Other"/>
    <s v="General work"/>
    <s v="MCS work &amp; general work"/>
    <d v="2025-12-27T00:00:00"/>
    <d v="2025-12-27T00:00:00"/>
    <m/>
    <m/>
    <d v="1899-12-30T10:00:00"/>
    <d v="1899-12-30T12:00:00"/>
    <n v="1.9999999999999996"/>
    <s v="Ongoing"/>
    <m/>
  </r>
  <r>
    <s v="Bay 4&amp;5 - _x000a_Pumps"/>
    <x v="23"/>
    <x v="3"/>
    <s v="Contractor dewatering Pump"/>
    <s v="CP150-684"/>
    <s v="Pump repair &amp; engine repair"/>
    <d v="2025-12-26T00:00:00"/>
    <d v="2025-12-27T00:00:00"/>
    <m/>
    <m/>
    <d v="1899-12-30T07:30:00"/>
    <d v="1899-12-30T16:30:00"/>
    <n v="9"/>
    <s v="Ongoing"/>
    <m/>
  </r>
  <r>
    <s v="Electrical"/>
    <x v="24"/>
    <x v="8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10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9"/>
    <s v="Panel"/>
    <s v="Old CPB"/>
    <s v="6X old cpb dismantling"/>
    <d v="2025-12-29T00:00:00"/>
    <d v="2025-12-29T00:00:00"/>
    <m/>
    <m/>
    <d v="1899-12-30T06:00:00"/>
    <d v="1899-12-30T10:00:00"/>
    <n v="4"/>
    <s v="Completed"/>
    <m/>
  </r>
  <r>
    <s v="Electrical"/>
    <x v="24"/>
    <x v="33"/>
    <s v="Submersible pump"/>
    <s v="SMSP3-023"/>
    <s v="75kw pump assembling"/>
    <d v="2025-12-24T00:00:00"/>
    <d v="2025-12-30T00:00:00"/>
    <m/>
    <m/>
    <d v="1899-12-30T06:00:00"/>
    <d v="1899-12-30T10:00:00"/>
    <n v="4"/>
    <s v="Completed"/>
    <m/>
  </r>
  <r>
    <s v="Electrical"/>
    <x v="24"/>
    <x v="12"/>
    <m/>
    <m/>
    <m/>
    <m/>
    <m/>
    <m/>
    <m/>
    <d v="1899-12-30T06:00:00"/>
    <d v="1899-12-30T10:00:00"/>
    <n v="4"/>
    <m/>
    <m/>
  </r>
  <r>
    <s v="Electrical"/>
    <x v="24"/>
    <x v="35"/>
    <s v="Other"/>
    <s v="SWD60N-002"/>
    <s v="Inspection &amp; dismantling"/>
    <d v="2025-12-29T00:00:00"/>
    <d v="2025-12-30T00:00:00"/>
    <m/>
    <m/>
    <d v="1899-12-30T06:00:00"/>
    <d v="1899-12-30T10:00:00"/>
    <n v="4"/>
    <s v="Completed"/>
    <m/>
  </r>
  <r>
    <s v="Electrical"/>
    <x v="24"/>
    <x v="24"/>
    <s v="Borehole pump"/>
    <s v="Old 2.2kw pump"/>
    <s v="10nos Inspection &amp; repair"/>
    <d v="2025-12-29T00:00:00"/>
    <d v="2025-12-30T00:00:00"/>
    <m/>
    <m/>
    <d v="1899-12-30T06:00:00"/>
    <d v="1899-12-30T10:00:00"/>
    <n v="4"/>
    <s v="Completed"/>
    <m/>
  </r>
  <r>
    <s v="Electrical"/>
    <x v="24"/>
    <x v="17"/>
    <s v="Submersible pump"/>
    <s v="SM530X2"/>
    <s v="Stator rewinding"/>
    <d v="2025-12-29T00:00:00"/>
    <d v="2025-12-30T00:00:00"/>
    <m/>
    <m/>
    <d v="1899-12-30T06:00:00"/>
    <d v="1899-12-30T10:00:00"/>
    <n v="4"/>
    <s v="Completed"/>
    <m/>
  </r>
  <r>
    <s v="Electrical"/>
    <x v="24"/>
    <x v="36"/>
    <m/>
    <m/>
    <m/>
    <m/>
    <m/>
    <m/>
    <m/>
    <d v="1899-12-30T06:00:00"/>
    <d v="1899-12-30T10:00:00"/>
    <n v="4"/>
    <m/>
    <m/>
  </r>
  <r>
    <s v="Electrical"/>
    <x v="24"/>
    <x v="14"/>
    <s v="Other"/>
    <s v="SWD60N-002"/>
    <s v="Inspection &amp; dismantling"/>
    <d v="2025-12-29T00:00:00"/>
    <d v="2025-12-30T00:00:00"/>
    <m/>
    <m/>
    <d v="1899-12-30T06:00:00"/>
    <d v="1899-12-30T10:00:00"/>
    <n v="4"/>
    <s v="Completed"/>
    <m/>
  </r>
  <r>
    <s v="Bay 6 -_x000a_Generator"/>
    <x v="24"/>
    <x v="23"/>
    <s v="Tank"/>
    <s v="BFT3-337/333/332/328/324/320/340/329"/>
    <s v="Hose &amp; fittings fixing."/>
    <d v="2025-12-20T00:00:00"/>
    <d v="2025-12-30T00:00:00"/>
    <m/>
    <m/>
    <d v="1899-12-30T06:00:00"/>
    <d v="1899-12-30T10:00:00"/>
    <n v="4"/>
    <s v="Completed"/>
    <m/>
  </r>
  <r>
    <s v="Bay 6 -_x000a_Generator"/>
    <x v="24"/>
    <x v="7"/>
    <m/>
    <m/>
    <m/>
    <m/>
    <m/>
    <m/>
    <m/>
    <d v="1899-12-30T06:00:00"/>
    <d v="1899-12-30T10:00:00"/>
    <n v="4"/>
    <m/>
    <m/>
  </r>
  <r>
    <s v="Bay 6 -_x000a_Generator"/>
    <x v="24"/>
    <x v="32"/>
    <m/>
    <m/>
    <m/>
    <m/>
    <m/>
    <m/>
    <m/>
    <d v="1899-12-30T06:00:00"/>
    <d v="1899-12-30T10:00:00"/>
    <n v="4"/>
    <m/>
    <m/>
  </r>
  <r>
    <s v="Bay 4&amp;5 - _x000a_Pumps"/>
    <x v="24"/>
    <x v="18"/>
    <s v="Diesel Driven CP Pump"/>
    <s v="CD150M-002"/>
    <s v="Pump end dismantling"/>
    <d v="2025-12-30T00:00:00"/>
    <d v="2026-01-05T00:00:00"/>
    <m/>
    <m/>
    <d v="1899-12-30T06:00:00"/>
    <d v="1899-12-30T10:00:00"/>
    <n v="4"/>
    <s v="Completed"/>
    <m/>
  </r>
  <r>
    <s v="Bay 4&amp;5 - _x000a_Pumps"/>
    <x v="24"/>
    <x v="20"/>
    <m/>
    <m/>
    <m/>
    <m/>
    <m/>
    <m/>
    <m/>
    <d v="1899-12-30T06:00:00"/>
    <d v="1899-12-30T10:00:00"/>
    <n v="4"/>
    <m/>
    <m/>
  </r>
  <r>
    <s v="Bay 4&amp;5 - _x000a_Pumps"/>
    <x v="24"/>
    <x v="38"/>
    <s v="Diesel Driven CP Pump"/>
    <s v="CD300M-14"/>
    <s v="Final fitting airline replacement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37"/>
    <m/>
    <m/>
    <m/>
    <m/>
    <m/>
    <m/>
    <m/>
    <d v="1899-12-30T06:00:00"/>
    <d v="1899-12-30T10:00:00"/>
    <n v="4"/>
    <m/>
    <m/>
  </r>
  <r>
    <s v="Bay 4&amp;5 - _x000a_Pumps"/>
    <x v="24"/>
    <x v="0"/>
    <s v="Contractor dewatering Pump"/>
    <s v="CP150-844"/>
    <s v="Pump vaccum repair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4"/>
    <s v="Contractor dewatering Pump"/>
    <s v="PT175-109"/>
    <s v="Engine prepare for assembling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2"/>
    <m/>
    <m/>
    <m/>
    <m/>
    <m/>
    <m/>
    <m/>
    <d v="1899-12-30T07:00:00"/>
    <d v="1899-12-30T08:00:00"/>
    <n v="0.99999999999999911"/>
    <m/>
    <m/>
  </r>
  <r>
    <s v="Bay 4&amp;5 - _x000a_Pumps"/>
    <x v="24"/>
    <x v="28"/>
    <s v="Contractor dewatering Pump"/>
    <s v="CP150-844"/>
    <s v="Pump repair ongoing"/>
    <d v="2025-12-20T00:00:00"/>
    <d v="2025-12-30T00:00:00"/>
    <m/>
    <m/>
    <d v="1899-12-30T06:00:00"/>
    <d v="1899-12-30T10:00:00"/>
    <n v="4"/>
    <s v="Completed"/>
    <m/>
  </r>
  <r>
    <s v="Bay 4&amp;5 - _x000a_Pumps"/>
    <x v="24"/>
    <x v="2"/>
    <m/>
    <m/>
    <m/>
    <m/>
    <m/>
    <m/>
    <m/>
    <d v="1899-12-30T06:00:00"/>
    <d v="1899-12-30T07:00:00"/>
    <n v="1.0000000000000004"/>
    <m/>
    <m/>
  </r>
  <r>
    <s v="Bay 4&amp;5 - _x000a_Pumps"/>
    <x v="24"/>
    <x v="5"/>
    <s v="Contractor dewatering Pump"/>
    <s v="CP150-775"/>
    <s v="Pump repair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3"/>
    <s v="Contractor dewatering Pump"/>
    <s v="CP150-414"/>
    <s v="pump dismantling"/>
    <d v="2025-12-30T00:00:00"/>
    <d v="2025-12-30T00:00:00"/>
    <m/>
    <m/>
    <d v="1899-12-30T06:00:00"/>
    <d v="1899-12-30T10:00:00"/>
    <n v="4"/>
    <s v="Completed"/>
    <m/>
  </r>
  <r>
    <s v="Bay 4&amp;5 - _x000a_Pumps"/>
    <x v="24"/>
    <x v="1"/>
    <s v="Contractor dewatering Pump"/>
    <s v="PT175-109"/>
    <s v="pump dismantling"/>
    <d v="2025-12-30T00:00:00"/>
    <d v="2025-12-30T00:00:00"/>
    <m/>
    <m/>
    <d v="1899-12-30T06:00:00"/>
    <d v="1899-12-30T10:00:00"/>
    <n v="4"/>
    <s v="Completed"/>
    <m/>
  </r>
  <r>
    <s v="Electrical"/>
    <x v="25"/>
    <x v="8"/>
    <s v="Other"/>
    <s v="flowmeter"/>
    <s v="10X flowmeter fleeting &amp; cabeling."/>
    <d v="2025-12-31T00:00:00"/>
    <d v="2025-12-31T00:00:00"/>
    <d v="2025-12-31T00:00:00"/>
    <m/>
    <d v="1899-12-30T08:00:00"/>
    <d v="1899-12-30T16:30:00"/>
    <n v="8.5"/>
    <s v="Completed"/>
    <m/>
  </r>
  <r>
    <s v="Electrical"/>
    <x v="25"/>
    <x v="34"/>
    <m/>
    <m/>
    <m/>
    <m/>
    <m/>
    <m/>
    <m/>
    <d v="1899-12-30T08:00:00"/>
    <d v="1899-12-30T16:30:00"/>
    <n v="8.5"/>
    <m/>
    <m/>
  </r>
  <r>
    <s v="Electrical"/>
    <x v="25"/>
    <x v="10"/>
    <s v="Panel"/>
    <s v="DB-041"/>
    <s v="Service &amp; repair"/>
    <d v="2025-12-31T00:00:00"/>
    <d v="2025-12-31T00:00:00"/>
    <m/>
    <m/>
    <d v="1899-12-30T07:30:00"/>
    <d v="1899-12-30T16:30:00"/>
    <n v="9"/>
    <s v="Hold"/>
    <m/>
  </r>
  <r>
    <s v="Electrical"/>
    <x v="25"/>
    <x v="9"/>
    <s v="Panel"/>
    <s v="SPB2.2-057"/>
    <s v="Inspection, repair &amp; test"/>
    <d v="2025-12-31T00:00:00"/>
    <d v="2025-12-31T00:00:00"/>
    <m/>
    <m/>
    <d v="1899-12-30T08:00:00"/>
    <d v="1899-12-30T16:30:00"/>
    <n v="8.5"/>
    <s v="Ongoing"/>
    <m/>
  </r>
  <r>
    <s v="Electrical"/>
    <x v="25"/>
    <x v="33"/>
    <s v="Submersible pump"/>
    <s v="SMSP3-023"/>
    <s v="Cable stand making &amp; water testing."/>
    <d v="2025-12-27T00:00:00"/>
    <d v="2025-12-31T00:00:00"/>
    <d v="2025-12-31T00:00:00"/>
    <m/>
    <d v="1899-12-30T07:30:00"/>
    <d v="1899-12-30T16:30:00"/>
    <n v="9"/>
    <s v="Completed"/>
    <m/>
  </r>
  <r>
    <s v="Electrical"/>
    <x v="25"/>
    <x v="12"/>
    <m/>
    <m/>
    <m/>
    <m/>
    <m/>
    <m/>
    <m/>
    <d v="1899-12-30T07:30:00"/>
    <d v="1899-12-30T16:30:00"/>
    <n v="9"/>
    <m/>
    <m/>
  </r>
  <r>
    <s v="Electrical"/>
    <x v="25"/>
    <x v="35"/>
    <m/>
    <m/>
    <m/>
    <m/>
    <m/>
    <m/>
    <m/>
    <d v="1899-12-30T07:30:00"/>
    <d v="1899-12-30T16:30:00"/>
    <n v="9"/>
    <m/>
    <m/>
  </r>
  <r>
    <s v="Electrical"/>
    <x v="25"/>
    <x v="24"/>
    <s v="Borehole pump"/>
    <s v="Old 2.2kw pump"/>
    <s v="10nos Inspection &amp; repair"/>
    <d v="2025-12-29T00:00:00"/>
    <d v="2025-12-31T00:00:00"/>
    <d v="2025-12-31T00:00:00"/>
    <m/>
    <d v="1899-12-30T08:00:00"/>
    <d v="1899-12-30T16:30:00"/>
    <n v="8.5"/>
    <s v="Completed"/>
    <m/>
  </r>
  <r>
    <s v="Electrical"/>
    <x v="25"/>
    <x v="17"/>
    <s v="Submersible pump"/>
    <s v="SM530"/>
    <s v="Stator rewinding"/>
    <d v="2025-12-29T00:00:00"/>
    <d v="2025-12-31T00:00:00"/>
    <d v="2025-12-31T00:00:00"/>
    <m/>
    <d v="1899-12-30T07:30:00"/>
    <d v="1899-12-30T16:30:00"/>
    <n v="9"/>
    <s v="Completed"/>
    <m/>
  </r>
  <r>
    <s v="Electrical"/>
    <x v="25"/>
    <x v="14"/>
    <s v="Other"/>
    <s v="SWD60N-004"/>
    <s v="Inspection &amp; dismantling"/>
    <d v="2025-12-29T00:00:00"/>
    <d v="2025-12-31T00:00:00"/>
    <d v="2025-12-31T00:00:00"/>
    <m/>
    <d v="1899-12-30T07:30:00"/>
    <d v="1899-12-30T16:30:00"/>
    <n v="9"/>
    <s v="Completed"/>
    <m/>
  </r>
  <r>
    <s v="Bay 6 -_x000a_Generator"/>
    <x v="25"/>
    <x v="23"/>
    <s v="Generator"/>
    <s v="GEN250-057"/>
    <s v="Silencer pipe modification, bellows changing &amp; load test."/>
    <d v="2025-12-26T00:00:00"/>
    <d v="2025-12-31T00:00:00"/>
    <d v="2025-12-31T00:00:00"/>
    <m/>
    <d v="1899-12-30T07:30:00"/>
    <d v="1899-12-30T11:30:00"/>
    <n v="4"/>
    <s v="Completed"/>
    <m/>
  </r>
  <r>
    <s v="Bay 6 -_x000a_Generator"/>
    <x v="25"/>
    <x v="32"/>
    <m/>
    <m/>
    <m/>
    <m/>
    <m/>
    <m/>
    <m/>
    <d v="1899-12-30T07:30:00"/>
    <d v="1899-12-30T11:30:00"/>
    <n v="4"/>
    <m/>
    <m/>
  </r>
  <r>
    <s v="Bay 6 -_x000a_Generator"/>
    <x v="25"/>
    <x v="23"/>
    <s v="Generator"/>
    <s v="GEN100-044"/>
    <s v="General inspection &amp; repair, fuel tank cleaning &amp; load test."/>
    <d v="2025-12-31T00:00:00"/>
    <d v="2025-12-31T00:00:00"/>
    <d v="2025-12-31T00:00:00"/>
    <m/>
    <d v="1899-12-30T11:30:00"/>
    <d v="1899-12-30T16:30:00"/>
    <n v="5"/>
    <s v="Completed"/>
    <m/>
  </r>
  <r>
    <s v="Bay 6 -_x000a_Generator"/>
    <x v="25"/>
    <x v="32"/>
    <m/>
    <m/>
    <m/>
    <m/>
    <m/>
    <m/>
    <m/>
    <d v="1899-12-30T11:30:00"/>
    <d v="1899-12-30T16:30:00"/>
    <n v="5"/>
    <m/>
    <m/>
  </r>
  <r>
    <s v="Bay 4&amp;5 - _x000a_Pumps"/>
    <x v="25"/>
    <x v="18"/>
    <s v="Diesel Driven CP Pump"/>
    <s v="Cp1818-20"/>
    <s v="Mid island site"/>
    <d v="2025-12-31T00:00:00"/>
    <d v="2025-12-31T00:00:00"/>
    <d v="2025-12-31T00:00:00"/>
    <m/>
    <d v="1899-12-30T07:30:00"/>
    <d v="1899-12-30T16:30:00"/>
    <n v="9"/>
    <s v="Completed"/>
    <m/>
  </r>
  <r>
    <s v="Bay 4&amp;5 - _x000a_Pumps"/>
    <x v="25"/>
    <x v="38"/>
    <s v="Diesel Driven CP Pump"/>
    <s v="HL130M-07"/>
    <s v="General repair, tank cleaning, vaccum testing."/>
    <d v="2025-12-31T00:00:00"/>
    <d v="2025-12-31T00:00:00"/>
    <d v="2025-12-31T00:00:00"/>
    <m/>
    <d v="1899-12-30T08:00:00"/>
    <d v="1899-12-30T12:00:00"/>
    <n v="4"/>
    <s v="Completed"/>
    <m/>
  </r>
  <r>
    <s v="Bay 4&amp;5 - _x000a_Pumps"/>
    <x v="25"/>
    <x v="37"/>
    <m/>
    <m/>
    <m/>
    <m/>
    <m/>
    <m/>
    <m/>
    <d v="1899-12-30T08:00:00"/>
    <d v="1899-12-30T12:00:00"/>
    <n v="4"/>
    <m/>
    <m/>
  </r>
  <r>
    <s v="Bay 4&amp;5 - _x000a_Pumps"/>
    <x v="25"/>
    <x v="20"/>
    <s v="Diesel Driven CP Pump"/>
    <s v="CD150M-002"/>
    <s v="Pump end dismantling"/>
    <d v="2025-12-31T00:00:00"/>
    <d v="2025-12-31T00:00:00"/>
    <d v="2025-12-31T00:00:00"/>
    <m/>
    <d v="1899-12-30T07:30:00"/>
    <d v="1899-12-30T16:30:00"/>
    <n v="9"/>
    <s v="Completed"/>
    <m/>
  </r>
  <r>
    <s v="Bay 4&amp;5 - _x000a_Pumps"/>
    <x v="25"/>
    <x v="0"/>
    <s v="Contractor dewatering Pump"/>
    <s v="CP150-844/CP150X3"/>
    <s v="Pump vaccum repair"/>
    <d v="2025-12-31T00:00:00"/>
    <d v="2025-12-31T00:00:00"/>
    <m/>
    <m/>
    <d v="1899-12-30T08:00:00"/>
    <d v="1899-12-30T16:30:00"/>
    <n v="8.5"/>
    <s v="Hold"/>
    <m/>
  </r>
  <r>
    <s v="Bay 4&amp;5 - _x000a_Pumps"/>
    <x v="25"/>
    <x v="4"/>
    <s v="Contractor dewatering Pump"/>
    <s v="ACT-166"/>
    <s v="Outrigger dismantle &amp; hose repair"/>
    <d v="2025-12-30T00:00:00"/>
    <d v="2025-12-31T00:00:00"/>
    <m/>
    <m/>
    <d v="1899-12-30T07:30:00"/>
    <d v="1899-12-30T16:30:00"/>
    <n v="9"/>
    <s v="Ongoing"/>
    <m/>
  </r>
  <r>
    <s v="Bay 4&amp;5 - _x000a_Pumps"/>
    <x v="25"/>
    <x v="2"/>
    <m/>
    <m/>
    <m/>
    <m/>
    <m/>
    <m/>
    <m/>
    <d v="1899-12-30T08:00:00"/>
    <d v="1899-12-30T10:00:00"/>
    <n v="2.0000000000000009"/>
    <m/>
    <m/>
  </r>
  <r>
    <s v="Bay 4&amp;5 - _x000a_Pumps"/>
    <x v="25"/>
    <x v="28"/>
    <s v="Contractor dewatering Pump"/>
    <s v="CP150-844"/>
    <s v="Pump repair ongoing"/>
    <d v="2025-12-20T00:00:00"/>
    <d v="2025-12-31T00:00:00"/>
    <m/>
    <m/>
    <d v="1899-12-30T07:30:00"/>
    <d v="1899-12-30T16:30:00"/>
    <n v="9"/>
    <s v="Ongoing"/>
    <m/>
  </r>
  <r>
    <s v="Bay 4&amp;5 - _x000a_Pumps"/>
    <x v="25"/>
    <x v="2"/>
    <m/>
    <m/>
    <m/>
    <m/>
    <m/>
    <m/>
    <m/>
    <d v="1899-12-30T07:00:00"/>
    <d v="1899-12-30T08:00:00"/>
    <n v="0.99999999999999911"/>
    <m/>
    <m/>
  </r>
  <r>
    <s v="Bay 4&amp;5 - _x000a_Pumps"/>
    <x v="25"/>
    <x v="5"/>
    <s v="Contractor dewatering Pump"/>
    <s v="CP150-775"/>
    <s v="Pump repair"/>
    <d v="2025-12-30T00:00:00"/>
    <d v="2025-12-31T00:00:00"/>
    <m/>
    <m/>
    <d v="1899-12-30T08:00:00"/>
    <d v="1899-12-30T16:30:00"/>
    <n v="8.5"/>
    <s v="Ongoing"/>
    <m/>
  </r>
  <r>
    <s v="Bay 4&amp;5 - _x000a_Pumps"/>
    <x v="25"/>
    <x v="3"/>
    <s v="Contractor dewatering Pump"/>
    <s v="CP150-414"/>
    <s v="pump dismantling"/>
    <d v="2025-12-30T00:00:00"/>
    <d v="2025-12-31T00:00:00"/>
    <m/>
    <m/>
    <d v="1899-12-30T07:30:00"/>
    <d v="1899-12-30T16:30:00"/>
    <n v="9"/>
    <s v="Ongoing"/>
    <m/>
  </r>
  <r>
    <s v="Bay 4&amp;5 - _x000a_Pumps"/>
    <x v="25"/>
    <x v="1"/>
    <s v="Contractor dewatering Pump"/>
    <s v="PT175-109"/>
    <s v="pump dismantling"/>
    <d v="2025-12-30T00:00:00"/>
    <d v="2025-12-31T00:00:00"/>
    <m/>
    <m/>
    <d v="1899-12-30T07:30:00"/>
    <d v="1899-12-30T16:30:00"/>
    <n v="9"/>
    <s v="Ongoing"/>
    <m/>
  </r>
  <r>
    <s v="Electrical"/>
    <x v="26"/>
    <x v="8"/>
    <s v="Panel"/>
    <s v="SPB3.7-057"/>
    <s v="10X flowmeter fleeting &amp; cabeling."/>
    <d v="2026-01-02T00:00:00"/>
    <d v="2026-01-02T00:00:00"/>
    <m/>
    <m/>
    <d v="1899-12-30T08:00:00"/>
    <d v="1899-12-30T17:00:00"/>
    <n v="9.0000000000000018"/>
    <s v="Ongoing"/>
    <m/>
  </r>
  <r>
    <s v="Electrical"/>
    <x v="26"/>
    <x v="34"/>
    <s v="Other"/>
    <s v="FMX3"/>
    <s v="6X150 new flowmeter, cable &amp; socket fixing."/>
    <d v="2026-01-02T00:00:00"/>
    <d v="2026-01-02T00:00:00"/>
    <m/>
    <m/>
    <d v="1899-12-30T07:30:00"/>
    <d v="1899-12-30T16:30:00"/>
    <n v="9"/>
    <s v="Ongoing"/>
    <m/>
  </r>
  <r>
    <s v="Electrical"/>
    <x v="26"/>
    <x v="10"/>
    <m/>
    <m/>
    <m/>
    <m/>
    <m/>
    <m/>
    <m/>
    <d v="1899-12-30T07:30:00"/>
    <d v="1899-12-30T16:30:00"/>
    <n v="9"/>
    <m/>
    <m/>
  </r>
  <r>
    <s v="Electrical"/>
    <x v="26"/>
    <x v="33"/>
    <s v="Submersible pump"/>
    <s v="SMSP3-023"/>
    <s v="Cable stand making &amp; water testing."/>
    <d v="2025-12-27T00:00:00"/>
    <d v="2026-01-02T00:00:00"/>
    <m/>
    <m/>
    <d v="1899-12-30T07:30:00"/>
    <d v="1899-12-30T12:00:00"/>
    <n v="4.5"/>
    <s v="Completed"/>
    <m/>
  </r>
  <r>
    <s v="Electrical"/>
    <x v="26"/>
    <x v="12"/>
    <m/>
    <m/>
    <m/>
    <m/>
    <m/>
    <m/>
    <m/>
    <d v="1899-12-30T07:30:00"/>
    <d v="1899-12-30T12:00:00"/>
    <n v="4.5"/>
    <m/>
    <m/>
  </r>
  <r>
    <s v="Electrical"/>
    <x v="26"/>
    <x v="35"/>
    <m/>
    <m/>
    <m/>
    <m/>
    <m/>
    <m/>
    <m/>
    <d v="1899-12-30T07:30:00"/>
    <d v="1899-12-30T12:00:00"/>
    <n v="4.5"/>
    <m/>
    <m/>
  </r>
  <r>
    <s v="Electrical"/>
    <x v="26"/>
    <x v="13"/>
    <s v="Generator"/>
    <s v="GEN250-051"/>
    <s v="Service &amp; assemble"/>
    <d v="2026-01-02T00:00:00"/>
    <d v="2026-01-02T00:00:00"/>
    <m/>
    <m/>
    <d v="1899-12-30T07:30:00"/>
    <d v="1899-12-30T16:30:00"/>
    <n v="9"/>
    <s v="Ongoing"/>
    <m/>
  </r>
  <r>
    <s v="Electrical"/>
    <x v="26"/>
    <x v="24"/>
    <s v="Borehole pump"/>
    <s v="Old 2.2kw pump"/>
    <s v="10nos Inspection &amp; repair"/>
    <d v="2026-01-02T00:00:00"/>
    <d v="2026-01-02T00:00:00"/>
    <m/>
    <m/>
    <d v="1899-12-30T08:00:00"/>
    <d v="1899-12-30T17:00:00"/>
    <n v="9.0000000000000018"/>
    <s v="Ongoing"/>
    <m/>
  </r>
  <r>
    <s v="Electrical"/>
    <x v="26"/>
    <x v="17"/>
    <s v="Other"/>
    <s v="SWD60H-004"/>
    <s v="Stator rewinding &amp; copper removing"/>
    <d v="2026-01-02T00:00:00"/>
    <d v="2026-01-02T00:00:00"/>
    <m/>
    <m/>
    <d v="1899-12-30T07:30:00"/>
    <d v="1899-12-30T16:30:00"/>
    <n v="9"/>
    <s v="Ongoing"/>
    <m/>
  </r>
  <r>
    <s v="Electrical"/>
    <x v="26"/>
    <x v="14"/>
    <s v="Other"/>
    <s v="SWD60H-002"/>
    <s v="pump parts cleaning"/>
    <d v="2026-01-02T00:00:00"/>
    <d v="2026-01-02T00:00:00"/>
    <m/>
    <m/>
    <d v="1899-12-30T07:30:00"/>
    <d v="1899-12-30T12:00:00"/>
    <n v="4.5"/>
    <s v="Ongoing"/>
    <m/>
  </r>
  <r>
    <s v="Bay 6 -_x000a_Generator"/>
    <x v="26"/>
    <x v="7"/>
    <s v="Contractor dewatering Pump"/>
    <s v="CP1212-009"/>
    <s v="Engine  dismantling."/>
    <d v="2026-01-02T00:00:00"/>
    <d v="2026-01-02T00:00:00"/>
    <m/>
    <m/>
    <d v="1899-12-30T07:30:00"/>
    <d v="1899-12-30T16:30:00"/>
    <n v="9"/>
    <s v="Completed"/>
    <m/>
  </r>
  <r>
    <s v="Bay 6 -_x000a_Generator"/>
    <x v="26"/>
    <x v="32"/>
    <m/>
    <m/>
    <m/>
    <m/>
    <m/>
    <m/>
    <m/>
    <d v="1899-12-30T07:30:00"/>
    <d v="1899-12-30T16:30:00"/>
    <n v="9"/>
    <m/>
    <m/>
  </r>
  <r>
    <s v="Bay 6 -_x000a_Generator"/>
    <x v="26"/>
    <x v="23"/>
    <s v="Generator"/>
    <s v="GEN100-044"/>
    <s v="Engine oil service, Engine mounting change"/>
    <d v="2026-01-02T00:00:00"/>
    <d v="2026-01-02T00:00:00"/>
    <m/>
    <m/>
    <d v="1899-12-30T07:30:00"/>
    <d v="1899-12-30T10:30:00"/>
    <n v="3"/>
    <s v="Completed"/>
    <m/>
  </r>
  <r>
    <s v="Bay 6 -_x000a_Generator"/>
    <x v="26"/>
    <x v="23"/>
    <s v="Generator"/>
    <s v="GENG100-009"/>
    <s v="General inspection &amp; repair,  load test failed"/>
    <d v="2026-01-02T00:00:00"/>
    <d v="2026-01-02T00:00:00"/>
    <m/>
    <m/>
    <d v="1899-12-30T10:30:00"/>
    <d v="1899-12-30T14:30:00"/>
    <n v="3.9999999999999991"/>
    <s v="Hold"/>
    <m/>
  </r>
  <r>
    <s v="Bay 6 -_x000a_Generator"/>
    <x v="26"/>
    <x v="23"/>
    <s v="Tank"/>
    <s v="BFT-015"/>
    <s v="Final fitting"/>
    <d v="2026-01-02T00:00:00"/>
    <d v="2026-01-02T00:00:00"/>
    <m/>
    <m/>
    <d v="1899-12-30T14:30:00"/>
    <d v="1899-12-30T16:30:00"/>
    <n v="2.0000000000000009"/>
    <s v="Completed"/>
    <m/>
  </r>
  <r>
    <s v="Bay 4&amp;5 - _x000a_Pumps"/>
    <x v="26"/>
    <x v="20"/>
    <s v="Diesel Driven CP Pump"/>
    <s v="CD150M-002"/>
    <s v="Pump end dismantling"/>
    <d v="2026-01-02T00:00:00"/>
    <d v="2026-01-02T00:00:00"/>
    <m/>
    <m/>
    <d v="1899-12-30T07:30:00"/>
    <d v="1899-12-30T16:30:00"/>
    <n v="9"/>
    <s v="Completed"/>
    <m/>
  </r>
  <r>
    <s v="Bay 4&amp;5 - _x000a_Pumps"/>
    <x v="26"/>
    <x v="38"/>
    <s v="Diesel Driven CP Pump"/>
    <s v="CD300M-08"/>
    <s v="Clearance adjustment"/>
    <d v="2026-01-02T00:00:00"/>
    <d v="2026-01-02T00:00:00"/>
    <m/>
    <m/>
    <d v="1899-12-30T08:00:00"/>
    <d v="1899-12-30T17:00:00"/>
    <n v="9.0000000000000018"/>
    <s v="Completed"/>
    <m/>
  </r>
  <r>
    <s v="Bay 4&amp;5 - _x000a_Pumps"/>
    <x v="26"/>
    <x v="37"/>
    <m/>
    <m/>
    <m/>
    <m/>
    <m/>
    <m/>
    <m/>
    <d v="1899-12-30T08:00:00"/>
    <d v="1899-12-30T17:00:00"/>
    <n v="9.0000000000000018"/>
    <m/>
    <m/>
  </r>
  <r>
    <s v="Bay 4&amp;5 - _x000a_Pumps"/>
    <x v="26"/>
    <x v="18"/>
    <s v="Other"/>
    <s v="General work"/>
    <s v="General work"/>
    <d v="2026-01-02T00:00:00"/>
    <d v="2026-01-02T00:00:00"/>
    <m/>
    <m/>
    <d v="1899-12-30T07:30:00"/>
    <d v="1899-12-30T12:00:00"/>
    <n v="4.5"/>
    <s v="Completed"/>
    <m/>
  </r>
  <r>
    <s v="Bay 4&amp;5 - _x000a_Pumps"/>
    <x v="26"/>
    <x v="18"/>
    <s v="Diesel Driven CP Pump"/>
    <s v="SCT500-32"/>
    <s v="Pump end swapping with new bareshaft"/>
    <d v="2026-01-02T00:00:00"/>
    <d v="2026-01-02T00:00:00"/>
    <m/>
    <m/>
    <d v="1899-12-30T14:00:00"/>
    <d v="1899-12-30T16:30:00"/>
    <n v="2.4999999999999991"/>
    <s v="Completed"/>
    <m/>
  </r>
  <r>
    <s v="Bay 4&amp;5 - _x000a_Pumps"/>
    <x v="26"/>
    <x v="0"/>
    <s v="Contractor dewatering Pump"/>
    <s v="CP150-297/660/865"/>
    <s v="Pump vaccum repair for AUH"/>
    <d v="2026-01-02T00:00:00"/>
    <d v="2026-01-02T00:00:00"/>
    <m/>
    <m/>
    <d v="1899-12-30T08:00:00"/>
    <d v="1899-12-30T19:00:00"/>
    <n v="11"/>
    <s v="Ongoing"/>
    <m/>
  </r>
  <r>
    <s v="Bay 4&amp;5 - _x000a_Pumps"/>
    <x v="26"/>
    <x v="4"/>
    <s v="Contractor dewatering Pump"/>
    <s v="ACT-109"/>
    <s v="Engine prepapre for assembling"/>
    <d v="2026-01-02T00:00:00"/>
    <d v="2026-01-02T00:00:00"/>
    <m/>
    <m/>
    <d v="1899-12-30T07:30:00"/>
    <d v="1899-12-30T19:00:00"/>
    <n v="11.5"/>
    <s v="Hold"/>
    <m/>
  </r>
  <r>
    <s v="Bay 4&amp;5 - _x000a_Pumps"/>
    <x v="26"/>
    <x v="2"/>
    <m/>
    <m/>
    <m/>
    <m/>
    <m/>
    <m/>
    <m/>
    <d v="1899-12-30T08:00:00"/>
    <d v="1899-12-30T10:00:00"/>
    <n v="2.0000000000000009"/>
    <m/>
    <m/>
  </r>
  <r>
    <s v="Bay 4&amp;5 - _x000a_Pumps"/>
    <x v="26"/>
    <x v="4"/>
    <s v="Contractor dewatering Pump"/>
    <s v="ACT-166"/>
    <s v="Outrigger assemble &amp; hose fitting"/>
    <d v="2026-01-02T00:00:00"/>
    <d v="2026-01-02T00:00:00"/>
    <m/>
    <m/>
    <d v="1899-12-30T08:00:00"/>
    <d v="1899-12-30T17:00:00"/>
    <n v="9.0000000000000018"/>
    <s v="Completed"/>
    <m/>
  </r>
  <r>
    <s v="Bay 4&amp;5 - _x000a_Pumps"/>
    <x v="26"/>
    <x v="28"/>
    <s v="Contractor dewatering Pump"/>
    <s v="CP150-573"/>
    <s v="Pump repair, water test &amp; timing setting"/>
    <d v="2026-01-02T00:00:00"/>
    <d v="2026-01-02T00:00:00"/>
    <m/>
    <m/>
    <d v="1899-12-30T07:30:00"/>
    <d v="1899-12-30T16:30:00"/>
    <n v="9"/>
    <s v="Completed"/>
    <m/>
  </r>
  <r>
    <s v="Bay 4&amp;5 - _x000a_Pumps"/>
    <x v="26"/>
    <x v="2"/>
    <m/>
    <m/>
    <m/>
    <m/>
    <m/>
    <m/>
    <m/>
    <d v="1899-12-30T07:00:00"/>
    <d v="1899-12-30T09:00:00"/>
    <n v="1.9999999999999996"/>
    <m/>
    <m/>
  </r>
  <r>
    <s v="Bay 4&amp;5 - _x000a_Pumps"/>
    <x v="26"/>
    <x v="28"/>
    <s v="Contractor dewatering Pump"/>
    <s v="CP150-175"/>
    <s v="Pump &amp; engine minor repair"/>
    <d v="2026-01-02T00:00:00"/>
    <d v="2026-01-02T00:00:00"/>
    <m/>
    <m/>
    <d v="1899-12-30T14:30:00"/>
    <d v="1899-12-30T18:30:00"/>
    <n v="4.0000000000000018"/>
    <s v="Completed"/>
    <m/>
  </r>
  <r>
    <s v="Bay 4&amp;5 - _x000a_Pumps"/>
    <x v="26"/>
    <x v="5"/>
    <s v="Contractor dewatering Pump"/>
    <s v="CP150-775"/>
    <s v="Pump repair"/>
    <d v="2026-01-02T00:00:00"/>
    <d v="2026-01-02T00:00:00"/>
    <m/>
    <m/>
    <d v="1899-12-30T08:00:00"/>
    <d v="1899-12-30T16:30:00"/>
    <n v="8.5"/>
    <s v="Hold"/>
    <m/>
  </r>
  <r>
    <s v="Bay 4&amp;5 - _x000a_Pumps"/>
    <x v="26"/>
    <x v="3"/>
    <s v="Contractor dewatering Pump"/>
    <s v="CP150-414"/>
    <s v="pump assembling &amp; water test"/>
    <d v="2026-01-02T00:00:00"/>
    <d v="2026-01-02T00:00:00"/>
    <m/>
    <m/>
    <d v="1899-12-30T07:30:00"/>
    <d v="1899-12-30T18:30:00"/>
    <n v="11"/>
    <s v="Completed"/>
    <m/>
  </r>
  <r>
    <s v="Bay 4&amp;5 - _x000a_Pumps"/>
    <x v="26"/>
    <x v="1"/>
    <s v="Contractor dewatering Pump"/>
    <s v="PT175-109"/>
    <s v="pump assembling."/>
    <d v="2026-01-02T00:00:00"/>
    <d v="2026-01-02T00:00:00"/>
    <m/>
    <m/>
    <d v="1899-12-30T07:30:00"/>
    <d v="1899-12-30T18:30:00"/>
    <n v="11"/>
    <s v="Completed"/>
    <m/>
  </r>
  <r>
    <s v="Electrical"/>
    <x v="27"/>
    <x v="8"/>
    <s v="Panel"/>
    <s v="SPB3.7-057/DB041"/>
    <s v="Inspection repair &amp; PDI/Repai test &amp; PDI"/>
    <d v="2026-01-02T00:00:00"/>
    <d v="2026-01-03T00:00:00"/>
    <d v="2026-01-03T00:00:00"/>
    <m/>
    <d v="1899-12-30T08:00:00"/>
    <d v="1899-12-30T17:00:00"/>
    <n v="9.0000000000000018"/>
    <s v="Completed"/>
    <m/>
  </r>
  <r>
    <s v="Electrical"/>
    <x v="27"/>
    <x v="34"/>
    <s v="Panel"/>
    <s v="SPB7.5-025"/>
    <s v="Modification, adding canopy &amp; safety glass"/>
    <d v="2026-01-03T00:00:00"/>
    <d v="2026-01-03T00:00:00"/>
    <m/>
    <m/>
    <d v="1899-12-30T07:30:00"/>
    <d v="1899-12-30T16:30:00"/>
    <n v="9"/>
    <s v="Ongoing"/>
    <m/>
  </r>
  <r>
    <s v="Electrical"/>
    <x v="27"/>
    <x v="9"/>
    <s v="Panel"/>
    <s v="SPB7.5-077"/>
    <s v="Modification, adding canopy &amp; safety glass"/>
    <d v="2026-01-03T00:00:00"/>
    <d v="2026-01-03T00:00:00"/>
    <m/>
    <m/>
    <d v="1899-12-30T08:00:00"/>
    <d v="1899-12-30T17:00:00"/>
    <n v="9.0000000000000018"/>
    <s v="Ongoing"/>
    <m/>
  </r>
  <r>
    <s v="Electrical"/>
    <x v="27"/>
    <x v="33"/>
    <s v="Submersible pump"/>
    <s v="SWD-60N"/>
    <s v="pump rotor repiar"/>
    <d v="2026-01-03T00:00:00"/>
    <d v="2026-01-03T00:00:00"/>
    <d v="2026-01-03T00:00:00"/>
    <m/>
    <d v="1899-12-30T07:00:00"/>
    <d v="1899-12-30T12:00:00"/>
    <n v="5"/>
    <s v="Completed"/>
    <m/>
  </r>
  <r>
    <s v="Electrical"/>
    <x v="27"/>
    <x v="12"/>
    <m/>
    <m/>
    <m/>
    <m/>
    <m/>
    <m/>
    <m/>
    <d v="1899-12-30T07:00:00"/>
    <d v="1899-12-30T12:00:00"/>
    <n v="5"/>
    <m/>
    <m/>
  </r>
  <r>
    <s v="Electrical"/>
    <x v="27"/>
    <x v="35"/>
    <s v="Generator"/>
    <s v="GEN250-051"/>
    <s v="Ac alternator assembling"/>
    <d v="2026-01-03T00:00:00"/>
    <d v="2026-01-03T00:00:00"/>
    <d v="2026-01-03T00:00:00"/>
    <m/>
    <d v="1899-12-30T08:00:00"/>
    <d v="1899-12-30T13:00:00"/>
    <n v="5"/>
    <s v="Completed"/>
    <m/>
  </r>
  <r>
    <s v="Electrical"/>
    <x v="27"/>
    <x v="13"/>
    <m/>
    <m/>
    <m/>
    <m/>
    <m/>
    <m/>
    <m/>
    <d v="1899-12-30T08:00:00"/>
    <d v="1899-12-30T13:00:00"/>
    <n v="5"/>
    <m/>
    <m/>
  </r>
  <r>
    <s v="Electrical"/>
    <x v="27"/>
    <x v="24"/>
    <s v="Borehole pump"/>
    <s v="Old 2.2kw pump"/>
    <s v="5nos water testing"/>
    <d v="2026-01-03T00:00:00"/>
    <d v="2026-01-03T00:00:00"/>
    <d v="2026-01-03T00:00:00"/>
    <m/>
    <d v="1899-12-30T08:00:00"/>
    <d v="1899-12-30T17:00:00"/>
    <n v="9.0000000000000018"/>
    <s v="Completed"/>
    <m/>
  </r>
  <r>
    <s v="Electrical"/>
    <x v="27"/>
    <x v="17"/>
    <s v="Submersible pump"/>
    <s v="SM530-624"/>
    <s v="Water testing"/>
    <d v="2026-01-03T00:00:00"/>
    <d v="2026-01-03T00:00:00"/>
    <d v="2026-01-03T00:00:00"/>
    <m/>
    <d v="1899-12-30T07:30:00"/>
    <d v="1899-12-30T18:30:00"/>
    <n v="11"/>
    <s v="Completed"/>
    <m/>
  </r>
  <r>
    <s v="Electrical"/>
    <x v="27"/>
    <x v="17"/>
    <s v="Submersible pump"/>
    <s v="SWD-60-002"/>
    <s v="assembling"/>
    <d v="2026-01-03T00:00:00"/>
    <d v="2026-01-03T00:00:00"/>
    <d v="2026-01-03T00:00:00"/>
    <m/>
    <d v="1899-12-30T09:00:00"/>
    <d v="1899-12-30T16:30:00"/>
    <n v="7.5"/>
    <s v="Completed"/>
    <m/>
  </r>
  <r>
    <s v="Electrical"/>
    <x v="27"/>
    <x v="14"/>
    <s v="Other"/>
    <s v="KT22-48/23/026"/>
    <s v="General inspection &amp; water testing "/>
    <d v="2026-01-03T00:00:00"/>
    <d v="2026-01-03T00:00:00"/>
    <d v="2026-01-03T00:00:00"/>
    <m/>
    <d v="1899-12-30T07:30:00"/>
    <d v="1899-12-30T16:30:00"/>
    <n v="9"/>
    <s v="Completed"/>
    <m/>
  </r>
  <r>
    <s v="Bay 6 -_x000a_Generator"/>
    <x v="27"/>
    <x v="7"/>
    <s v="Diesel Driven CP Pump"/>
    <s v="CP1212-009"/>
    <s v="Engine dismantling"/>
    <d v="2026-01-03T00:00:00"/>
    <d v="2026-01-03T00:00:00"/>
    <d v="2026-01-03T00:00:00"/>
    <m/>
    <d v="1899-12-30T07:30:00"/>
    <d v="1899-12-30T16:30:00"/>
    <n v="9"/>
    <s v="Completed"/>
    <m/>
  </r>
  <r>
    <s v="Bay 6 -_x000a_Generator"/>
    <x v="27"/>
    <x v="6"/>
    <s v="Generator"/>
    <s v="GENJ250-043"/>
    <s v="Radiator fitting,feul tank cleaning, general repair &amp; load test"/>
    <d v="2026-01-03T00:00:00"/>
    <d v="2026-01-03T00:00:00"/>
    <m/>
    <m/>
    <d v="1899-12-30T07:30:00"/>
    <d v="1899-12-30T16:30:00"/>
    <n v="9"/>
    <s v="Hold"/>
    <m/>
  </r>
  <r>
    <s v="Bay 6 -_x000a_Generator"/>
    <x v="27"/>
    <x v="32"/>
    <m/>
    <m/>
    <m/>
    <m/>
    <m/>
    <m/>
    <m/>
    <d v="1899-12-30T07:30:00"/>
    <d v="1899-12-30T16:30:00"/>
    <n v="9"/>
    <m/>
    <m/>
  </r>
  <r>
    <s v="Bay 6 -_x000a_Generator"/>
    <x v="27"/>
    <x v="23"/>
    <s v="Generator"/>
    <s v="GENG100-009"/>
    <s v="Fuel pump &amp; injector removing"/>
    <d v="2026-01-02T00:00:00"/>
    <d v="2026-01-03T00:00:00"/>
    <d v="2026-01-03T00:00:00"/>
    <m/>
    <d v="1899-12-30T07:30:00"/>
    <d v="1899-12-30T11:30:00"/>
    <n v="4"/>
    <s v="Completed"/>
    <m/>
  </r>
  <r>
    <s v="Bay 4&amp;5 - _x000a_Pumps"/>
    <x v="27"/>
    <x v="20"/>
    <s v="Diesel Driven CP Pump"/>
    <s v="CD150M-002"/>
    <s v="Pump end dismantling"/>
    <d v="2026-01-02T00:00:00"/>
    <d v="2026-01-02T00:00:00"/>
    <d v="2026-01-02T00:00:00"/>
    <m/>
    <d v="1899-12-30T07:30:00"/>
    <d v="1899-12-30T16:30:00"/>
    <n v="9"/>
    <s v="Completed"/>
    <m/>
  </r>
  <r>
    <s v="Bay 4&amp;5 - _x000a_Pumps"/>
    <x v="27"/>
    <x v="38"/>
    <s v="Diesel Driven CP Pump"/>
    <s v="CD300M-08"/>
    <s v="Clearance adjustment"/>
    <d v="2026-01-02T00:00:00"/>
    <d v="2026-01-02T00:00:00"/>
    <d v="2026-01-02T00:00:00"/>
    <m/>
    <d v="1899-12-30T08:00:00"/>
    <d v="1899-12-30T17:00:00"/>
    <n v="9.0000000000000018"/>
    <s v="Completed"/>
    <m/>
  </r>
  <r>
    <s v="Bay 4&amp;5 - _x000a_Pumps"/>
    <x v="27"/>
    <x v="37"/>
    <m/>
    <m/>
    <m/>
    <m/>
    <m/>
    <m/>
    <m/>
    <d v="1899-12-30T08:00:00"/>
    <d v="1899-12-30T17:00:00"/>
    <n v="9.0000000000000018"/>
    <m/>
    <m/>
  </r>
  <r>
    <s v="Bay 4&amp;5 - _x000a_Pumps"/>
    <x v="27"/>
    <x v="18"/>
    <s v="Other"/>
    <s v="General work"/>
    <s v="General work"/>
    <d v="2026-01-02T00:00:00"/>
    <d v="2026-01-02T00:00:00"/>
    <d v="2026-01-02T00:00:00"/>
    <m/>
    <d v="1899-12-30T07:30:00"/>
    <d v="1899-12-30T12:00:00"/>
    <n v="4.5"/>
    <s v="Completed"/>
    <m/>
  </r>
  <r>
    <s v="Bay 4&amp;5 - _x000a_Pumps"/>
    <x v="27"/>
    <x v="18"/>
    <s v="Diesel Driven CP Pump"/>
    <s v="SCT500-32"/>
    <s v="Pump end swapping with new bareshaft"/>
    <d v="2026-01-02T00:00:00"/>
    <d v="2026-01-02T00:00:00"/>
    <d v="2026-01-02T00:00:00"/>
    <m/>
    <d v="1899-12-30T14:00:00"/>
    <d v="1899-12-30T16:30:00"/>
    <n v="2.4999999999999991"/>
    <s v="Completed"/>
    <m/>
  </r>
  <r>
    <s v="Bay 4&amp;5 - _x000a_Pumps"/>
    <x v="27"/>
    <x v="0"/>
    <s v="Contractor dewatering Pump"/>
    <s v="CP150-297/660/865"/>
    <s v="Pump vaccum repair for AUH"/>
    <d v="2026-01-02T00:00:00"/>
    <d v="2026-01-03T00:00:00"/>
    <d v="2026-01-03T00:00:00"/>
    <m/>
    <d v="1899-12-30T08:00:00"/>
    <d v="1899-12-30T19:00:00"/>
    <n v="11"/>
    <s v="Completed"/>
    <m/>
  </r>
  <r>
    <s v="Bay 4&amp;5 - _x000a_Pumps"/>
    <x v="27"/>
    <x v="4"/>
    <s v="Contractor dewatering Pump"/>
    <s v="PT175-109"/>
    <s v="Engine assembling"/>
    <d v="2026-01-02T00:00:00"/>
    <d v="2026-01-03T00:00:00"/>
    <d v="2026-01-03T00:00:00"/>
    <m/>
    <d v="1899-12-30T08:00:00"/>
    <d v="1899-12-30T17:00:00"/>
    <n v="9.0000000000000018"/>
    <s v="Completed"/>
    <m/>
  </r>
  <r>
    <s v="Bay 4&amp;5 - _x000a_Pumps"/>
    <x v="27"/>
    <x v="2"/>
    <m/>
    <m/>
    <m/>
    <m/>
    <m/>
    <m/>
    <m/>
    <d v="1899-12-30T08:00:00"/>
    <d v="1899-12-30T10:00:00"/>
    <n v="2.0000000000000009"/>
    <m/>
    <m/>
  </r>
  <r>
    <s v="Bay 4&amp;5 - _x000a_Pumps"/>
    <x v="27"/>
    <x v="28"/>
    <s v="Contractor dewatering Pump"/>
    <s v="CP150-175"/>
    <s v="Pump &amp; engine repair ongoing"/>
    <d v="2026-01-02T00:00:00"/>
    <d v="2026-01-03T00:00:00"/>
    <d v="2026-01-03T00:00:00"/>
    <m/>
    <d v="1899-12-30T07:30:00"/>
    <d v="1899-12-30T12:30:00"/>
    <n v="5.0000000000000009"/>
    <s v="Completed"/>
    <m/>
  </r>
  <r>
    <s v="Bay 4&amp;5 - _x000a_Pumps"/>
    <x v="27"/>
    <x v="2"/>
    <m/>
    <m/>
    <m/>
    <m/>
    <m/>
    <m/>
    <m/>
    <d v="1899-12-30T10:00:00"/>
    <d v="1899-12-30T12:00:00"/>
    <n v="1.9999999999999996"/>
    <m/>
    <m/>
  </r>
  <r>
    <s v="Bay 4&amp;5 - _x000a_Pumps"/>
    <x v="27"/>
    <x v="28"/>
    <s v="Contractor dewatering Pump"/>
    <s v="CP150-541"/>
    <s v="Pump dismantling"/>
    <d v="2026-01-03T00:00:00"/>
    <d v="2026-01-03T00:00:00"/>
    <d v="2026-01-03T00:00:00"/>
    <m/>
    <d v="1899-12-30T12:30:00"/>
    <d v="1899-12-30T16:30:00"/>
    <n v="3.9999999999999991"/>
    <s v="Completed"/>
    <m/>
  </r>
  <r>
    <s v="Bay 4&amp;5 - _x000a_Pumps"/>
    <x v="27"/>
    <x v="5"/>
    <s v="Contractor dewatering Pump"/>
    <s v="CP150-775"/>
    <s v="Engine top overhaul"/>
    <d v="2026-01-02T00:00:00"/>
    <d v="2026-01-03T00:00:00"/>
    <d v="2026-01-03T00:00:00"/>
    <m/>
    <d v="1899-12-30T08:00:00"/>
    <d v="1899-12-30T17:00:00"/>
    <n v="9.0000000000000018"/>
    <s v="Completed"/>
    <m/>
  </r>
  <r>
    <s v="Bay 4&amp;5 - _x000a_Pumps"/>
    <x v="27"/>
    <x v="3"/>
    <s v="Contractor dewatering Pump"/>
    <s v="CP150-419"/>
    <s v="Engine &amp; pump repair"/>
    <d v="2026-01-03T00:00:00"/>
    <d v="2026-01-03T00:00:00"/>
    <d v="2026-01-03T00:00:00"/>
    <m/>
    <d v="1899-12-30T07:30:00"/>
    <d v="1899-12-30T16:30:00"/>
    <n v="9"/>
    <s v="Completed"/>
    <m/>
  </r>
  <r>
    <s v="Bay 4&amp;5 - _x000a_Pumps"/>
    <x v="27"/>
    <x v="1"/>
    <s v="Contractor dewatering Pump"/>
    <s v="PT175-109"/>
    <s v="pump assembling ongoing"/>
    <d v="2026-01-02T00:00:00"/>
    <d v="2026-01-03T00:00:00"/>
    <d v="2026-01-03T00:00:00"/>
    <m/>
    <d v="1899-12-30T07:30:00"/>
    <d v="1899-12-30T16:30:00"/>
    <n v="9"/>
    <s v="Completed"/>
    <m/>
  </r>
  <r>
    <s v="Electrical"/>
    <x v="28"/>
    <x v="8"/>
    <s v="Other"/>
    <s v="BFM500-001"/>
    <s v="Power DB rewiring"/>
    <d v="2026-01-05T00:00:00"/>
    <d v="2026-01-05T00:00:00"/>
    <m/>
    <m/>
    <d v="1899-12-30T08:00:00"/>
    <d v="1899-12-30T17:00:00"/>
    <n v="9.0000000000000018"/>
    <s v="Completed"/>
    <m/>
  </r>
  <r>
    <s v="Electrical"/>
    <x v="28"/>
    <x v="34"/>
    <s v="Panel"/>
    <s v="SPB7.5-025"/>
    <s v="Modification, adding canopy &amp; safety glass"/>
    <d v="2026-01-03T00:00:00"/>
    <d v="2026-01-05T00:00:00"/>
    <m/>
    <m/>
    <d v="1899-12-30T07:30:00"/>
    <d v="1899-12-30T16:30:00"/>
    <n v="9"/>
    <s v="Ongoing"/>
    <m/>
  </r>
  <r>
    <s v="Electrical"/>
    <x v="28"/>
    <x v="9"/>
    <s v="Panel"/>
    <s v="SPB7.5-077"/>
    <s v="Modification, adding canopy &amp; safety glass"/>
    <d v="2026-01-03T00:00:00"/>
    <d v="2026-01-05T00:00:00"/>
    <m/>
    <m/>
    <d v="1899-12-30T08:00:00"/>
    <d v="1899-12-30T17:00:00"/>
    <n v="9.0000000000000018"/>
    <s v="Ongoing"/>
    <m/>
  </r>
  <r>
    <s v="Electrical"/>
    <x v="28"/>
    <x v="33"/>
    <s v="Other"/>
    <s v="BFM400-002"/>
    <s v="Inspection &amp; repair"/>
    <d v="2026-01-05T00:00:00"/>
    <d v="2026-01-05T00:00:00"/>
    <m/>
    <m/>
    <d v="1899-12-30T07:30:00"/>
    <d v="1899-12-30T12:00:00"/>
    <n v="4.5"/>
    <s v="Ongoing"/>
    <m/>
  </r>
  <r>
    <s v="Electrical"/>
    <x v="28"/>
    <x v="12"/>
    <s v="Other"/>
    <s v="BFM355-008"/>
    <s v="Inspection &amp; repair"/>
    <d v="2026-01-05T00:00:00"/>
    <d v="2026-01-05T00:00:00"/>
    <m/>
    <m/>
    <d v="1899-12-30T08:30:00"/>
    <d v="1899-12-30T13:00:00"/>
    <n v="4.4999999999999982"/>
    <s v="Hold"/>
    <m/>
  </r>
  <r>
    <s v="Electrical"/>
    <x v="28"/>
    <x v="33"/>
    <s v="Generator"/>
    <s v="GEN100-013"/>
    <s v="Ac laternator service ongoing"/>
    <d v="2026-01-05T00:00:00"/>
    <d v="2026-01-05T00:00:00"/>
    <m/>
    <m/>
    <d v="1899-12-30T13:00:00"/>
    <d v="1899-12-30T17:00:00"/>
    <n v="4.0000000000000018"/>
    <s v="Completed"/>
    <m/>
  </r>
  <r>
    <s v="Electrical"/>
    <x v="28"/>
    <x v="12"/>
    <m/>
    <m/>
    <m/>
    <m/>
    <m/>
    <m/>
    <m/>
    <d v="1899-12-30T13:00:00"/>
    <d v="1899-12-30T17:00:00"/>
    <n v="4.0000000000000018"/>
    <m/>
    <m/>
  </r>
  <r>
    <s v="Electrical"/>
    <x v="28"/>
    <x v="35"/>
    <s v="Submersible pump"/>
    <s v="SMSP3"/>
    <s v="75kw pump rewinding"/>
    <d v="2026-01-05T00:00:00"/>
    <d v="2026-01-05T00:00:00"/>
    <m/>
    <m/>
    <d v="1899-12-30T07:30:00"/>
    <d v="1899-12-30T16:30:00"/>
    <n v="9"/>
    <s v="Ongoing"/>
    <m/>
  </r>
  <r>
    <s v="Electrical"/>
    <x v="28"/>
    <x v="13"/>
    <m/>
    <m/>
    <m/>
    <m/>
    <m/>
    <m/>
    <m/>
    <d v="1899-12-30T07:30:00"/>
    <d v="1899-12-30T16:30:00"/>
    <n v="9"/>
    <m/>
    <m/>
  </r>
  <r>
    <s v="Electrical"/>
    <x v="28"/>
    <x v="24"/>
    <s v="Borehole pump"/>
    <s v="Old B:H pump"/>
    <s v="pump cable joint water testing"/>
    <d v="2026-01-03T00:00:00"/>
    <d v="2026-01-05T00:00:00"/>
    <m/>
    <m/>
    <d v="1899-12-30T07:30:00"/>
    <d v="1899-12-30T17:00:00"/>
    <n v="9.5"/>
    <s v="Ongoing"/>
    <m/>
  </r>
  <r>
    <s v="Electrical"/>
    <x v="28"/>
    <x v="15"/>
    <m/>
    <m/>
    <m/>
    <m/>
    <m/>
    <m/>
    <m/>
    <d v="1899-12-30T07:30:00"/>
    <d v="1899-12-30T17:00:00"/>
    <n v="9.5"/>
    <m/>
    <m/>
  </r>
  <r>
    <s v="Electrical"/>
    <x v="28"/>
    <x v="17"/>
    <s v="Submersible pump"/>
    <s v="SWD-60-002"/>
    <s v="assembling"/>
    <d v="2026-01-03T00:00:00"/>
    <d v="2026-01-05T00:00:00"/>
    <m/>
    <m/>
    <d v="1899-12-30T07:30:00"/>
    <d v="1899-12-30T16:30:00"/>
    <n v="9"/>
    <s v="Completed"/>
    <m/>
  </r>
  <r>
    <s v="Electrical"/>
    <x v="28"/>
    <x v="14"/>
    <s v="Submersible pump"/>
    <s v="SMSP3"/>
    <s v="115kw pump dismantling"/>
    <d v="2026-01-05T00:00:00"/>
    <d v="2026-01-05T00:00:00"/>
    <m/>
    <m/>
    <d v="1899-12-30T07:30:00"/>
    <d v="1899-12-30T16:30:00"/>
    <n v="9"/>
    <s v="Ongoing"/>
    <m/>
  </r>
  <r>
    <s v="Electrical"/>
    <x v="28"/>
    <x v="41"/>
    <m/>
    <m/>
    <m/>
    <m/>
    <m/>
    <m/>
    <m/>
    <d v="1899-12-30T07:30:00"/>
    <d v="1899-12-30T17:00:00"/>
    <n v="9.5"/>
    <m/>
    <m/>
  </r>
  <r>
    <s v="Bay 6 -_x000a_Generator"/>
    <x v="28"/>
    <x v="23"/>
    <s v="Diesel Driven CP Pump"/>
    <s v="GEN250-047"/>
    <s v="Engine parts cleaning"/>
    <d v="2026-01-05T00:00:00"/>
    <d v="2026-01-05T00:00:00"/>
    <m/>
    <m/>
    <d v="1899-12-30T07:30:00"/>
    <d v="1899-12-30T12:00:00"/>
    <n v="4.5"/>
    <s v="Completed"/>
    <m/>
  </r>
  <r>
    <s v="Bay 6 -_x000a_Generator"/>
    <x v="28"/>
    <x v="6"/>
    <s v="Generator"/>
    <s v="GENJ250-043"/>
    <s v="Radiator fitting,feul tank cleaning, general repair &amp; load test"/>
    <d v="2026-01-03T00:00:00"/>
    <d v="2026-01-05T00:00:00"/>
    <m/>
    <m/>
    <d v="1899-12-30T07:30:00"/>
    <d v="1899-12-30T16:30:00"/>
    <n v="9"/>
    <s v="Completed"/>
    <m/>
  </r>
  <r>
    <s v="Bay 6 -_x000a_Generator"/>
    <x v="28"/>
    <x v="32"/>
    <m/>
    <m/>
    <m/>
    <m/>
    <m/>
    <m/>
    <m/>
    <d v="1899-12-30T07:30:00"/>
    <d v="1899-12-30T16:30:00"/>
    <n v="9"/>
    <m/>
    <m/>
  </r>
  <r>
    <s v="Bay 6 -_x000a_Generator"/>
    <x v="28"/>
    <x v="6"/>
    <s v="Generator"/>
    <s v="GEN250-038"/>
    <s v="Load testing &amp; general checkup, cable connection."/>
    <d v="2026-01-05T00:00:00"/>
    <d v="2026-01-05T00:00:00"/>
    <m/>
    <m/>
    <d v="1899-12-30T07:30:00"/>
    <d v="1899-12-30T10:30:00"/>
    <n v="3"/>
    <s v="Completed"/>
    <m/>
  </r>
  <r>
    <s v="Bay 6 -_x000a_Generator"/>
    <x v="28"/>
    <x v="6"/>
    <s v="Other"/>
    <s v="General work"/>
    <s v="Generator shifting &amp; setting"/>
    <d v="2026-01-05T00:00:00"/>
    <d v="2026-01-05T00:00:00"/>
    <m/>
    <m/>
    <d v="1899-12-30T10:30:00"/>
    <d v="1899-12-30T01:00:00"/>
    <n v="14.500000000000002"/>
    <s v="Completed"/>
    <m/>
  </r>
  <r>
    <s v="Bay 4&amp;5 - _x000a_Pumps"/>
    <x v="28"/>
    <x v="20"/>
    <s v="Diesel Driven CP Pump"/>
    <s v="CD150M-002"/>
    <s v="Pump end dismantling"/>
    <d v="2026-01-02T00:00:00"/>
    <d v="2026-01-02T00:00:00"/>
    <m/>
    <m/>
    <d v="1899-12-30T07:30:00"/>
    <d v="1899-12-30T16:30:00"/>
    <n v="9"/>
    <s v="Ongoing"/>
    <m/>
  </r>
  <r>
    <s v="Bay 4&amp;5 - _x000a_Pumps"/>
    <x v="28"/>
    <x v="18"/>
    <s v="Diesel Driven CP Pump"/>
    <s v="BA700-001"/>
    <s v="Engine repair on site midisland"/>
    <d v="2026-01-05T00:00:00"/>
    <d v="2026-01-05T00:00:00"/>
    <m/>
    <m/>
    <d v="1899-12-30T07:30:00"/>
    <d v="1899-12-30T12:00:00"/>
    <n v="4.5"/>
    <s v="Ongoing"/>
    <m/>
  </r>
  <r>
    <s v="Bay 4&amp;5 - _x000a_Pumps"/>
    <x v="28"/>
    <x v="7"/>
    <m/>
    <m/>
    <m/>
    <m/>
    <m/>
    <m/>
    <m/>
    <d v="1899-12-30T07:30:00"/>
    <d v="1899-12-30T12:00:00"/>
    <n v="4.5"/>
    <m/>
    <m/>
  </r>
  <r>
    <s v="Bay 4&amp;5 - _x000a_Pumps"/>
    <x v="28"/>
    <x v="37"/>
    <s v="Diesel Driven CP Pump"/>
    <s v="HL130M-07"/>
    <s v="Final fitting"/>
    <d v="2026-01-02T00:00:00"/>
    <d v="2026-01-05T00:00:00"/>
    <m/>
    <m/>
    <d v="1899-12-30T07:30:00"/>
    <d v="1899-12-30T12:00:00"/>
    <n v="4.5"/>
    <s v="Completed"/>
    <m/>
  </r>
  <r>
    <s v="Bay 4&amp;5 - _x000a_Pumps"/>
    <x v="28"/>
    <x v="37"/>
    <s v="Diesel Driven CP Pump"/>
    <s v="CD150M-002"/>
    <s v="Pump firtting"/>
    <d v="2026-01-02T00:00:00"/>
    <d v="2026-01-05T00:00:00"/>
    <m/>
    <m/>
    <d v="1899-12-30T14:00:00"/>
    <d v="1899-12-30T16:30:00"/>
    <n v="2.4999999999999991"/>
    <s v="Completed"/>
    <m/>
  </r>
  <r>
    <s v="Bay 4&amp;5 - _x000a_Pumps"/>
    <x v="28"/>
    <x v="38"/>
    <s v="Diesel Driven CP Pump"/>
    <s v="CD150M-002"/>
    <s v="Pump overhaul"/>
    <d v="2026-01-05T00:00:00"/>
    <d v="2026-01-05T00:00:00"/>
    <m/>
    <m/>
    <d v="1899-12-30T07:30:00"/>
    <d v="1899-12-30T16:30:00"/>
    <n v="9"/>
    <s v="Completed"/>
    <m/>
  </r>
  <r>
    <s v="Bay 4&amp;5 - _x000a_Pumps"/>
    <x v="28"/>
    <x v="0"/>
    <s v="Contractor dewatering Pump"/>
    <s v="CP150-844/414573"/>
    <s v="Final fitting, PDI &amp; flowfinity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4"/>
    <s v="Contractor dewatering Pump"/>
    <s v="PT175-109"/>
    <s v="Engine assembling ongoing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2"/>
    <m/>
    <m/>
    <m/>
    <m/>
    <m/>
    <m/>
    <m/>
    <d v="1899-12-30T08:00:00"/>
    <d v="1899-12-30T10:00:00"/>
    <n v="2.0000000000000009"/>
    <m/>
    <m/>
  </r>
  <r>
    <s v="Bay 4&amp;5 - _x000a_Pumps"/>
    <x v="28"/>
    <x v="28"/>
    <s v="Contractor dewatering Pump"/>
    <s v="CP150-541"/>
    <s v="Pump dismantling &amp; prepare for assembling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2"/>
    <m/>
    <m/>
    <m/>
    <m/>
    <m/>
    <m/>
    <m/>
    <d v="1899-12-30T10:00:00"/>
    <d v="1899-12-30T12:00:00"/>
    <n v="1.9999999999999996"/>
    <m/>
    <m/>
  </r>
  <r>
    <s v="Bay 4&amp;5 - _x000a_Pumps"/>
    <x v="28"/>
    <x v="5"/>
    <s v="Contractor dewatering Pump"/>
    <s v="CP150-775"/>
    <s v="Engine &amp; pump repair"/>
    <d v="2026-01-02T00:00:00"/>
    <d v="2026-01-05T00:00:00"/>
    <m/>
    <m/>
    <d v="1899-12-30T07:30:00"/>
    <d v="1899-12-30T16:30:00"/>
    <n v="9"/>
    <s v="Completed"/>
    <m/>
  </r>
  <r>
    <s v="Bay 4&amp;5 - _x000a_Pumps"/>
    <x v="28"/>
    <x v="3"/>
    <s v="Contractor dewatering Pump"/>
    <s v="CP150-419"/>
    <s v="Engine &amp; pump repair"/>
    <d v="2026-01-03T00:00:00"/>
    <d v="2026-01-05T00:00:00"/>
    <m/>
    <m/>
    <d v="1899-12-30T07:30:00"/>
    <d v="1899-12-30T16:30:00"/>
    <n v="9"/>
    <s v="Completed"/>
    <m/>
  </r>
  <r>
    <s v="Bay 4&amp;5 - _x000a_Pumps"/>
    <x v="28"/>
    <x v="1"/>
    <s v="Contractor dewatering Pump"/>
    <s v="PT175-531"/>
    <s v="pump assembling ongoing"/>
    <d v="2026-01-02T00:00:00"/>
    <d v="2026-01-05T00:00:00"/>
    <m/>
    <m/>
    <d v="1899-12-30T07:30:00"/>
    <d v="1899-12-30T16:30:00"/>
    <n v="9"/>
    <s v="Completed"/>
    <m/>
  </r>
  <r>
    <s v="Electrical"/>
    <x v="29"/>
    <x v="8"/>
    <s v="Panel"/>
    <m/>
    <m/>
    <d v="2026-01-06T00:00:00"/>
    <d v="2026-01-06T00:00:00"/>
    <m/>
    <m/>
    <d v="1899-12-30T08:00:00"/>
    <d v="1899-12-30T17:00:00"/>
    <n v="9.0000000000000018"/>
    <s v="Completed"/>
    <m/>
  </r>
  <r>
    <s v="Electrical"/>
    <x v="29"/>
    <x v="34"/>
    <s v="Panel"/>
    <s v="SPB2.2-061"/>
    <s v="Dismantling &amp; replacing the damaged stand canopy"/>
    <d v="2026-01-06T00:00:00"/>
    <d v="2026-01-06T00:00:00"/>
    <m/>
    <m/>
    <d v="1899-12-30T08:00:00"/>
    <d v="1899-12-30T17:00:00"/>
    <n v="9.0000000000000018"/>
    <s v="Ongoing"/>
    <m/>
  </r>
  <r>
    <s v="Electrical"/>
    <x v="29"/>
    <x v="9"/>
    <s v="Panel"/>
    <s v="SPB7.5-025"/>
    <s v="Modification, adding canopy &amp; safety glass"/>
    <d v="2026-01-06T00:00:00"/>
    <d v="2026-01-06T00:00:00"/>
    <m/>
    <m/>
    <d v="1899-12-30T07:30:00"/>
    <d v="1899-12-30T16:30:00"/>
    <n v="9"/>
    <s v="Ongoing"/>
    <m/>
  </r>
  <r>
    <s v="Electrical"/>
    <x v="29"/>
    <x v="33"/>
    <s v="Generator"/>
    <s v="GEN100-013"/>
    <s v="Alternator dismantled"/>
    <d v="2026-01-06T00:00:00"/>
    <d v="2026-01-07T00:00:00"/>
    <m/>
    <m/>
    <d v="1899-12-30T06:30:00"/>
    <d v="1899-12-30T12:00:00"/>
    <n v="5.5"/>
    <s v="Ongoing"/>
    <m/>
  </r>
  <r>
    <s v="Electrical"/>
    <x v="29"/>
    <x v="12"/>
    <m/>
    <m/>
    <m/>
    <m/>
    <m/>
    <m/>
    <m/>
    <d v="1899-12-30T06:30:00"/>
    <d v="1899-12-30T12:00:00"/>
    <n v="5.5"/>
    <m/>
    <m/>
  </r>
  <r>
    <s v="Electrical"/>
    <x v="29"/>
    <x v="33"/>
    <s v="Other"/>
    <s v="FM600-002/004"/>
    <s v="Inspection &amp; PDI"/>
    <d v="2026-01-06T00:00:00"/>
    <d v="2026-01-06T00:00:00"/>
    <m/>
    <m/>
    <d v="1899-12-30T13:00:00"/>
    <d v="1899-12-30T17:00:00"/>
    <n v="4.0000000000000018"/>
    <s v="Ongoing"/>
    <m/>
  </r>
  <r>
    <s v="Electrical"/>
    <x v="29"/>
    <x v="12"/>
    <m/>
    <m/>
    <m/>
    <m/>
    <m/>
    <m/>
    <m/>
    <d v="1899-12-30T13:00:00"/>
    <d v="1899-12-30T17:00:00"/>
    <n v="4.0000000000000018"/>
    <m/>
    <m/>
  </r>
  <r>
    <s v="Electrical"/>
    <x v="29"/>
    <x v="35"/>
    <s v="Submersible pump"/>
    <s v="SMSP3"/>
    <s v="75kw pump rewinding"/>
    <d v="2026-01-05T00:00:00"/>
    <d v="2026-01-06T00:00:00"/>
    <m/>
    <m/>
    <d v="1899-12-30T06:30:00"/>
    <d v="1899-12-30T15:30:00"/>
    <n v="9.0000000000000018"/>
    <s v="Ongoing"/>
    <m/>
  </r>
  <r>
    <s v="Electrical"/>
    <x v="29"/>
    <x v="13"/>
    <m/>
    <m/>
    <m/>
    <m/>
    <m/>
    <m/>
    <m/>
    <d v="1899-12-30T06:30:00"/>
    <d v="1899-12-30T15:30:00"/>
    <n v="9.0000000000000018"/>
    <m/>
    <m/>
  </r>
  <r>
    <s v="Electrical"/>
    <x v="29"/>
    <x v="24"/>
    <s v="Borehole pump"/>
    <s v="Old B:H pump"/>
    <s v="20nos pumps inspection &amp; repair"/>
    <d v="2026-01-06T00:00:00"/>
    <d v="2026-01-06T00:00:00"/>
    <m/>
    <m/>
    <d v="1899-12-30T07:00:00"/>
    <d v="1899-12-30T17:00:00"/>
    <n v="10"/>
    <s v="Ongoing"/>
    <m/>
  </r>
  <r>
    <s v="Electrical"/>
    <x v="29"/>
    <x v="15"/>
    <m/>
    <m/>
    <m/>
    <m/>
    <m/>
    <m/>
    <m/>
    <d v="1899-12-30T07:00:00"/>
    <d v="1899-12-30T17:00:00"/>
    <n v="10"/>
    <m/>
    <m/>
  </r>
  <r>
    <s v="Electrical"/>
    <x v="29"/>
    <x v="17"/>
    <s v="Submersible pump"/>
    <s v="SWD-60-002"/>
    <s v="Water testing"/>
    <d v="2026-01-06T00:00:00"/>
    <d v="2026-01-09T00:00:00"/>
    <m/>
    <m/>
    <d v="1899-12-30T06:30:00"/>
    <d v="1899-12-30T08:00:00"/>
    <n v="1.5"/>
    <s v="Completed"/>
    <m/>
  </r>
  <r>
    <s v="Electrical"/>
    <x v="29"/>
    <x v="17"/>
    <s v="Submersible pump"/>
    <s v="SM530-489"/>
    <s v="Dismantle pump"/>
    <d v="2026-01-06T00:00:00"/>
    <d v="2026-01-06T00:00:00"/>
    <m/>
    <m/>
    <d v="1899-12-30T08:00:00"/>
    <d v="1899-12-30T15:30:00"/>
    <n v="7.5000000000000018"/>
    <s v="Completed"/>
    <m/>
  </r>
  <r>
    <s v="Electrical"/>
    <x v="29"/>
    <x v="14"/>
    <s v="Submersible pump"/>
    <s v="SWD60H-004"/>
    <s v="Assembling"/>
    <d v="2026-01-06T00:00:00"/>
    <d v="2026-01-07T00:00:00"/>
    <m/>
    <m/>
    <d v="1899-12-30T06:30:00"/>
    <d v="1899-12-30T15:30:00"/>
    <n v="9.0000000000000018"/>
    <s v="Completed"/>
    <m/>
  </r>
  <r>
    <s v="Bay 6 -_x000a_Generator"/>
    <x v="29"/>
    <x v="23"/>
    <s v="Generator"/>
    <s v="GEN200-014"/>
    <s v="Engine oil service,water washing &amp; general repair"/>
    <d v="2026-01-06T00:00:00"/>
    <d v="2026-01-06T00:00:00"/>
    <m/>
    <m/>
    <d v="1899-12-30T06:30:00"/>
    <d v="1899-12-30T10:30:00"/>
    <n v="4"/>
    <s v="Completed"/>
    <m/>
  </r>
  <r>
    <s v="Bay 6 -_x000a_Generator"/>
    <x v="29"/>
    <x v="23"/>
    <s v="Generator"/>
    <s v="GEN250-047"/>
    <s v="Engine parts cleaning"/>
    <d v="2026-01-05T00:00:00"/>
    <d v="2026-01-06T00:00:00"/>
    <m/>
    <m/>
    <d v="1899-12-30T10:30:00"/>
    <d v="1899-12-30T15:30:00"/>
    <n v="5.0000000000000009"/>
    <s v="Completed"/>
    <m/>
  </r>
  <r>
    <s v="Bay 6 -_x000a_Generator"/>
    <x v="29"/>
    <x v="6"/>
    <s v="Generator"/>
    <s v="GENJ250-051"/>
    <s v="Main alternator fixing &amp; general repair"/>
    <d v="2026-01-06T00:00:00"/>
    <d v="2026-01-06T00:00:00"/>
    <m/>
    <m/>
    <d v="1899-12-30T08:00:00"/>
    <d v="1899-12-30T13:00:00"/>
    <n v="5"/>
    <s v="Completed"/>
    <m/>
  </r>
  <r>
    <s v="Bay 6 -_x000a_Generator"/>
    <x v="29"/>
    <x v="42"/>
    <m/>
    <m/>
    <m/>
    <m/>
    <m/>
    <m/>
    <m/>
    <d v="1899-12-30T08:00:00"/>
    <d v="1899-12-30T13:00:00"/>
    <n v="5"/>
    <m/>
    <m/>
  </r>
  <r>
    <s v="Bay 6 -_x000a_Generator"/>
    <x v="29"/>
    <x v="6"/>
    <s v="Generator"/>
    <s v="GEN45-005"/>
    <s v="Main alternator fixing &amp; general repair"/>
    <d v="2026-01-06T00:00:00"/>
    <d v="2026-01-06T00:00:00"/>
    <m/>
    <m/>
    <d v="1899-12-30T14:00:00"/>
    <d v="1899-12-30T17:00:00"/>
    <n v="3"/>
    <s v="Completed"/>
    <m/>
  </r>
  <r>
    <s v="Bay 6 -_x000a_Generator"/>
    <x v="29"/>
    <x v="42"/>
    <m/>
    <m/>
    <m/>
    <m/>
    <m/>
    <m/>
    <m/>
    <d v="1899-12-30T14:00:00"/>
    <d v="1899-12-30T17:00:00"/>
    <n v="3"/>
    <m/>
    <m/>
  </r>
  <r>
    <s v="Bay 4&amp;5 - _x000a_Pumps"/>
    <x v="29"/>
    <x v="20"/>
    <s v="Diesel Driven CP Pump"/>
    <s v="CD150M-002"/>
    <s v="Pump end dismantling"/>
    <d v="2026-01-02T00:00:00"/>
    <d v="2026-01-02T00:00:00"/>
    <m/>
    <m/>
    <d v="1899-12-30T14:00:00"/>
    <d v="1899-12-30T16:30:00"/>
    <n v="2.4999999999999991"/>
    <s v="Completed"/>
    <m/>
  </r>
  <r>
    <s v="Bay 4&amp;5 - _x000a_Pumps"/>
    <x v="29"/>
    <x v="18"/>
    <s v="Diesel Driven CP Pump"/>
    <s v="BA700-001"/>
    <s v="Engine repair on site midisland"/>
    <d v="2026-01-05T00:00:00"/>
    <d v="2026-01-06T00:00:00"/>
    <m/>
    <m/>
    <d v="1899-12-30T14:00:00"/>
    <d v="1899-12-30T12:00:00"/>
    <n v="22"/>
    <s v="Ongoing"/>
    <m/>
  </r>
  <r>
    <s v="Bay 4&amp;5 - _x000a_Pumps"/>
    <x v="29"/>
    <x v="7"/>
    <m/>
    <m/>
    <m/>
    <m/>
    <m/>
    <m/>
    <m/>
    <d v="1899-12-30T14:00:00"/>
    <d v="1899-12-30T12:00:00"/>
    <n v="22"/>
    <m/>
    <m/>
  </r>
  <r>
    <s v="Bay 4&amp;5 - _x000a_Pumps"/>
    <x v="29"/>
    <x v="37"/>
    <s v="Diesel Driven CP Pump"/>
    <s v="CD150M-002"/>
    <s v="Pump firtting"/>
    <d v="2026-01-02T00:00:00"/>
    <d v="2026-01-06T00:00:00"/>
    <m/>
    <m/>
    <d v="1899-12-30T14:00:00"/>
    <d v="1899-12-30T16:30:00"/>
    <n v="2.4999999999999991"/>
    <s v="Ongoing"/>
    <m/>
  </r>
  <r>
    <s v="Bay 4&amp;5 - _x000a_Pumps"/>
    <x v="29"/>
    <x v="20"/>
    <s v="Diesel Driven CP Pump"/>
    <s v="CD300M-008"/>
    <s v="Radiator installation &amp; testing"/>
    <d v="2026-01-06T00:00:00"/>
    <d v="2026-01-06T00:00:00"/>
    <m/>
    <m/>
    <d v="1899-12-30T14:00:00"/>
    <d v="1899-12-30T14:00:00"/>
    <n v="0"/>
    <s v="Completed"/>
    <m/>
  </r>
  <r>
    <s v="Bay 4&amp;5 - _x000a_Pumps"/>
    <x v="29"/>
    <x v="18"/>
    <m/>
    <m/>
    <m/>
    <m/>
    <m/>
    <m/>
    <m/>
    <d v="1899-12-30T14:00:00"/>
    <d v="1899-12-30T14:00:00"/>
    <n v="0"/>
    <m/>
    <m/>
  </r>
  <r>
    <s v="Bay 4&amp;5 - _x000a_Pumps"/>
    <x v="29"/>
    <x v="38"/>
    <s v="Diesel Driven CP Pump"/>
    <s v="CD150M-002"/>
    <s v="Pump overhaul"/>
    <d v="2026-01-05T00:00:00"/>
    <d v="2026-01-06T00:00:00"/>
    <m/>
    <m/>
    <d v="1899-12-30T14:00:00"/>
    <d v="1899-12-30T16:30:00"/>
    <n v="2.4999999999999991"/>
    <s v="Ongoing"/>
    <m/>
  </r>
  <r>
    <s v="Bay 4&amp;5 - _x000a_Pumps"/>
    <x v="29"/>
    <x v="0"/>
    <s v="Contractor dewatering Pump"/>
    <s v="CP150-175/CP150X2"/>
    <s v="Final fitting, PDI &amp; flowfinity/Vaccum repair"/>
    <d v="2026-01-06T00:00:00"/>
    <d v="2026-01-06T00:00:00"/>
    <m/>
    <m/>
    <d v="1899-12-30T14:00:00"/>
    <d v="1899-12-30T12:30:00"/>
    <n v="22.5"/>
    <s v="Ongoing"/>
    <m/>
  </r>
  <r>
    <s v="Bay 4&amp;5 - _x000a_Pumps"/>
    <x v="29"/>
    <x v="4"/>
    <s v="Contractor dewatering Pump"/>
    <s v="PT175-109"/>
    <s v="Engine assembling ongoing"/>
    <d v="2026-01-03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0:00:00"/>
    <n v="20"/>
    <m/>
    <m/>
  </r>
  <r>
    <s v="Bay 4&amp;5 - _x000a_Pumps"/>
    <x v="29"/>
    <x v="28"/>
    <s v="Contractor dewatering Pump"/>
    <s v="CP150-541"/>
    <s v="Pump assembling"/>
    <d v="2026-01-06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2:00:00"/>
    <n v="22"/>
    <m/>
    <m/>
  </r>
  <r>
    <s v="Bay 4&amp;5 - _x000a_Pumps"/>
    <x v="29"/>
    <x v="5"/>
    <s v="Contractor dewatering Pump"/>
    <s v="CP150-775"/>
    <s v="Engine &amp; pump repair ongoing, load test failed."/>
    <d v="2025-12-29T00:00:00"/>
    <d v="2026-01-06T00:00:00"/>
    <m/>
    <m/>
    <d v="1899-12-30T14:00:00"/>
    <d v="1899-12-30T17:30:00"/>
    <n v="3.4999999999999982"/>
    <s v="Ongoing"/>
    <m/>
  </r>
  <r>
    <s v="Bay 4&amp;5 - _x000a_Pumps"/>
    <x v="29"/>
    <x v="3"/>
    <s v="Contractor dewatering Pump"/>
    <s v="CP150-419"/>
    <s v="Pump prepare for water testing, load test failed."/>
    <d v="2026-01-03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2:00:00"/>
    <n v="22"/>
    <m/>
    <m/>
  </r>
  <r>
    <s v="Bay 4&amp;5 - _x000a_Pumps"/>
    <x v="29"/>
    <x v="1"/>
    <s v="Contractor dewatering Pump"/>
    <s v="PT175-531"/>
    <s v="pump assembling ongoing"/>
    <d v="2025-12-29T00:00:00"/>
    <d v="2026-01-06T00:00:00"/>
    <m/>
    <m/>
    <d v="1899-12-30T14:00:00"/>
    <d v="1899-12-30T17:30:00"/>
    <n v="3.4999999999999982"/>
    <s v="Ongoing"/>
    <m/>
  </r>
  <r>
    <s v="Bay 4&amp;5 - _x000a_Pumps"/>
    <x v="29"/>
    <x v="2"/>
    <m/>
    <m/>
    <m/>
    <m/>
    <m/>
    <m/>
    <m/>
    <d v="1899-12-30T14:00:00"/>
    <d v="1899-12-30T16:00:00"/>
    <n v="1.9999999999999982"/>
    <m/>
    <m/>
  </r>
  <r>
    <s v="Electrical"/>
    <x v="30"/>
    <x v="8"/>
    <s v="Panel"/>
    <s v="SPB2.2-061"/>
    <s v="Damaged canopy &amp; stand Replaced, repair test &amp; PDI"/>
    <d v="2026-01-07T00:00:00"/>
    <d v="2026-01-07T00:00:00"/>
    <m/>
    <m/>
    <d v="1899-12-30T06:30:00"/>
    <d v="1899-12-30T15:30:00"/>
    <n v="9.0000000000000018"/>
    <s v="Ongoing"/>
    <m/>
  </r>
  <r>
    <s v="Electrical"/>
    <x v="30"/>
    <x v="34"/>
    <s v="Panel"/>
    <s v="SPB7.5-025"/>
    <s v="Modification, adding canopy &amp; safety glass"/>
    <d v="2026-01-06T00:00:00"/>
    <d v="2026-01-07T00:00:00"/>
    <m/>
    <m/>
    <d v="1899-12-30T06:30:00"/>
    <d v="1899-12-30T15:30:00"/>
    <n v="9.0000000000000018"/>
    <s v="Ongoing"/>
    <m/>
  </r>
  <r>
    <s v="Electrical"/>
    <x v="30"/>
    <x v="33"/>
    <s v="Generator"/>
    <s v="GEN100-013"/>
    <s v="Alternator dismantled"/>
    <d v="2026-01-06T00:00:00"/>
    <d v="2026-01-07T00:00:00"/>
    <m/>
    <m/>
    <d v="1899-12-30T06:30:00"/>
    <d v="1899-12-30T17:30:00"/>
    <n v="11"/>
    <s v="Ongoing"/>
    <m/>
  </r>
  <r>
    <s v="Electrical"/>
    <x v="30"/>
    <x v="12"/>
    <m/>
    <m/>
    <m/>
    <m/>
    <m/>
    <m/>
    <m/>
    <d v="1899-12-30T06:30:00"/>
    <d v="1899-12-30T17:30:00"/>
    <n v="11"/>
    <m/>
    <m/>
  </r>
  <r>
    <s v="Electrical"/>
    <x v="30"/>
    <x v="35"/>
    <s v="Generator"/>
    <s v="GEN45-003"/>
    <s v="Power cable connection"/>
    <d v="2026-01-07T00:00:00"/>
    <d v="2026-01-07T00:00:00"/>
    <d v="2026-01-07T00:00:00"/>
    <m/>
    <d v="1899-12-30T06:30:00"/>
    <d v="1899-12-30T08:30:00"/>
    <n v="2.0000000000000009"/>
    <s v="Completed"/>
    <m/>
  </r>
  <r>
    <s v="Electrical"/>
    <x v="30"/>
    <x v="13"/>
    <s v="Submersible pump"/>
    <s v="SMSP3"/>
    <s v="75kw pump rewinding"/>
    <d v="2026-01-05T00:00:00"/>
    <d v="2026-01-07T00:00:00"/>
    <m/>
    <m/>
    <d v="1899-12-30T06:30:00"/>
    <d v="1899-12-30T15:30:00"/>
    <n v="9.0000000000000018"/>
    <s v="Ongoing"/>
    <m/>
  </r>
  <r>
    <s v="Electrical"/>
    <x v="30"/>
    <x v="24"/>
    <s v="Borehole pump"/>
    <s v="Old B:H pump"/>
    <s v="20nos pumps inspection &amp; repair"/>
    <d v="2026-01-06T00:00:00"/>
    <d v="2026-01-07T00:00:00"/>
    <m/>
    <m/>
    <d v="1899-12-30T07:30:00"/>
    <d v="1899-12-30T17:30:00"/>
    <n v="10"/>
    <s v="Ongoing"/>
    <m/>
  </r>
  <r>
    <s v="Electrical"/>
    <x v="30"/>
    <x v="15"/>
    <m/>
    <m/>
    <m/>
    <m/>
    <m/>
    <m/>
    <m/>
    <d v="1899-12-30T07:30:00"/>
    <d v="1899-12-30T17:30:00"/>
    <n v="10"/>
    <m/>
    <m/>
  </r>
  <r>
    <s v="Electrical"/>
    <x v="30"/>
    <x v="17"/>
    <s v="Submersible pump"/>
    <s v="SM530"/>
    <s v="Pump repair"/>
    <d v="2026-01-06T00:00:00"/>
    <d v="2026-01-07T00:00:00"/>
    <m/>
    <m/>
    <d v="1899-12-30T08:00:00"/>
    <d v="1899-12-30T15:30:00"/>
    <n v="7.5000000000000018"/>
    <s v="Ongoing"/>
    <m/>
  </r>
  <r>
    <s v="Electrical"/>
    <x v="30"/>
    <x v="14"/>
    <s v="Submersible pump"/>
    <s v="SWD60H"/>
    <s v="Pump repair"/>
    <d v="2026-01-06T00:00:00"/>
    <d v="2026-01-07T00:00:00"/>
    <m/>
    <m/>
    <d v="1899-12-30T06:30:00"/>
    <d v="1899-12-30T15:30:00"/>
    <n v="9.0000000000000018"/>
    <s v="Ongoing"/>
    <m/>
  </r>
  <r>
    <s v="Bay 6 -_x000a_Generator"/>
    <x v="30"/>
    <x v="7"/>
    <s v="Drill rig"/>
    <s v="DR-020"/>
    <s v="Repair on site, Drive track repair"/>
    <d v="2026-01-07T00:00:00"/>
    <d v="2026-01-07T00:00:00"/>
    <d v="2026-01-07T00:00:00"/>
    <m/>
    <d v="1899-12-30T06:30:00"/>
    <d v="1899-12-30T10:30:00"/>
    <n v="4"/>
    <s v="Completed"/>
    <m/>
  </r>
  <r>
    <s v="Bay 6 -_x000a_Generator"/>
    <x v="30"/>
    <x v="23"/>
    <s v="Tank"/>
    <s v="BFT3-329/324/326/342"/>
    <s v="Engine parts cleaning"/>
    <d v="2025-12-24T00:00:00"/>
    <d v="2026-01-07T00:00:00"/>
    <d v="2026-01-07T00:00:00"/>
    <m/>
    <d v="1899-12-30T06:30:00"/>
    <d v="1899-12-30T10:30:00"/>
    <n v="4"/>
    <s v="Completed"/>
    <m/>
  </r>
  <r>
    <s v="Bay 6 -_x000a_Generator"/>
    <x v="30"/>
    <x v="23"/>
    <s v="Tank"/>
    <s v="BFT3-331/319/345"/>
    <s v="Hose &amp; fittings fixing."/>
    <d v="2026-01-07T00:00:00"/>
    <d v="2026-01-07T00:00:00"/>
    <m/>
    <m/>
    <d v="1899-12-30T10:00:00"/>
    <d v="1899-12-30T15:30:00"/>
    <n v="5.5"/>
    <s v="Ongoing"/>
    <m/>
  </r>
  <r>
    <s v="Bay 6 -_x000a_Generator"/>
    <x v="30"/>
    <x v="6"/>
    <s v="Generator"/>
    <s v="GENJ250-047"/>
    <s v="Ac alternator motor removing"/>
    <d v="2026-01-07T00:00:00"/>
    <d v="2026-01-07T00:00:00"/>
    <d v="2026-01-07T00:00:00"/>
    <m/>
    <d v="1899-12-30T08:00:00"/>
    <d v="1899-12-30T10:00:00"/>
    <n v="2.0000000000000009"/>
    <s v="Completed"/>
    <m/>
  </r>
  <r>
    <s v="Bay 6 -_x000a_Generator"/>
    <x v="30"/>
    <x v="32"/>
    <m/>
    <m/>
    <m/>
    <m/>
    <m/>
    <m/>
    <m/>
    <d v="1899-12-30T08:00:00"/>
    <d v="1899-12-30T10:00:00"/>
    <n v="2.0000000000000009"/>
    <m/>
    <m/>
  </r>
  <r>
    <s v="Bay 6 -_x000a_Generator"/>
    <x v="30"/>
    <x v="6"/>
    <s v="Tank"/>
    <s v="BFT3-341/336/322"/>
    <s v="Hose &amp; fittings fixing."/>
    <d v="2026-01-07T00:00:00"/>
    <d v="2026-01-07T00:00:00"/>
    <m/>
    <m/>
    <d v="1899-12-30T10:30:00"/>
    <d v="1899-12-30T17:30:00"/>
    <n v="6.9999999999999991"/>
    <s v="Ongoing"/>
    <m/>
  </r>
  <r>
    <s v="Bay 6 -_x000a_Generator"/>
    <x v="30"/>
    <x v="32"/>
    <m/>
    <m/>
    <m/>
    <m/>
    <m/>
    <m/>
    <m/>
    <d v="1899-12-30T10:30:00"/>
    <d v="1899-12-30T17:30:00"/>
    <n v="6.9999999999999991"/>
    <m/>
    <m/>
  </r>
  <r>
    <s v="Bay 6 -_x000a_Generator"/>
    <x v="30"/>
    <x v="7"/>
    <s v="Diesel Driven CP Pump"/>
    <s v="CD150"/>
    <s v="Spare engine, general repair"/>
    <d v="2026-01-07T00:00:00"/>
    <d v="2026-01-07T00:00:00"/>
    <m/>
    <m/>
    <d v="1899-12-30T10:30:00"/>
    <d v="1899-12-30T15:30:00"/>
    <n v="5.0000000000000009"/>
    <s v="Ongoing"/>
    <m/>
  </r>
  <r>
    <s v="Bay 4&amp;5 - _x000a_Pumps"/>
    <x v="30"/>
    <x v="37"/>
    <s v="Diesel Driven CP Pump"/>
    <s v="CD150M-002"/>
    <s v="Installation test bay, wet testing"/>
    <d v="2026-01-07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0"/>
    <x v="20"/>
    <m/>
    <m/>
    <m/>
    <m/>
    <m/>
    <m/>
    <m/>
    <d v="1899-12-30T08:30:00"/>
    <d v="1899-12-30T17:30:00"/>
    <n v="8.9999999999999982"/>
    <m/>
    <m/>
  </r>
  <r>
    <s v="Bay 4&amp;5 - _x000a_Pumps"/>
    <x v="30"/>
    <x v="18"/>
    <s v="Other"/>
    <s v="Other"/>
    <s v="General work"/>
    <d v="2026-01-07T00:00:00"/>
    <d v="2026-01-07T00:00:00"/>
    <d v="2026-01-07T00:00:00"/>
    <m/>
    <d v="1899-12-30T08:30:00"/>
    <d v="1899-12-30T17:30:00"/>
    <n v="8.9999999999999982"/>
    <s v="Completed"/>
    <m/>
  </r>
  <r>
    <s v="Bay 4&amp;5 - _x000a_Pumps"/>
    <x v="30"/>
    <x v="18"/>
    <s v="Diesel Driven CP Pump"/>
    <s v="SCT600-01"/>
    <s v="Gearbox removing"/>
    <d v="2026-01-07T00:00:00"/>
    <d v="2026-01-07T00:00:00"/>
    <d v="2026-01-07T00:00:00"/>
    <m/>
    <d v="1899-12-30T10:00:00"/>
    <d v="1899-12-30T17:30:00"/>
    <n v="7.4999999999999982"/>
    <s v="Completed"/>
    <m/>
  </r>
  <r>
    <s v="Bay 4&amp;5 - _x000a_Pumps"/>
    <x v="30"/>
    <x v="38"/>
    <s v="Other"/>
    <s v="Drydock"/>
    <s v="Site work"/>
    <d v="2026-01-07T00:00:00"/>
    <d v="2026-01-07T00:00:00"/>
    <d v="2026-01-07T00:00:00"/>
    <m/>
    <d v="1899-12-30T06:30:00"/>
    <d v="1899-12-30T16:30:00"/>
    <n v="10"/>
    <s v="Completed"/>
    <m/>
  </r>
  <r>
    <s v="Bay 4&amp;5 - _x000a_Pumps"/>
    <x v="30"/>
    <x v="0"/>
    <s v="Contractor dewatering Pump"/>
    <s v="PT175-515/CP150V074"/>
    <s v="Final assembling PDI, flowfinity/Vaccum repair"/>
    <d v="2026-01-07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4"/>
    <s v="Contractor dewatering Pump"/>
    <s v="PT175-109"/>
    <s v="Engine assembling ongoing"/>
    <d v="2026-01-03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06:30:00"/>
    <d v="1899-12-30T08:30:00"/>
    <n v="2.0000000000000009"/>
    <m/>
    <m/>
  </r>
  <r>
    <s v="Bay 4&amp;5 - _x000a_Pumps"/>
    <x v="30"/>
    <x v="28"/>
    <s v="Contractor dewatering Pump"/>
    <s v="CP150-259"/>
    <s v="Pump assembling"/>
    <d v="2026-01-06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08:30:00"/>
    <d v="1899-12-30T10:30:00"/>
    <n v="1.9999999999999996"/>
    <m/>
    <m/>
  </r>
  <r>
    <s v="Bay 4&amp;5 - _x000a_Pumps"/>
    <x v="30"/>
    <x v="5"/>
    <s v="Contractor dewatering Pump"/>
    <s v="CP150-775"/>
    <s v="pump assembling &amp; water test"/>
    <d v="2025-12-29T00:00:00"/>
    <d v="2026-01-06T00:00:00"/>
    <d v="2026-01-06T00:00:00"/>
    <m/>
    <d v="1899-12-30T06:30:00"/>
    <d v="1899-12-30T17:30:00"/>
    <n v="11"/>
    <s v="Completed"/>
    <m/>
  </r>
  <r>
    <s v="Bay 4&amp;5 - _x000a_Pumps"/>
    <x v="30"/>
    <x v="3"/>
    <s v="Contractor dewatering Pump"/>
    <s v="CP150-419"/>
    <s v="Pump prepare for water testing,"/>
    <d v="2026-01-03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10:30:00"/>
    <d v="1899-12-30T12:00:00"/>
    <n v="1.5"/>
    <m/>
    <m/>
  </r>
  <r>
    <s v="Bay 4&amp;5 - _x000a_Pumps"/>
    <x v="30"/>
    <x v="3"/>
    <s v="Contractor dewatering Pump"/>
    <s v="CP150-845"/>
    <s v="Pump dismantled, prepare for assemble"/>
    <d v="2026-01-07T00:00:00"/>
    <d v="2026-01-07T00:00:00"/>
    <d v="2026-01-07T00:00:00"/>
    <m/>
    <d v="1899-12-30T10:00:00"/>
    <d v="1899-12-30T17:30:00"/>
    <n v="7.4999999999999982"/>
    <s v="Completed"/>
    <m/>
  </r>
  <r>
    <s v="Bay 4&amp;5 - _x000a_Pumps"/>
    <x v="30"/>
    <x v="1"/>
    <s v="Contractor dewatering Pump"/>
    <s v="PT175-531"/>
    <s v="pump assembling ongoing"/>
    <d v="2025-12-29T00:00:00"/>
    <d v="2026-01-07T00:00:00"/>
    <d v="2026-01-07T00:00:00"/>
    <m/>
    <d v="1899-12-30T06:30:00"/>
    <d v="1899-12-30T17:30:00"/>
    <n v="11"/>
    <s v="Completed"/>
    <m/>
  </r>
  <r>
    <s v="Bay 4&amp;5 - _x000a_Pumps"/>
    <x v="30"/>
    <x v="2"/>
    <m/>
    <m/>
    <m/>
    <m/>
    <m/>
    <m/>
    <m/>
    <d v="1899-12-30T14:00:00"/>
    <d v="1899-12-30T16:00:00"/>
    <n v="1.9999999999999982"/>
    <m/>
    <m/>
  </r>
  <r>
    <s v="Electrical"/>
    <x v="31"/>
    <x v="8"/>
    <s v="Other"/>
    <s v="DB-184"/>
    <s v="Repairing &amp; testing"/>
    <d v="2026-01-08T00:00:00"/>
    <d v="2026-01-08T00:00:00"/>
    <d v="2026-01-08T00:00:00"/>
    <m/>
    <d v="1899-12-30T06:30:00"/>
    <d v="1899-12-30T15:30:00"/>
    <n v="9.0000000000000018"/>
    <s v="Completed"/>
    <m/>
  </r>
  <r>
    <s v="Electrical"/>
    <x v="31"/>
    <x v="9"/>
    <s v="Panel"/>
    <s v="SPB2.2-034"/>
    <s v="Repairing &amp; testing"/>
    <d v="2026-01-08T00:00:00"/>
    <d v="2026-01-08T00:00:00"/>
    <m/>
    <m/>
    <d v="1899-12-30T08:00:00"/>
    <d v="1899-12-30T17:00:00"/>
    <n v="9.0000000000000018"/>
    <s v="Ongoing"/>
    <m/>
  </r>
  <r>
    <s v="Electrical"/>
    <x v="31"/>
    <x v="34"/>
    <s v="Panel"/>
    <s v="SPB7.5-025"/>
    <s v="Modification &amp; adding ELECB &amp; safety glass"/>
    <d v="2026-01-08T00:00:00"/>
    <d v="2026-01-08T00:00:00"/>
    <m/>
    <m/>
    <d v="1899-12-30T06:30:00"/>
    <d v="1899-12-30T15:30:00"/>
    <n v="9.0000000000000018"/>
    <s v="Ongoing"/>
    <m/>
  </r>
  <r>
    <s v="Electrical"/>
    <x v="31"/>
    <x v="33"/>
    <s v="Other"/>
    <s v="FM150-064/024/050"/>
    <s v="Inspection &amp; repair"/>
    <d v="2026-01-08T00:00:00"/>
    <d v="2026-01-08T00:00:00"/>
    <d v="2026-01-08T00:00:00"/>
    <m/>
    <d v="1899-12-30T13:00:00"/>
    <d v="1899-12-30T17:00:00"/>
    <n v="4.0000000000000018"/>
    <s v="Completed"/>
    <m/>
  </r>
  <r>
    <s v="Electrical"/>
    <x v="31"/>
    <x v="12"/>
    <m/>
    <m/>
    <m/>
    <m/>
    <m/>
    <m/>
    <m/>
    <d v="1899-12-30T13:00:00"/>
    <d v="1899-12-30T17:00:00"/>
    <n v="4.0000000000000018"/>
    <m/>
    <m/>
  </r>
  <r>
    <s v="Electrical"/>
    <x v="31"/>
    <x v="35"/>
    <s v="Submersible pump"/>
    <s v="SM530-379"/>
    <s v="Repair pump"/>
    <d v="2026-01-08T00:00:00"/>
    <d v="2026-01-08T00:00:00"/>
    <m/>
    <m/>
    <d v="1899-12-30T06:30:00"/>
    <d v="1899-12-30T15:30:00"/>
    <n v="9.0000000000000018"/>
    <s v="Ongoing"/>
    <m/>
  </r>
  <r>
    <s v="Electrical"/>
    <x v="31"/>
    <x v="13"/>
    <s v="Submersible pump"/>
    <s v="SMSP3"/>
    <s v="75kw pump rewinding"/>
    <d v="2026-01-05T00:00:00"/>
    <d v="2026-01-08T00:00:00"/>
    <m/>
    <m/>
    <d v="1899-12-30T06:30:00"/>
    <d v="1899-12-30T15:30:00"/>
    <n v="9.0000000000000018"/>
    <s v="Ongoing"/>
    <m/>
  </r>
  <r>
    <s v="Electrical"/>
    <x v="31"/>
    <x v="24"/>
    <s v="Borehole pump"/>
    <s v="Old B:H pump"/>
    <s v="20nos pumps inspection &amp; repair"/>
    <d v="2026-01-06T00:00:00"/>
    <d v="2026-01-08T00:00:00"/>
    <m/>
    <m/>
    <d v="1899-12-30T07:30:00"/>
    <d v="1899-12-30T17:30:00"/>
    <n v="10"/>
    <s v="Ongoing"/>
    <m/>
  </r>
  <r>
    <s v="Electrical"/>
    <x v="31"/>
    <x v="15"/>
    <m/>
    <m/>
    <m/>
    <m/>
    <m/>
    <m/>
    <m/>
    <d v="1899-12-30T07:30:00"/>
    <d v="1899-12-30T17:30:00"/>
    <n v="10"/>
    <m/>
    <m/>
  </r>
  <r>
    <s v="Electrical"/>
    <x v="31"/>
    <x v="17"/>
    <s v="Submersible pump"/>
    <s v="SM530-552"/>
    <s v="Pump repair"/>
    <d v="2026-01-06T00:00:00"/>
    <d v="2026-01-08T00:00:00"/>
    <m/>
    <m/>
    <d v="1899-12-30T06:30:00"/>
    <d v="1899-12-30T15:30:00"/>
    <n v="9.0000000000000018"/>
    <s v="Ongoing"/>
    <m/>
  </r>
  <r>
    <s v="Electrical"/>
    <x v="31"/>
    <x v="14"/>
    <s v="Submersible pump"/>
    <s v="SWD60H-002"/>
    <s v="Pump repair"/>
    <d v="2026-01-06T00:00:00"/>
    <d v="2026-01-08T00:00:00"/>
    <d v="2026-01-08T00:00:00"/>
    <m/>
    <d v="1899-12-30T06:30:00"/>
    <d v="1899-12-30T15:30:00"/>
    <n v="9.0000000000000018"/>
    <s v="Completed"/>
    <m/>
  </r>
  <r>
    <s v="Electrical"/>
    <x v="31"/>
    <x v="14"/>
    <s v="Other"/>
    <s v="SSD22-022"/>
    <s v="inspection &amp; dismantling"/>
    <d v="2026-01-08T00:00:00"/>
    <d v="2026-01-08T00:00:00"/>
    <d v="2026-01-08T00:00:00"/>
    <m/>
    <d v="1899-12-30T08:30:00"/>
    <d v="1899-12-30T17:30:00"/>
    <n v="8.9999999999999982"/>
    <s v="Completed"/>
    <m/>
  </r>
  <r>
    <s v="Bay 6 -_x000a_Generator"/>
    <x v="31"/>
    <x v="7"/>
    <s v="Contractor dewatering Pump"/>
    <s v="CD150"/>
    <s v="Spare engine starting &amp; general repair"/>
    <d v="2026-01-07T00:00:00"/>
    <d v="2026-01-08T00:00:00"/>
    <d v="2026-01-08T00:00:00"/>
    <m/>
    <d v="1899-12-30T06:30:00"/>
    <d v="1899-12-30T08:30:00"/>
    <n v="2.0000000000000009"/>
    <s v="Completed"/>
    <m/>
  </r>
  <r>
    <s v="Bay 6 -_x000a_Generator"/>
    <x v="31"/>
    <x v="23"/>
    <s v="Tank"/>
    <s v="BFT3-338/323/336"/>
    <s v="Main Cover removing, suction pipe tighten, hose &amp; fittings fixing."/>
    <d v="2026-01-08T00:00:00"/>
    <d v="2026-01-08T00:00:00"/>
    <d v="2026-01-08T00:00:00"/>
    <m/>
    <d v="1899-12-30T06:30:00"/>
    <d v="1899-12-30T11:00:00"/>
    <n v="4.5"/>
    <s v="Completed"/>
    <m/>
  </r>
  <r>
    <s v="Bay 6 -_x000a_Generator"/>
    <x v="31"/>
    <x v="6"/>
    <s v="Generator"/>
    <s v="GEN45-005"/>
    <s v="Canopy fitting, Load test &amp; final fitting"/>
    <d v="2026-01-06T00:00:00"/>
    <d v="2026-01-08T00:00:00"/>
    <d v="2026-01-08T00:00:00"/>
    <m/>
    <d v="1899-12-30T08:30:00"/>
    <d v="1899-12-30T11:30:00"/>
    <n v="3"/>
    <s v="Completed"/>
    <m/>
  </r>
  <r>
    <s v="Bay 6 -_x000a_Generator"/>
    <x v="31"/>
    <x v="32"/>
    <m/>
    <m/>
    <m/>
    <m/>
    <m/>
    <m/>
    <m/>
    <d v="1899-12-30T08:30:00"/>
    <d v="1899-12-30T11:30:00"/>
    <n v="3"/>
    <m/>
    <m/>
  </r>
  <r>
    <s v="Bay 6 -_x000a_Generator"/>
    <x v="31"/>
    <x v="6"/>
    <s v="Generator"/>
    <s v="GEN250-047"/>
    <s v="Parts cleaning, washing &amp; General work"/>
    <d v="2026-01-08T00:00:00"/>
    <d v="2026-01-08T00:00:00"/>
    <d v="2026-01-08T00:00:00"/>
    <m/>
    <d v="1899-12-30T15:30:00"/>
    <d v="1899-12-30T17:30:00"/>
    <n v="1.9999999999999982"/>
    <s v="Completed"/>
    <m/>
  </r>
  <r>
    <s v="Bay 6 -_x000a_Generator"/>
    <x v="31"/>
    <x v="32"/>
    <m/>
    <m/>
    <m/>
    <m/>
    <m/>
    <m/>
    <m/>
    <d v="1899-12-30T15:30:00"/>
    <d v="1899-12-30T17:30:00"/>
    <n v="1.9999999999999982"/>
    <m/>
    <m/>
  </r>
  <r>
    <s v="Bay 6 -_x000a_Generator"/>
    <x v="31"/>
    <x v="7"/>
    <s v="Contractor dewatering Pump"/>
    <s v="DR-20/CP150-190/v022/V006"/>
    <s v="Repair on site"/>
    <d v="2026-01-08T00:00:00"/>
    <d v="2026-01-08T00:00:00"/>
    <d v="2026-01-08T00:00:00"/>
    <m/>
    <d v="1899-12-30T08:30:00"/>
    <d v="1899-12-30T14:00:00"/>
    <n v="5.5"/>
    <s v="Completed"/>
    <m/>
  </r>
  <r>
    <s v="Bay 6 -_x000a_Generator"/>
    <x v="31"/>
    <x v="32"/>
    <s v="Generator"/>
    <s v="GEN250-047"/>
    <s v="Engine parts cleaning."/>
    <d v="2026-01-06T00:00:00"/>
    <d v="2026-01-08T00:00:00"/>
    <d v="2026-01-08T00:00:00"/>
    <m/>
    <d v="1899-12-30T13:00:00"/>
    <d v="1899-12-30T15:30:00"/>
    <n v="2.5000000000000018"/>
    <s v="Completed"/>
    <m/>
  </r>
  <r>
    <s v="Bay 6 -_x000a_Generator"/>
    <x v="31"/>
    <x v="23"/>
    <m/>
    <m/>
    <m/>
    <m/>
    <m/>
    <m/>
    <m/>
    <d v="1899-12-30T13:00:00"/>
    <d v="1899-12-30T15:30:00"/>
    <n v="2.5000000000000018"/>
    <m/>
    <m/>
  </r>
  <r>
    <s v="Bay 4&amp;5 - _x000a_Pumps"/>
    <x v="31"/>
    <x v="18"/>
    <s v="Diesel Driven CP Pump"/>
    <s v="CD300M-008"/>
    <s v="Coolant leakage repairing, PDI"/>
    <d v="2026-01-07T00:00:00"/>
    <d v="2026-01-15T00:00:00"/>
    <d v="2026-01-15T00:00:00"/>
    <m/>
    <d v="1899-12-30T06:30:00"/>
    <d v="1899-12-30T08:30:00"/>
    <n v="2.0000000000000009"/>
    <s v="Completed"/>
    <m/>
  </r>
  <r>
    <s v="Bay 4&amp;5 - _x000a_Pumps"/>
    <x v="31"/>
    <x v="20"/>
    <m/>
    <m/>
    <m/>
    <m/>
    <m/>
    <m/>
    <m/>
    <d v="1899-12-30T08:30:00"/>
    <d v="1899-12-30T17:30:00"/>
    <n v="8.9999999999999982"/>
    <m/>
    <m/>
  </r>
  <r>
    <s v="Bay 4&amp;5 - _x000a_Pumps"/>
    <x v="31"/>
    <x v="18"/>
    <s v="Diesel Driven CP Pump"/>
    <s v="SCT600-02"/>
    <s v="Gearbox removing"/>
    <d v="2026-01-07T00:00:00"/>
    <d v="2026-01-08T00:00:00"/>
    <d v="2026-01-08T00:00:00"/>
    <m/>
    <d v="1899-12-30T08:30:00"/>
    <d v="1899-12-30T13:00:00"/>
    <n v="4.4999999999999982"/>
    <s v="Completed"/>
    <m/>
  </r>
  <r>
    <s v="Bay 4&amp;5 - _x000a_Pumps"/>
    <x v="31"/>
    <x v="20"/>
    <m/>
    <m/>
    <m/>
    <m/>
    <m/>
    <m/>
    <m/>
    <d v="1899-12-30T08:30:00"/>
    <d v="1899-12-30T13:00:00"/>
    <n v="4.4999999999999982"/>
    <m/>
    <m/>
  </r>
  <r>
    <s v="Bay 4&amp;5 - _x000a_Pumps"/>
    <x v="31"/>
    <x v="37"/>
    <s v="Diesel Driven CP Pump"/>
    <s v="CD150M-002"/>
    <s v="Discharge manifold &amp; fuel connection installation."/>
    <d v="2026-01-08T00:00:00"/>
    <d v="2026-01-08T00:00:00"/>
    <d v="2026-01-08T00:00:00"/>
    <m/>
    <d v="1899-12-30T08:30:00"/>
    <d v="1899-12-30T10:30:00"/>
    <n v="1.9999999999999996"/>
    <s v="Completed"/>
    <m/>
  </r>
  <r>
    <s v="Bay 4&amp;5 - _x000a_Pumps"/>
    <x v="31"/>
    <x v="38"/>
    <s v="Diesel Driven CP Pump"/>
    <s v="KV550"/>
    <s v="Impeller removing"/>
    <d v="2026-01-08T00:00:00"/>
    <d v="2026-01-08T00:00:00"/>
    <m/>
    <m/>
    <d v="1899-12-30T10:30:00"/>
    <d v="1899-12-30T17:30:00"/>
    <n v="6.9999999999999991"/>
    <s v="Ongoing"/>
    <m/>
  </r>
  <r>
    <s v="Bay 4&amp;5 - _x000a_Pumps"/>
    <x v="31"/>
    <x v="37"/>
    <m/>
    <m/>
    <m/>
    <m/>
    <m/>
    <m/>
    <m/>
    <d v="1899-12-30T10:30:00"/>
    <d v="1899-12-30T17:30:00"/>
    <n v="6.9999999999999991"/>
    <m/>
    <m/>
  </r>
  <r>
    <s v="Bay 4&amp;5 - _x000a_Pumps"/>
    <x v="31"/>
    <x v="0"/>
    <s v="Contractor dewatering Pump"/>
    <s v="CP150X3"/>
    <s v="Vaccum pump repair"/>
    <d v="2026-01-08T00:00:00"/>
    <d v="2026-01-08T00:00:00"/>
    <d v="2026-01-08T00:00:00"/>
    <m/>
    <d v="1899-12-30T06:30:00"/>
    <d v="1899-12-30T17:00:00"/>
    <n v="10.500000000000002"/>
    <s v="Completed"/>
    <m/>
  </r>
  <r>
    <s v="Bay 4&amp;5 - _x000a_Pumps"/>
    <x v="31"/>
    <x v="4"/>
    <s v="Contractor dewatering Pump"/>
    <s v="PT175-541"/>
    <s v="Engine dismantling ongoing"/>
    <d v="2026-01-08T00:00:00"/>
    <d v="2026-01-08T00:00:00"/>
    <d v="2026-01-08T00:00:00"/>
    <m/>
    <d v="1899-12-30T06:30:00"/>
    <d v="1899-12-30T17:30:00"/>
    <n v="11"/>
    <s v="Completed"/>
    <m/>
  </r>
  <r>
    <s v="Bay 4&amp;5 - _x000a_Pumps"/>
    <x v="31"/>
    <x v="2"/>
    <m/>
    <m/>
    <m/>
    <m/>
    <m/>
    <m/>
    <m/>
    <d v="1899-12-30T06:30:00"/>
    <d v="1899-12-30T08:30:00"/>
    <n v="2.0000000000000009"/>
    <m/>
    <m/>
  </r>
  <r>
    <s v="Bay 4&amp;5 - _x000a_Pumps"/>
    <x v="31"/>
    <x v="28"/>
    <s v="Contractor dewatering Pump"/>
    <s v="CP150-259"/>
    <s v="Pump assembling"/>
    <d v="2026-01-06T00:00:00"/>
    <d v="2026-01-08T00:00:00"/>
    <d v="2026-01-08T00:00:00"/>
    <m/>
    <d v="1899-12-30T06:30:00"/>
    <d v="1899-12-30T08:30:00"/>
    <n v="2.0000000000000009"/>
    <s v="Completed"/>
    <m/>
  </r>
  <r>
    <s v="Bay 4&amp;5 - _x000a_Pumps"/>
    <x v="31"/>
    <x v="2"/>
    <m/>
    <m/>
    <m/>
    <m/>
    <m/>
    <m/>
    <m/>
    <d v="1899-12-30T08:30:00"/>
    <d v="1899-12-30T10:30:00"/>
    <n v="1.9999999999999996"/>
    <m/>
    <m/>
  </r>
  <r>
    <s v="Bay 4&amp;5 - _x000a_Pumps"/>
    <x v="31"/>
    <x v="5"/>
    <s v="Contractor dewatering Pump"/>
    <s v="CP150-775"/>
    <s v="pump minor repair"/>
    <d v="2025-12-29T00:00:00"/>
    <d v="2026-01-08T00:00:00"/>
    <d v="2026-01-08T00:00:00"/>
    <m/>
    <d v="1899-12-30T06:30:00"/>
    <d v="1899-12-30T09:30:00"/>
    <n v="3"/>
    <s v="Completed"/>
    <m/>
  </r>
  <r>
    <s v="Bay 4&amp;5 - _x000a_Pumps"/>
    <x v="31"/>
    <x v="28"/>
    <s v="Contractor dewatering Pump"/>
    <s v="JP232"/>
    <s v="Pump &amp; engine repair ongoing"/>
    <d v="2026-01-08T00:00:00"/>
    <d v="2026-01-08T00:00:00"/>
    <d v="2026-01-08T00:00:00"/>
    <m/>
    <d v="1899-12-30T08:30:00"/>
    <d v="1899-12-30T17:30:00"/>
    <n v="8.9999999999999982"/>
    <s v="Completed"/>
    <m/>
  </r>
  <r>
    <s v="Bay 4&amp;5 - _x000a_Pumps"/>
    <x v="31"/>
    <x v="3"/>
    <s v="Contractor dewatering Pump"/>
    <s v="CP150-845"/>
    <s v="Pump assembling"/>
    <d v="2026-01-07T00:00:00"/>
    <d v="2026-01-08T00:00:00"/>
    <d v="2026-01-08T00:00:00"/>
    <m/>
    <d v="1899-12-30T10:00:00"/>
    <d v="1899-12-30T17:30:00"/>
    <n v="7.4999999999999982"/>
    <s v="Completed"/>
    <m/>
  </r>
  <r>
    <s v="Bay 4&amp;5 - _x000a_Pumps"/>
    <x v="31"/>
    <x v="2"/>
    <m/>
    <m/>
    <m/>
    <m/>
    <m/>
    <m/>
    <m/>
    <d v="1899-12-30T10:30:00"/>
    <d v="1899-12-30T12:00:00"/>
    <n v="1.5"/>
    <m/>
    <m/>
  </r>
  <r>
    <s v="Bay 4&amp;5 - _x000a_Pumps"/>
    <x v="31"/>
    <x v="1"/>
    <s v="Contractor dewatering Pump"/>
    <s v="PT175-109"/>
    <s v="pump assembling &amp;water test"/>
    <d v="2026-01-04T00:00:00"/>
    <d v="2026-01-08T00:00:00"/>
    <d v="2026-01-08T00:00:00"/>
    <m/>
    <d v="1899-12-30T06:30:00"/>
    <d v="1899-12-30T17:30:00"/>
    <n v="11"/>
    <s v="Completed"/>
    <m/>
  </r>
  <r>
    <s v="Bay 4&amp;5 - _x000a_Pumps"/>
    <x v="31"/>
    <x v="2"/>
    <m/>
    <m/>
    <m/>
    <m/>
    <m/>
    <m/>
    <m/>
    <d v="1899-12-30T14:00:00"/>
    <d v="1899-12-30T16:00:00"/>
    <n v="1.9999999999999982"/>
    <m/>
    <m/>
  </r>
  <r>
    <s v="Electrical"/>
    <x v="32"/>
    <x v="8"/>
    <s v="Panel"/>
    <s v="ATS400-021"/>
    <s v="Repairing &amp; testing"/>
    <d v="2026-01-09T00:00:00"/>
    <d v="2026-01-09T00:00:00"/>
    <m/>
    <m/>
    <d v="1899-12-30T06:30:00"/>
    <d v="1899-12-30T15:30:00"/>
    <n v="9.0000000000000018"/>
    <s v="Ongoing"/>
    <m/>
  </r>
  <r>
    <s v="Electrical"/>
    <x v="32"/>
    <x v="9"/>
    <s v="Panel"/>
    <s v="SPB2.2-034"/>
    <s v="Repairing &amp; testing"/>
    <d v="2026-01-08T00:00:00"/>
    <d v="2026-01-09T00:00:00"/>
    <m/>
    <m/>
    <d v="1899-12-30T08:00:00"/>
    <d v="1899-12-30T17:00:00"/>
    <n v="9.0000000000000018"/>
    <s v="Ongoing"/>
    <m/>
  </r>
  <r>
    <s v="Electrical"/>
    <x v="32"/>
    <x v="34"/>
    <s v="Panel"/>
    <s v="SPB7.5-025"/>
    <s v="Modification &amp; adding ELECB &amp; safety glass"/>
    <d v="2026-01-08T00:00:00"/>
    <d v="2026-01-09T00:00:00"/>
    <m/>
    <m/>
    <d v="1899-12-30T06:30:00"/>
    <d v="1899-12-30T15:30:00"/>
    <n v="9.0000000000000018"/>
    <s v="Ongoing"/>
    <m/>
  </r>
  <r>
    <s v="Electrical"/>
    <x v="32"/>
    <x v="33"/>
    <s v="Generator"/>
    <s v="GEN250-047"/>
    <s v="inspection &amp; dismantling"/>
    <d v="2026-01-09T00:00:00"/>
    <d v="2026-01-09T00:00:00"/>
    <m/>
    <m/>
    <d v="1899-12-30T06:30:00"/>
    <d v="1899-12-30T17:30:00"/>
    <n v="11"/>
    <s v="Ongoing"/>
    <m/>
  </r>
  <r>
    <s v="Electrical"/>
    <x v="32"/>
    <x v="12"/>
    <m/>
    <m/>
    <m/>
    <m/>
    <m/>
    <m/>
    <m/>
    <d v="1899-12-30T06:30:00"/>
    <d v="1899-12-30T17:30:00"/>
    <n v="11"/>
    <m/>
    <m/>
  </r>
  <r>
    <s v="Electrical"/>
    <x v="32"/>
    <x v="35"/>
    <s v="Submersible pump"/>
    <s v="SM530-379"/>
    <s v="Repair &amp; assembling"/>
    <d v="2026-01-08T00:00:00"/>
    <d v="2026-01-10T00:00:00"/>
    <m/>
    <m/>
    <d v="1899-12-30T06:30:00"/>
    <d v="1899-12-30T15:30:00"/>
    <n v="9.0000000000000018"/>
    <s v="Completed"/>
    <m/>
  </r>
  <r>
    <s v="Electrical"/>
    <x v="32"/>
    <x v="13"/>
    <s v="Generator"/>
    <s v="GEN60-041"/>
    <s v="Inspection &amp; assembling"/>
    <d v="2026-01-09T00:00:00"/>
    <d v="2026-01-09T00:00:00"/>
    <m/>
    <m/>
    <d v="1899-12-30T06:30:00"/>
    <d v="1899-12-30T15:30:00"/>
    <n v="9.0000000000000018"/>
    <s v="Ongoing"/>
    <m/>
  </r>
  <r>
    <s v="Electrical"/>
    <x v="32"/>
    <x v="43"/>
    <s v="Submersible pump"/>
    <s v="SM530-286"/>
    <s v="Repairing &amp; assemble"/>
    <d v="2026-01-09T00:00:00"/>
    <d v="2026-01-10T00:00:00"/>
    <m/>
    <m/>
    <d v="1899-12-30T08:30:00"/>
    <d v="1899-12-30T17:30:00"/>
    <n v="8.9999999999999982"/>
    <s v="Ongoing"/>
    <m/>
  </r>
  <r>
    <s v="Electrical"/>
    <x v="32"/>
    <x v="24"/>
    <s v="Borehole pump"/>
    <s v="Old B:H pump"/>
    <s v="20nos pumps inspection &amp; repair"/>
    <d v="2026-01-06T00:00:00"/>
    <d v="2026-01-09T00:00:00"/>
    <m/>
    <m/>
    <d v="1899-12-30T08:30:00"/>
    <d v="1899-12-30T17:30:00"/>
    <n v="8.9999999999999982"/>
    <s v="Ongoing"/>
    <m/>
  </r>
  <r>
    <s v="Electrical"/>
    <x v="32"/>
    <x v="15"/>
    <m/>
    <m/>
    <m/>
    <m/>
    <m/>
    <m/>
    <m/>
    <d v="1899-12-30T08:30:00"/>
    <d v="1899-12-30T17:30:00"/>
    <n v="8.9999999999999982"/>
    <m/>
    <m/>
  </r>
  <r>
    <s v="Electrical"/>
    <x v="32"/>
    <x v="17"/>
    <s v="Submersible pump"/>
    <s v="SM530-334"/>
    <s v="Re-Winding"/>
    <d v="2026-01-09T00:00:00"/>
    <d v="2026-01-12T00:00:00"/>
    <m/>
    <m/>
    <d v="1899-12-30T06:30:00"/>
    <d v="1899-12-30T15:30:00"/>
    <n v="9.0000000000000018"/>
    <s v="Ongoing"/>
    <m/>
  </r>
  <r>
    <s v="Electrical"/>
    <x v="32"/>
    <x v="14"/>
    <s v="Submersible pump"/>
    <s v="SM530-552"/>
    <s v="Repairing &amp; assemble"/>
    <d v="2026-01-09T00:00:00"/>
    <d v="2026-01-10T00:00:00"/>
    <m/>
    <m/>
    <d v="1899-12-30T06:30:00"/>
    <d v="1899-12-30T15:30:00"/>
    <n v="9.0000000000000018"/>
    <s v="Completed"/>
    <m/>
  </r>
  <r>
    <s v="Bay 6 -_x000a_Generator"/>
    <x v="32"/>
    <x v="7"/>
    <s v="Generator"/>
    <s v="GEN250-047"/>
    <s v="Engine parts cleaning"/>
    <d v="2026-01-06T00:00:00"/>
    <d v="2026-01-09T00:00:00"/>
    <m/>
    <m/>
    <d v="1899-12-30T06:30:00"/>
    <d v="1899-12-30T15:30:00"/>
    <n v="9.0000000000000018"/>
    <s v="Hold"/>
    <m/>
  </r>
  <r>
    <s v="Bay 6 -_x000a_Generator"/>
    <x v="32"/>
    <x v="23"/>
    <m/>
    <m/>
    <m/>
    <m/>
    <m/>
    <m/>
    <m/>
    <d v="1899-12-30T06:30:00"/>
    <d v="1899-12-30T15:30:00"/>
    <n v="9.0000000000000018"/>
    <m/>
    <m/>
  </r>
  <r>
    <s v="Bay 6 -_x000a_Generator"/>
    <x v="32"/>
    <x v="7"/>
    <s v="Drill rig"/>
    <s v="DR-20"/>
    <s v="Repair on site"/>
    <d v="2026-01-09T00:00:00"/>
    <d v="2026-01-09T00:00:00"/>
    <m/>
    <m/>
    <d v="1899-12-30T09:00:00"/>
    <d v="1899-12-30T12:00:00"/>
    <n v="3"/>
    <s v="Completed"/>
    <m/>
  </r>
  <r>
    <s v="Bay 6 -_x000a_Generator"/>
    <x v="32"/>
    <x v="6"/>
    <s v="Other"/>
    <s v="General work"/>
    <s v="general work"/>
    <d v="2026-01-09T00:00:00"/>
    <d v="2026-01-09T00:00:00"/>
    <m/>
    <m/>
    <d v="1899-12-30T08:30:00"/>
    <d v="1899-12-30T12:30:00"/>
    <n v="4"/>
    <s v="Completed"/>
    <m/>
  </r>
  <r>
    <s v="Bay 6 -_x000a_Generator"/>
    <x v="32"/>
    <x v="32"/>
    <m/>
    <m/>
    <m/>
    <m/>
    <m/>
    <m/>
    <m/>
    <d v="1899-12-30T08:30:00"/>
    <d v="1899-12-30T12:30:00"/>
    <n v="4"/>
    <m/>
    <m/>
  </r>
  <r>
    <s v="Bay 6 -_x000a_Generator"/>
    <x v="32"/>
    <x v="6"/>
    <s v="Generator"/>
    <s v="GENS100-066"/>
    <s v="Genera repair, fuel tank cleaning, cable connection &amp; water test"/>
    <d v="2026-01-09T00:00:00"/>
    <d v="2026-01-09T00:00:00"/>
    <m/>
    <m/>
    <d v="1899-12-30T13:30:00"/>
    <d v="1899-12-30T17:30:00"/>
    <n v="3.9999999999999991"/>
    <s v="Completed"/>
    <m/>
  </r>
  <r>
    <s v="Bay 6 -_x000a_Generator"/>
    <x v="32"/>
    <x v="32"/>
    <m/>
    <m/>
    <m/>
    <m/>
    <m/>
    <m/>
    <m/>
    <d v="1899-12-30T13:30:00"/>
    <d v="1899-12-30T17:30:00"/>
    <n v="3.9999999999999991"/>
    <m/>
    <m/>
  </r>
  <r>
    <s v="Bay 6 -_x000a_Generator"/>
    <x v="32"/>
    <x v="13"/>
    <m/>
    <m/>
    <m/>
    <m/>
    <m/>
    <m/>
    <m/>
    <d v="1899-12-30T13:30:00"/>
    <d v="1899-12-30T17:30:00"/>
    <n v="3.9999999999999991"/>
    <m/>
    <m/>
  </r>
  <r>
    <s v="Bay 4&amp;5 - _x000a_Pumps"/>
    <x v="32"/>
    <x v="18"/>
    <s v="Other"/>
    <s v="0il seperator/01/02/03"/>
    <s v="Inspection &amp; filter replacement"/>
    <d v="2026-01-09T00:00:00"/>
    <d v="2026-01-09T00:00:00"/>
    <m/>
    <m/>
    <d v="1899-12-30T06:30:00"/>
    <d v="1899-12-30T12:00:00"/>
    <n v="5.5"/>
    <s v="Completed"/>
    <m/>
  </r>
  <r>
    <s v="Bay 4&amp;5 - _x000a_Pumps"/>
    <x v="32"/>
    <x v="20"/>
    <m/>
    <m/>
    <m/>
    <m/>
    <m/>
    <m/>
    <m/>
    <d v="1899-12-30T06:30:00"/>
    <d v="1899-12-30T12:00:00"/>
    <n v="5.5"/>
    <m/>
    <m/>
  </r>
  <r>
    <s v="Bay 4&amp;5 - _x000a_Pumps"/>
    <x v="32"/>
    <x v="18"/>
    <s v="Diesel Driven CP Pump"/>
    <s v="KV550"/>
    <s v="Impeller removing"/>
    <d v="2026-01-09T00:00:00"/>
    <d v="2026-01-09T00:00:00"/>
    <m/>
    <m/>
    <d v="1899-12-30T12:00:00"/>
    <d v="1899-12-30T15:30:00"/>
    <n v="3.5000000000000009"/>
    <s v="Ongoing"/>
    <m/>
  </r>
  <r>
    <s v="Bay 4&amp;5 - _x000a_Pumps"/>
    <x v="32"/>
    <x v="20"/>
    <m/>
    <m/>
    <m/>
    <m/>
    <m/>
    <m/>
    <m/>
    <d v="1899-12-30T12:00:00"/>
    <d v="1899-12-30T15:30:00"/>
    <n v="3.5000000000000009"/>
    <m/>
    <m/>
  </r>
  <r>
    <s v="Bay 4&amp;5 - _x000a_Pumps"/>
    <x v="32"/>
    <x v="38"/>
    <s v="Diesel Driven CP Pump"/>
    <s v="Vaccum pump"/>
    <s v="Vaccum pump repairing"/>
    <d v="2026-01-09T00:00:00"/>
    <d v="2026-01-09T00:00:00"/>
    <m/>
    <m/>
    <d v="1899-12-30T08:30:00"/>
    <d v="1899-12-30T10:30:00"/>
    <n v="1.9999999999999996"/>
    <s v="Completed"/>
    <m/>
  </r>
  <r>
    <s v="Bay 4&amp;5 - _x000a_Pumps"/>
    <x v="32"/>
    <x v="37"/>
    <m/>
    <m/>
    <m/>
    <m/>
    <m/>
    <m/>
    <m/>
    <d v="1899-12-30T08:30:00"/>
    <d v="1899-12-30T10:30:00"/>
    <n v="1.9999999999999996"/>
    <m/>
    <m/>
  </r>
  <r>
    <s v="Bay 4&amp;5 - _x000a_Pumps"/>
    <x v="32"/>
    <x v="38"/>
    <s v="Diesel Driven CP Pump"/>
    <s v="CP108-04"/>
    <s v="Washing &amp; oil sump removing"/>
    <d v="2026-01-09T00:00:00"/>
    <d v="2026-01-09T00:00:00"/>
    <m/>
    <m/>
    <d v="1899-12-30T10:30:00"/>
    <d v="1899-12-30T17:30:00"/>
    <n v="6.9999999999999991"/>
    <s v="Ongoing"/>
    <m/>
  </r>
  <r>
    <s v="Bay 4&amp;5 - _x000a_Pumps"/>
    <x v="32"/>
    <x v="37"/>
    <m/>
    <m/>
    <m/>
    <m/>
    <m/>
    <m/>
    <m/>
    <d v="1899-12-30T10:30:00"/>
    <d v="1899-12-30T17:30:00"/>
    <n v="6.9999999999999991"/>
    <m/>
    <m/>
  </r>
  <r>
    <s v="Bay 4&amp;5 - _x000a_Pumps"/>
    <x v="32"/>
    <x v="0"/>
    <s v="Contractor dewatering Pump"/>
    <s v="CP150X4"/>
    <s v="Vaccum pump repair"/>
    <d v="2026-01-09T00:00:00"/>
    <d v="2026-01-09T00:00:00"/>
    <m/>
    <m/>
    <d v="1899-12-30T06:30:00"/>
    <d v="1899-12-30T17:30:00"/>
    <n v="11"/>
    <s v="Completed"/>
    <m/>
  </r>
  <r>
    <s v="Bay 4&amp;5 - _x000a_Pumps"/>
    <x v="32"/>
    <x v="4"/>
    <s v="Contractor dewatering Pump"/>
    <s v="PT175-541"/>
    <s v="Engine assemblingg ongoing"/>
    <d v="2026-01-08T00:00:00"/>
    <d v="2026-01-09T00:00:00"/>
    <m/>
    <m/>
    <d v="1899-12-30T06:30:00"/>
    <d v="1899-12-30T17:30:00"/>
    <n v="11"/>
    <s v="Completed"/>
    <m/>
  </r>
  <r>
    <s v="Bay 4&amp;5 - _x000a_Pumps"/>
    <x v="32"/>
    <x v="2"/>
    <m/>
    <m/>
    <m/>
    <m/>
    <m/>
    <m/>
    <m/>
    <d v="1899-12-30T06:30:00"/>
    <d v="1899-12-30T08:30:00"/>
    <n v="2.0000000000000009"/>
    <m/>
    <m/>
  </r>
  <r>
    <s v="Bay 4&amp;5 - _x000a_Pumps"/>
    <x v="32"/>
    <x v="28"/>
    <s v="Contractor dewatering Pump"/>
    <s v="CP150-614"/>
    <s v="Engine cylinder head removing &amp; dismantling"/>
    <d v="2026-01-09T00:00:00"/>
    <d v="2026-01-09T00:00:00"/>
    <m/>
    <m/>
    <d v="1899-12-30T10:30:00"/>
    <d v="1899-12-30T17:30:00"/>
    <n v="6.9999999999999991"/>
    <s v="Completed"/>
    <m/>
  </r>
  <r>
    <s v="Bay 4&amp;5 - _x000a_Pumps"/>
    <x v="32"/>
    <x v="2"/>
    <m/>
    <m/>
    <m/>
    <m/>
    <m/>
    <m/>
    <m/>
    <d v="1899-12-30T08:30:00"/>
    <d v="1899-12-30T10:30:00"/>
    <n v="1.9999999999999996"/>
    <m/>
    <m/>
  </r>
  <r>
    <s v="Bay 4&amp;5 - _x000a_Pumps"/>
    <x v="32"/>
    <x v="5"/>
    <s v="Contractor dewatering Pump"/>
    <s v="CP150-856"/>
    <s v="pump prepare for assembling"/>
    <d v="2026-01-08T00:00:00"/>
    <d v="2026-01-09T00:00:00"/>
    <m/>
    <m/>
    <d v="1899-12-30T06:30:00"/>
    <d v="1899-12-30T09:30:00"/>
    <n v="3"/>
    <s v="Ongoing"/>
    <m/>
  </r>
  <r>
    <s v="Bay 4&amp;5 - _x000a_Pumps"/>
    <x v="32"/>
    <x v="28"/>
    <s v="Contractor dewatering Pump"/>
    <s v="JP232"/>
    <s v="Pump &amp; engine repair ongoing"/>
    <d v="2026-01-08T00:00:00"/>
    <d v="2026-01-09T00:00:00"/>
    <m/>
    <m/>
    <d v="1899-12-30T06:30:00"/>
    <d v="1899-12-30T17:30:00"/>
    <n v="11"/>
    <s v="Completed"/>
    <m/>
  </r>
  <r>
    <s v="Bay 4&amp;5 - _x000a_Pumps"/>
    <x v="32"/>
    <x v="3"/>
    <s v="Contractor dewatering Pump"/>
    <s v="CP150-184"/>
    <s v="Engine assembling"/>
    <d v="2026-01-07T00:00:00"/>
    <d v="2026-01-09T00:00:00"/>
    <m/>
    <m/>
    <d v="1899-12-30T06:30:00"/>
    <d v="1899-12-30T17:30:00"/>
    <n v="11"/>
    <s v="Completed"/>
    <m/>
  </r>
  <r>
    <s v="Bay 4&amp;5 - _x000a_Pumps"/>
    <x v="32"/>
    <x v="2"/>
    <m/>
    <m/>
    <m/>
    <m/>
    <m/>
    <m/>
    <m/>
    <d v="1899-12-30T10:30:00"/>
    <d v="1899-12-30T12:00:00"/>
    <n v="1.5"/>
    <m/>
    <m/>
  </r>
  <r>
    <s v="Bay 4&amp;5 - _x000a_Pumps"/>
    <x v="32"/>
    <x v="1"/>
    <s v="Contractor dewatering Pump"/>
    <s v="PT175-531"/>
    <s v="pump repair &amp;water test"/>
    <d v="2026-01-04T00:00:00"/>
    <d v="2026-01-09T00:00:00"/>
    <m/>
    <m/>
    <d v="1899-12-30T06:30:00"/>
    <d v="1899-12-30T15:30:00"/>
    <n v="9.0000000000000018"/>
    <s v="Completed"/>
    <m/>
  </r>
  <r>
    <s v="Bay 4&amp;5 - _x000a_Pumps"/>
    <x v="32"/>
    <x v="2"/>
    <m/>
    <m/>
    <m/>
    <m/>
    <m/>
    <m/>
    <m/>
    <d v="1899-12-30T14:00:00"/>
    <d v="1899-12-30T16:00:00"/>
    <n v="1.9999999999999982"/>
    <m/>
    <m/>
  </r>
  <r>
    <s v="Bay 4&amp;5 - _x000a_Pumps"/>
    <x v="32"/>
    <x v="1"/>
    <s v="Contractor dewatering Pump"/>
    <s v="PT175-541"/>
    <s v="Pump repair &amp; engine testing"/>
    <d v="2026-01-09T00:00:00"/>
    <d v="2026-01-09T00:00:00"/>
    <m/>
    <m/>
    <d v="1899-12-30T15:30:00"/>
    <d v="1899-12-30T17:30:00"/>
    <n v="1.9999999999999982"/>
    <s v="Completed"/>
    <m/>
  </r>
  <r>
    <s v="Electrical"/>
    <x v="33"/>
    <x v="8"/>
    <s v="Panel"/>
    <s v="SPB-022"/>
    <s v="Repairing &amp; testing"/>
    <d v="2026-01-09T00:00:00"/>
    <d v="2026-01-10T00:00:00"/>
    <m/>
    <m/>
    <d v="1899-12-30T06:30:00"/>
    <d v="1899-12-30T15:30:00"/>
    <n v="9.0000000000000018"/>
    <s v="Ongoing"/>
    <m/>
  </r>
  <r>
    <s v="Electrical"/>
    <x v="33"/>
    <x v="9"/>
    <s v="Panel"/>
    <s v="SPB2.2-034"/>
    <s v="Repairing &amp; testing"/>
    <d v="2026-01-08T00:00:00"/>
    <d v="2026-01-10T00:00:00"/>
    <m/>
    <m/>
    <d v="1899-12-30T08:00:00"/>
    <d v="1899-12-30T17:00:00"/>
    <n v="9.0000000000000018"/>
    <s v="Ongoing"/>
    <m/>
  </r>
  <r>
    <s v="Electrical"/>
    <x v="33"/>
    <x v="34"/>
    <s v="Panel"/>
    <s v="SPB7.5-025"/>
    <s v="Modification &amp; adding ELECB &amp; safety glass"/>
    <d v="2026-01-08T00:00:00"/>
    <d v="2026-01-10T00:00:00"/>
    <m/>
    <m/>
    <d v="1899-12-30T06:30:00"/>
    <d v="1899-12-30T15:30:00"/>
    <n v="9.0000000000000018"/>
    <s v="Ongoing"/>
    <m/>
  </r>
  <r>
    <s v="Electrical"/>
    <x v="33"/>
    <x v="33"/>
    <s v="Generator"/>
    <s v="GEN150-013"/>
    <s v="inspection &amp; assemble"/>
    <d v="2026-01-09T00:00:00"/>
    <d v="2026-01-10T00:00:00"/>
    <d v="2026-01-10T00:00:00"/>
    <m/>
    <d v="1899-12-30T06:30:00"/>
    <d v="1899-12-30T12:00:00"/>
    <n v="5.5"/>
    <s v="Completed"/>
    <m/>
  </r>
  <r>
    <s v="Electrical"/>
    <x v="33"/>
    <x v="12"/>
    <m/>
    <m/>
    <m/>
    <m/>
    <m/>
    <m/>
    <m/>
    <d v="1899-12-30T06:30:00"/>
    <d v="1899-12-30T12:00:00"/>
    <n v="5.5"/>
    <m/>
    <m/>
  </r>
  <r>
    <s v="Electrical"/>
    <x v="33"/>
    <x v="35"/>
    <s v="Submersible pump"/>
    <s v="SM530-286"/>
    <s v="Repair &amp; assemble"/>
    <d v="2026-01-10T00:00:00"/>
    <d v="2026-01-10T00:00:00"/>
    <m/>
    <m/>
    <d v="1899-12-30T06:30:00"/>
    <d v="1899-12-30T15:30:00"/>
    <n v="9.0000000000000018"/>
    <s v="Ongoing"/>
    <m/>
  </r>
  <r>
    <s v="Electrical"/>
    <x v="33"/>
    <x v="13"/>
    <s v="Generator"/>
    <s v="GEN60-041"/>
    <s v="Inspection &amp; assembling"/>
    <d v="2026-01-09T00:00:00"/>
    <d v="2026-01-10T00:00:00"/>
    <d v="2026-01-10T00:00:00"/>
    <m/>
    <d v="1899-12-30T06:30:00"/>
    <d v="1899-12-30T12:00:00"/>
    <n v="5.5"/>
    <s v="Completed"/>
    <m/>
  </r>
  <r>
    <s v="Electrical"/>
    <x v="33"/>
    <x v="43"/>
    <s v="Submersible pump"/>
    <s v="SM1002-146"/>
    <s v="Repairing &amp; assemble"/>
    <d v="2026-01-09T00:00:00"/>
    <d v="2026-01-10T00:00:00"/>
    <m/>
    <m/>
    <d v="1899-12-30T08:30:00"/>
    <d v="1899-12-30T17:30:00"/>
    <n v="8.9999999999999982"/>
    <s v="Ongoing"/>
    <m/>
  </r>
  <r>
    <s v="Electrical"/>
    <x v="33"/>
    <x v="24"/>
    <s v="Borehole pump"/>
    <s v="Old B:H pump"/>
    <s v="8nos B:H pumps water testing"/>
    <d v="2026-01-10T00:00:00"/>
    <d v="2026-01-10T00:00:00"/>
    <d v="2026-01-10T00:00:00"/>
    <m/>
    <d v="1899-12-30T08:30:00"/>
    <d v="1899-12-30T17:30:00"/>
    <n v="8.9999999999999982"/>
    <s v="Completed"/>
    <m/>
  </r>
  <r>
    <s v="Electrical"/>
    <x v="33"/>
    <x v="15"/>
    <m/>
    <m/>
    <m/>
    <m/>
    <m/>
    <m/>
    <m/>
    <d v="1899-12-30T08:30:00"/>
    <d v="1899-12-30T17:30:00"/>
    <n v="8.9999999999999982"/>
    <m/>
    <m/>
  </r>
  <r>
    <s v="Electrical"/>
    <x v="33"/>
    <x v="17"/>
    <s v="Submersible pump"/>
    <s v="SM530-334"/>
    <s v="Re-Winding"/>
    <d v="2026-01-09T00:00:00"/>
    <d v="2026-01-12T00:00:00"/>
    <d v="2026-01-12T00:00:00"/>
    <m/>
    <d v="1899-12-30T06:30:00"/>
    <d v="1899-12-30T15:30:00"/>
    <n v="9.0000000000000018"/>
    <s v="Completed"/>
    <m/>
  </r>
  <r>
    <s v="Electrical"/>
    <x v="33"/>
    <x v="14"/>
    <s v="Other"/>
    <s v="KTZ2-62-74"/>
    <s v="13nos new pumps inspection &amp; 16amp socket fixing"/>
    <d v="2026-01-10T00:00:00"/>
    <d v="2026-01-10T00:00:00"/>
    <m/>
    <m/>
    <d v="1899-12-30T06:30:00"/>
    <d v="1899-12-30T15:30:00"/>
    <n v="9.0000000000000018"/>
    <s v="Ongoing"/>
    <m/>
  </r>
  <r>
    <s v="Bay 6 -_x000a_Generator"/>
    <x v="33"/>
    <x v="7"/>
    <s v="Generator"/>
    <s v="GEN250-047"/>
    <s v="Engine assembling, cylinder head &amp; block cleaning"/>
    <d v="2026-01-06T00:00:00"/>
    <d v="2026-01-09T00:00:00"/>
    <m/>
    <m/>
    <d v="1899-12-30T06:30:00"/>
    <d v="1899-12-30T15:30:00"/>
    <n v="9.0000000000000018"/>
    <s v="Ongoing"/>
    <m/>
  </r>
  <r>
    <s v="Bay 6 -_x000a_Generator"/>
    <x v="33"/>
    <x v="23"/>
    <m/>
    <m/>
    <m/>
    <m/>
    <m/>
    <m/>
    <m/>
    <d v="1899-12-30T07:30:00"/>
    <d v="1899-12-30T15:30:00"/>
    <n v="8"/>
    <m/>
    <m/>
  </r>
  <r>
    <s v="Bay 6 -_x000a_Generator"/>
    <x v="33"/>
    <x v="23"/>
    <s v="Tank"/>
    <s v="BFT3-332"/>
    <s v="Flowfintity"/>
    <d v="2026-01-10T00:00:00"/>
    <d v="2026-01-10T00:00:00"/>
    <d v="2026-01-10T00:00:00"/>
    <m/>
    <d v="1899-12-30T06:30:00"/>
    <d v="1899-12-30T07:00:00"/>
    <n v="0.50000000000000089"/>
    <s v="Completed"/>
    <m/>
  </r>
  <r>
    <s v="Bay 6 -_x000a_Generator"/>
    <x v="33"/>
    <x v="6"/>
    <s v="Generator"/>
    <s v="GEN100-066"/>
    <s v="Water pump &amp; belt fixed, load test failed."/>
    <d v="2026-01-10T00:00:00"/>
    <d v="2026-01-10T00:00:00"/>
    <m/>
    <m/>
    <d v="1899-12-30T08:30:00"/>
    <d v="1899-12-30T13:00:00"/>
    <n v="4.4999999999999982"/>
    <s v="Ongoing"/>
    <m/>
  </r>
  <r>
    <s v="Bay 6 -_x000a_Generator"/>
    <x v="33"/>
    <x v="32"/>
    <m/>
    <m/>
    <m/>
    <m/>
    <m/>
    <m/>
    <m/>
    <d v="1899-12-30T08:30:00"/>
    <d v="1899-12-30T13:00:00"/>
    <n v="4.4999999999999982"/>
    <m/>
    <m/>
  </r>
  <r>
    <s v="Bay 6 -_x000a_Generator"/>
    <x v="33"/>
    <x v="6"/>
    <s v="Other"/>
    <s v="General work"/>
    <s v="General work"/>
    <d v="2026-01-10T00:00:00"/>
    <d v="2026-01-10T00:00:00"/>
    <m/>
    <m/>
    <d v="1899-12-30T14:00:00"/>
    <d v="1899-12-30T17:30:00"/>
    <n v="3.4999999999999982"/>
    <s v="Ongoing"/>
    <m/>
  </r>
  <r>
    <s v="Bay 4&amp;5 - _x000a_Pumps"/>
    <x v="33"/>
    <x v="18"/>
    <s v="Diesel Driven CP Pump"/>
    <s v="KV550"/>
    <s v="Impeller removing, defuser installation."/>
    <d v="2026-01-09T00:00:00"/>
    <d v="2026-01-10T00:00:00"/>
    <d v="2026-01-10T00:00:00"/>
    <m/>
    <d v="1899-12-30T06:30:00"/>
    <d v="1899-12-30T15:30:00"/>
    <n v="9.0000000000000018"/>
    <s v="Completed"/>
    <m/>
  </r>
  <r>
    <s v="Bay 4&amp;5 - _x000a_Pumps"/>
    <x v="33"/>
    <x v="20"/>
    <m/>
    <m/>
    <m/>
    <m/>
    <m/>
    <m/>
    <m/>
    <d v="1899-12-30T06:30:00"/>
    <d v="1899-12-30T15:30:00"/>
    <n v="9.0000000000000018"/>
    <m/>
    <m/>
  </r>
  <r>
    <s v="Bay 4&amp;5 - _x000a_Pumps"/>
    <x v="33"/>
    <x v="38"/>
    <s v="Diesel Driven CP Pump"/>
    <s v="CD225M-03"/>
    <s v="Pump end overhauling"/>
    <d v="2026-01-09T00:00:00"/>
    <d v="2026-01-10T00:00:00"/>
    <d v="2026-01-10T00:00:00"/>
    <m/>
    <d v="1899-12-30T15:30:00"/>
    <d v="1899-12-30T17:30:00"/>
    <n v="1.9999999999999982"/>
    <s v="Completed"/>
    <m/>
  </r>
  <r>
    <s v="Bay 4&amp;5 - _x000a_Pumps"/>
    <x v="33"/>
    <x v="37"/>
    <m/>
    <m/>
    <m/>
    <m/>
    <m/>
    <m/>
    <m/>
    <d v="1899-12-30T15:30:00"/>
    <d v="1899-12-30T17:30:00"/>
    <n v="1.9999999999999982"/>
    <m/>
    <m/>
  </r>
  <r>
    <s v="Bay 4&amp;5 - _x000a_Pumps"/>
    <x v="33"/>
    <x v="0"/>
    <s v="Contractor dewatering Pump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4"/>
    <s v="Contractor dewatering Pump"/>
    <s v="PT175-541"/>
    <s v="Engine assemblingg ongoing"/>
    <d v="2026-01-08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06:30:00"/>
    <d v="1899-12-30T08:30:00"/>
    <n v="2.0000000000000009"/>
    <m/>
    <m/>
  </r>
  <r>
    <s v="Bay 4&amp;5 - _x000a_Pumps"/>
    <x v="33"/>
    <x v="28"/>
    <s v="Contractor dewatering Pump"/>
    <s v="CP150-614"/>
    <s v="Engine prepare for top overhaul"/>
    <d v="2026-01-09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08:30:00"/>
    <d v="1899-12-30T10:30:00"/>
    <n v="1.9999999999999996"/>
    <m/>
    <m/>
  </r>
  <r>
    <s v="Bay 4&amp;5 - _x000a_Pumps"/>
    <x v="33"/>
    <x v="3"/>
    <s v="Contractor dewatering Pump"/>
    <s v="CP150-184"/>
    <s v="Engine assembling"/>
    <d v="2026-01-07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10:30:00"/>
    <d v="1899-12-30T12:00:00"/>
    <n v="1.5"/>
    <m/>
    <m/>
  </r>
  <r>
    <s v="Bay 4&amp;5 - _x000a_Pumps"/>
    <x v="33"/>
    <x v="1"/>
    <s v="Contractor dewatering Pump"/>
    <s v="PT175-541"/>
    <s v="Engine fitting &amp; water test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3"/>
    <x v="2"/>
    <m/>
    <m/>
    <m/>
    <m/>
    <m/>
    <m/>
    <m/>
    <d v="1899-12-30T14:00:00"/>
    <d v="1899-12-30T16:00:00"/>
    <n v="1.9999999999999982"/>
    <m/>
    <m/>
  </r>
  <r>
    <s v="Bay 4&amp;5 - _x000a_Pumps"/>
    <x v="33"/>
    <x v="5"/>
    <s v="Contractor dewatering Pump"/>
    <s v="CP150-856"/>
    <s v="Pump assembling"/>
    <d v="2026-01-10T00:00:00"/>
    <d v="2026-01-10T00:00:00"/>
    <d v="2026-01-10T00:00:00"/>
    <m/>
    <d v="1899-12-30T06:30:00"/>
    <d v="1899-12-30T17:30:00"/>
    <n v="11"/>
    <s v="Completed"/>
    <m/>
  </r>
  <r>
    <s v="Electrical"/>
    <x v="34"/>
    <x v="8"/>
    <s v="Panel"/>
    <s v="SPB-022"/>
    <s v="Repairing &amp; testing"/>
    <d v="2026-01-09T00:00:00"/>
    <d v="2026-01-12T00:00:00"/>
    <d v="2026-01-12T00:00:00"/>
    <m/>
    <d v="1899-12-30T06:30:00"/>
    <d v="1899-12-30T15:30:00"/>
    <n v="9.0000000000000018"/>
    <s v="Completed"/>
    <m/>
  </r>
  <r>
    <s v="Electrical"/>
    <x v="34"/>
    <x v="9"/>
    <s v="Panel"/>
    <s v="SPB2.2-034"/>
    <s v="Repairing &amp; testing"/>
    <d v="2026-01-08T00:00:00"/>
    <d v="2026-01-10T00:00:00"/>
    <m/>
    <m/>
    <d v="1899-12-30T08:00:00"/>
    <d v="1899-12-30T17:00:00"/>
    <n v="9.0000000000000018"/>
    <s v="Ongoing"/>
    <m/>
  </r>
  <r>
    <s v="Electrical"/>
    <x v="34"/>
    <x v="34"/>
    <s v="Panel"/>
    <s v="SPB7.5-025"/>
    <s v="Modification &amp; adding ELECB &amp; safety glass fixing"/>
    <d v="2026-01-08T00:00:00"/>
    <d v="2026-01-10T00:00:00"/>
    <d v="2026-01-10T00:00:00"/>
    <m/>
    <d v="1899-12-30T06:30:00"/>
    <d v="1899-12-30T15:30:00"/>
    <n v="9.0000000000000018"/>
    <s v="Completed"/>
    <m/>
  </r>
  <r>
    <s v="Electrical"/>
    <x v="34"/>
    <x v="33"/>
    <s v="Generator"/>
    <s v="GENJ150-058"/>
    <s v="inspection &amp; assemble"/>
    <d v="2026-01-12T00:00:00"/>
    <d v="2026-01-12T00:00:00"/>
    <m/>
    <m/>
    <d v="1899-12-30T06:30:00"/>
    <d v="1899-12-30T13:00:00"/>
    <n v="6.5"/>
    <s v="Ongoing"/>
    <m/>
  </r>
  <r>
    <s v="Electrical"/>
    <x v="34"/>
    <x v="12"/>
    <m/>
    <m/>
    <m/>
    <m/>
    <m/>
    <m/>
    <m/>
    <d v="1899-12-30T06:30:00"/>
    <d v="1899-12-30T13:00:00"/>
    <n v="6.5"/>
    <m/>
    <m/>
  </r>
  <r>
    <s v="Electrical"/>
    <x v="34"/>
    <x v="35"/>
    <s v="Submersible pump"/>
    <s v="SM530-286"/>
    <s v="Repair &amp; assemble"/>
    <d v="2026-01-10T00:00:00"/>
    <d v="2026-01-10T00:00:00"/>
    <d v="2026-01-10T00:00:00"/>
    <m/>
    <d v="1899-12-30T06:30:00"/>
    <d v="1899-12-30T15:30:00"/>
    <n v="9.0000000000000018"/>
    <s v="Completed"/>
    <m/>
  </r>
  <r>
    <s v="Electrical"/>
    <x v="34"/>
    <x v="13"/>
    <s v="Submersible pump"/>
    <s v="SMSP3"/>
    <s v="75kw pump rewinding &amp; connection"/>
    <d v="2026-01-12T00:00:00"/>
    <d v="2026-01-14T00:00:00"/>
    <m/>
    <m/>
    <d v="1899-12-30T06:30:00"/>
    <d v="1899-12-30T15:30:00"/>
    <n v="9.0000000000000018"/>
    <s v="Ongoing"/>
    <m/>
  </r>
  <r>
    <s v="Electrical"/>
    <x v="34"/>
    <x v="43"/>
    <s v="Submersible pump"/>
    <s v="SM1002-146"/>
    <s v="Repairing &amp; assemble"/>
    <d v="2026-01-12T00:00:00"/>
    <d v="2026-01-12T00:00:00"/>
    <m/>
    <m/>
    <d v="1899-12-30T08:30:00"/>
    <d v="1899-12-30T17:30:00"/>
    <n v="8.9999999999999982"/>
    <s v="Ongoing"/>
    <m/>
  </r>
  <r>
    <s v="Electrical"/>
    <x v="34"/>
    <x v="24"/>
    <s v="Borehole pump"/>
    <s v="Old B:H pump"/>
    <s v="15nos B:H pumps inspection &amp; repair"/>
    <d v="2026-01-12T00:00:00"/>
    <d v="2026-01-12T00:00:00"/>
    <d v="2026-01-12T00:00:00"/>
    <m/>
    <d v="1899-12-30T08:30:00"/>
    <d v="1899-12-30T17:30:00"/>
    <n v="8.9999999999999982"/>
    <s v="Completed"/>
    <m/>
  </r>
  <r>
    <s v="Electrical"/>
    <x v="34"/>
    <x v="15"/>
    <m/>
    <m/>
    <m/>
    <m/>
    <m/>
    <m/>
    <m/>
    <d v="1899-12-30T08:30:00"/>
    <d v="1899-12-30T17:30:00"/>
    <n v="8.9999999999999982"/>
    <m/>
    <m/>
  </r>
  <r>
    <s v="Electrical"/>
    <x v="34"/>
    <x v="17"/>
    <s v="Submersible pump"/>
    <s v="SM530-429"/>
    <s v="Re-Winding"/>
    <d v="2026-01-12T00:00:00"/>
    <d v="2026-01-13T00:00:00"/>
    <m/>
    <m/>
    <d v="1899-12-30T06:30:00"/>
    <d v="1899-12-30T15:30:00"/>
    <n v="9.0000000000000018"/>
    <s v="Ongoing"/>
    <m/>
  </r>
  <r>
    <s v="Electrical"/>
    <x v="34"/>
    <x v="14"/>
    <s v="Submersible pump"/>
    <s v="SM530-334"/>
    <s v="Repair &amp; assemble"/>
    <d v="2026-01-12T00:00:00"/>
    <d v="2026-01-12T00:00:00"/>
    <m/>
    <m/>
    <d v="1899-12-30T06:30:00"/>
    <d v="1899-12-30T15:30:00"/>
    <n v="9.0000000000000018"/>
    <s v="Ongoing"/>
    <m/>
  </r>
  <r>
    <s v="Bay 6 -_x000a_Generator"/>
    <x v="34"/>
    <x v="7"/>
    <s v="Generator"/>
    <s v="GEN250-047"/>
    <s v="Engine assembling onging"/>
    <d v="2026-01-06T00:00:00"/>
    <d v="2026-01-12T00:00:00"/>
    <m/>
    <m/>
    <d v="1899-12-30T06:30:00"/>
    <d v="1899-12-30T15:30:00"/>
    <n v="9.0000000000000018"/>
    <s v="Ongoing"/>
    <m/>
  </r>
  <r>
    <s v="Bay 6 -_x000a_Generator"/>
    <x v="34"/>
    <x v="23"/>
    <s v="Generator"/>
    <s v="GEN100-13"/>
    <s v="Ac alternator fixing"/>
    <d v="2026-01-12T00:00:00"/>
    <d v="2026-01-12T00:00:00"/>
    <m/>
    <m/>
    <d v="1899-12-30T06:30:00"/>
    <d v="1899-12-30T09:30:00"/>
    <n v="3"/>
    <s v="Ongoing"/>
    <m/>
  </r>
  <r>
    <s v="Bay 6 -_x000a_Generator"/>
    <x v="34"/>
    <x v="23"/>
    <s v="Tank"/>
    <s v="BFT3-332"/>
    <s v="Flowfintity"/>
    <d v="2026-01-10T00:00:00"/>
    <d v="2026-01-10T00:00:00"/>
    <m/>
    <m/>
    <d v="1899-12-30T06:30:00"/>
    <d v="1899-12-30T07:00:00"/>
    <n v="0.50000000000000089"/>
    <s v="Ongoing"/>
    <m/>
  </r>
  <r>
    <s v="Bay 6 -_x000a_Generator"/>
    <x v="34"/>
    <x v="6"/>
    <s v="Generator"/>
    <s v="GEN100-013"/>
    <s v="Ac alternator final fitting."/>
    <d v="2026-01-12T00:00:00"/>
    <d v="2026-01-12T00:00:00"/>
    <d v="2026-01-12T00:00:00"/>
    <m/>
    <d v="1899-12-30T08:30:00"/>
    <d v="1899-12-30T13:00:00"/>
    <n v="4.4999999999999982"/>
    <s v="Completed"/>
    <m/>
  </r>
  <r>
    <s v="Bay 6 -_x000a_Generator"/>
    <x v="34"/>
    <x v="32"/>
    <m/>
    <m/>
    <m/>
    <m/>
    <m/>
    <m/>
    <m/>
    <d v="1899-12-30T08:30:00"/>
    <d v="1899-12-30T13:00:00"/>
    <n v="4.4999999999999982"/>
    <m/>
    <m/>
  </r>
  <r>
    <s v="Bay 6 -_x000a_Generator"/>
    <x v="34"/>
    <x v="6"/>
    <s v="Generator"/>
    <s v="GEN60-041"/>
    <s v="Ac alternator fix, fuel tank cleaning."/>
    <d v="2026-01-12T00:00:00"/>
    <d v="2026-01-12T00:00:00"/>
    <d v="2026-01-12T00:00:00"/>
    <m/>
    <d v="1899-12-30T14:00:00"/>
    <d v="1899-12-30T17:30:00"/>
    <n v="3.4999999999999982"/>
    <s v="Completed"/>
    <m/>
  </r>
  <r>
    <s v="Bay 6 -_x000a_Generator"/>
    <x v="34"/>
    <x v="32"/>
    <m/>
    <m/>
    <m/>
    <m/>
    <m/>
    <m/>
    <m/>
    <d v="1899-12-30T14:00:00"/>
    <d v="1899-12-30T17:30:00"/>
    <n v="3.4999999999999982"/>
    <m/>
    <m/>
  </r>
  <r>
    <s v="Bay 4&amp;5 - _x000a_Pumps"/>
    <x v="34"/>
    <x v="18"/>
    <s v="Diesel Driven CP Pump"/>
    <s v="CD300M-029"/>
    <s v="Coupling fixing, vaccum testing"/>
    <d v="2026-01-12T00:00:00"/>
    <d v="2026-01-12T00:00:00"/>
    <d v="2026-01-12T00:00:00"/>
    <m/>
    <d v="1899-12-30T06:30:00"/>
    <d v="1899-12-30T09:00:00"/>
    <n v="2.5000000000000004"/>
    <s v="Completed"/>
    <m/>
  </r>
  <r>
    <s v="Bay 4&amp;5 - _x000a_Pumps"/>
    <x v="34"/>
    <x v="20"/>
    <m/>
    <m/>
    <m/>
    <m/>
    <m/>
    <m/>
    <m/>
    <d v="1899-12-30T06:30:00"/>
    <d v="1899-12-30T09:00:00"/>
    <n v="2.5000000000000004"/>
    <m/>
    <m/>
  </r>
  <r>
    <s v="Bay 4&amp;5 - _x000a_Pumps"/>
    <x v="34"/>
    <x v="18"/>
    <s v="Diesel Driven CP Pump"/>
    <s v="CP108-001"/>
    <s v="Coupling fan replacement, vaccum testing"/>
    <d v="2026-01-12T00:00:00"/>
    <d v="2026-01-12T00:00:00"/>
    <d v="2026-01-12T00:00:00"/>
    <m/>
    <d v="1899-12-30T09:00:00"/>
    <d v="1899-12-30T13:00:00"/>
    <n v="3.9999999999999991"/>
    <s v="Completed"/>
    <m/>
  </r>
  <r>
    <s v="Bay 4&amp;5 - _x000a_Pumps"/>
    <x v="34"/>
    <x v="20"/>
    <m/>
    <m/>
    <m/>
    <m/>
    <m/>
    <m/>
    <m/>
    <d v="1899-12-30T09:00:00"/>
    <d v="1899-12-30T13:00:00"/>
    <n v="3.9999999999999991"/>
    <m/>
    <m/>
  </r>
  <r>
    <s v="Bay 4&amp;5 - _x000a_Pumps"/>
    <x v="34"/>
    <x v="38"/>
    <s v="Diesel Driven CP Pump"/>
    <s v="CD225M-03"/>
    <s v="Pump end overhauling"/>
    <d v="2026-01-09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4"/>
    <x v="37"/>
    <m/>
    <m/>
    <m/>
    <m/>
    <m/>
    <m/>
    <m/>
    <d v="1899-12-30T08:30:00"/>
    <d v="1899-12-30T17:30:00"/>
    <n v="8.9999999999999982"/>
    <m/>
    <m/>
  </r>
  <r>
    <s v="Bay 4&amp;5 - _x000a_Pumps"/>
    <x v="34"/>
    <x v="0"/>
    <s v="Contractor dewatering Pump"/>
    <s v="PT175/CP150X2"/>
    <s v="Final fitting &amp; PDI/Vaccum pump repair for MAF"/>
    <d v="2026-01-10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4"/>
    <s v="Contractor dewatering Pump"/>
    <s v="PT175-541"/>
    <s v="Engine assemblingg ongoing"/>
    <d v="2026-01-08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2"/>
    <m/>
    <m/>
    <m/>
    <m/>
    <m/>
    <m/>
    <m/>
    <d v="1899-12-30T06:30:00"/>
    <d v="1899-12-30T08:30:00"/>
    <n v="2.0000000000000009"/>
    <m/>
    <m/>
  </r>
  <r>
    <s v="Bay 4&amp;5 - _x000a_Pumps"/>
    <x v="34"/>
    <x v="28"/>
    <s v="Contractor dewatering Pump"/>
    <s v="CP150-614"/>
    <s v="Engine prepare for top overhaul"/>
    <d v="2026-01-09T00:00:00"/>
    <d v="2026-01-10T00:00:00"/>
    <d v="2026-01-10T00:00:00"/>
    <m/>
    <d v="1899-12-30T06:30:00"/>
    <d v="1899-12-30T17:30:00"/>
    <n v="11"/>
    <s v="Completed"/>
    <m/>
  </r>
  <r>
    <s v="Bay 4&amp;5 - _x000a_Pumps"/>
    <x v="34"/>
    <x v="2"/>
    <m/>
    <m/>
    <m/>
    <m/>
    <m/>
    <m/>
    <m/>
    <d v="1899-12-30T08:30:00"/>
    <d v="1899-12-30T10:30:00"/>
    <n v="1.9999999999999996"/>
    <m/>
    <m/>
  </r>
  <r>
    <s v="Bay 4&amp;5 - _x000a_Pumps"/>
    <x v="34"/>
    <x v="3"/>
    <s v="Contractor dewatering Pump"/>
    <s v="CP150-184"/>
    <s v="Engine assembling"/>
    <d v="2026-01-07T00:00:00"/>
    <d v="2026-01-10T00:00:00"/>
    <m/>
    <m/>
    <d v="1899-12-30T06:30:00"/>
    <d v="1899-12-30T17:30:00"/>
    <n v="11"/>
    <s v="Ongoing"/>
    <m/>
  </r>
  <r>
    <s v="Bay 4&amp;5 - _x000a_Pumps"/>
    <x v="34"/>
    <x v="2"/>
    <m/>
    <m/>
    <m/>
    <m/>
    <m/>
    <m/>
    <m/>
    <d v="1899-12-30T10:30:00"/>
    <d v="1899-12-30T12:00:00"/>
    <n v="1.5"/>
    <m/>
    <m/>
  </r>
  <r>
    <s v="Bay 4&amp;5 - _x000a_Pumps"/>
    <x v="34"/>
    <x v="1"/>
    <s v="Contractor dewatering Pump"/>
    <s v="PT175-531"/>
    <s v="Engine fitting &amp; water test"/>
    <d v="2026-01-12T00:00:00"/>
    <d v="2026-01-12T00:00:00"/>
    <m/>
    <m/>
    <d v="1899-12-30T06:30:00"/>
    <d v="1899-12-30T10:00:00"/>
    <n v="3.5000000000000009"/>
    <s v="Ongoing"/>
    <m/>
  </r>
  <r>
    <s v="Bay 4&amp;5 - _x000a_Pumps"/>
    <x v="34"/>
    <x v="2"/>
    <m/>
    <m/>
    <m/>
    <m/>
    <m/>
    <m/>
    <m/>
    <d v="1899-12-30T14:00:00"/>
    <d v="1899-12-30T16:00:00"/>
    <n v="1.9999999999999982"/>
    <m/>
    <m/>
  </r>
  <r>
    <s v="Bay 4&amp;5 - _x000a_Pumps"/>
    <x v="34"/>
    <x v="5"/>
    <s v="Contractor dewatering Pump"/>
    <s v="CP150-856"/>
    <s v="Pump assembling"/>
    <d v="2026-01-10T00:00:00"/>
    <d v="2026-01-10T00:00:00"/>
    <d v="2026-01-10T00:00:00"/>
    <m/>
    <d v="1899-12-30T06:30:00"/>
    <d v="1899-12-30T17:30:00"/>
    <n v="11"/>
    <s v="Completed"/>
    <m/>
  </r>
  <r>
    <s v="Electrical"/>
    <x v="35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5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5"/>
    <x v="44"/>
    <s v="Panel"/>
    <s v="General work"/>
    <s v="Making lock, holders, fleet tagginf &amp; stickers "/>
    <d v="2026-01-13T00:00:00"/>
    <d v="2026-01-13T00:00:00"/>
    <m/>
    <m/>
    <d v="1899-12-30T08:30:00"/>
    <d v="1899-12-30T17:30:00"/>
    <n v="8.9999999999999982"/>
    <s v="Ongoing"/>
    <m/>
  </r>
  <r>
    <s v="Electrical"/>
    <x v="35"/>
    <x v="9"/>
    <s v="Generator"/>
    <s v="GEN250-047"/>
    <s v="inspection &amp; dismantle"/>
    <d v="2026-01-13T00:00:00"/>
    <d v="2026-01-13T00:00:00"/>
    <d v="2026-01-13T00:00:00"/>
    <m/>
    <d v="1899-12-30T08:30:00"/>
    <d v="1899-12-30T17:30:00"/>
    <n v="8.9999999999999982"/>
    <s v="Completed"/>
    <m/>
  </r>
  <r>
    <s v="Electrical"/>
    <x v="35"/>
    <x v="12"/>
    <m/>
    <m/>
    <m/>
    <m/>
    <m/>
    <m/>
    <m/>
    <d v="1899-12-30T08:30:00"/>
    <d v="1899-12-30T17:30:00"/>
    <n v="8.9999999999999982"/>
    <m/>
    <m/>
  </r>
  <r>
    <s v="Electrical"/>
    <x v="35"/>
    <x v="17"/>
    <s v="Submersible pump"/>
    <s v="SM530-429"/>
    <s v="Rewinding &amp; connection"/>
    <d v="2026-01-13T00:00:00"/>
    <d v="2026-01-13T00:00:00"/>
    <d v="2026-01-13T00:00:00"/>
    <m/>
    <d v="1899-12-30T06:30:00"/>
    <d v="1899-12-30T10:00:00"/>
    <n v="3.5000000000000009"/>
    <s v="Completed"/>
    <m/>
  </r>
  <r>
    <s v="Electrical"/>
    <x v="35"/>
    <x v="33"/>
    <s v="Submersible pump"/>
    <s v="SMSP-3"/>
    <s v="75kw pump rewinding &amp; connection"/>
    <d v="2026-01-13T00:00:00"/>
    <d v="2026-01-15T00:00:00"/>
    <m/>
    <m/>
    <d v="1899-12-30T06:30:00"/>
    <d v="1899-12-30T15:30:00"/>
    <n v="9.0000000000000018"/>
    <s v="Ongoing"/>
    <m/>
  </r>
  <r>
    <s v="Electrical"/>
    <x v="35"/>
    <x v="13"/>
    <m/>
    <m/>
    <m/>
    <m/>
    <m/>
    <m/>
    <m/>
    <d v="1899-12-30T06:30:00"/>
    <d v="1899-12-30T15:30:00"/>
    <n v="9.0000000000000018"/>
    <m/>
    <m/>
  </r>
  <r>
    <s v="Electrical"/>
    <x v="35"/>
    <x v="43"/>
    <s v="Submersible pump"/>
    <s v="SM1002-146"/>
    <s v="Cable gland &amp; water testing"/>
    <d v="2026-01-13T00:00:00"/>
    <d v="2026-01-13T00:00:00"/>
    <d v="2026-01-13T00:00:00"/>
    <m/>
    <d v="1899-12-30T08:30:00"/>
    <d v="1899-12-30T13:00:00"/>
    <n v="4.4999999999999982"/>
    <s v="Completed"/>
    <m/>
  </r>
  <r>
    <s v="Electrical"/>
    <x v="35"/>
    <x v="35"/>
    <m/>
    <m/>
    <m/>
    <m/>
    <m/>
    <m/>
    <m/>
    <d v="1899-12-30T08:30:00"/>
    <d v="1899-12-30T13:00:00"/>
    <n v="4.4999999999999982"/>
    <m/>
    <m/>
  </r>
  <r>
    <s v="Electrical"/>
    <x v="35"/>
    <x v="24"/>
    <s v="Borehole pump"/>
    <s v="Old B:H pump"/>
    <s v="15nos B:H pumps inspection &amp; repair"/>
    <d v="2026-01-13T00:00:00"/>
    <d v="2026-01-13T00:00:00"/>
    <d v="2026-01-13T00:00:00"/>
    <m/>
    <d v="1899-12-30T08:30:00"/>
    <d v="1899-12-30T17:30:00"/>
    <n v="8.9999999999999982"/>
    <s v="Completed"/>
    <m/>
  </r>
  <r>
    <s v="Electrical"/>
    <x v="35"/>
    <x v="15"/>
    <m/>
    <m/>
    <m/>
    <m/>
    <m/>
    <m/>
    <m/>
    <d v="1899-12-30T08:30:00"/>
    <d v="1899-12-30T17:30:00"/>
    <n v="8.9999999999999982"/>
    <m/>
    <m/>
  </r>
  <r>
    <s v="Electrical"/>
    <x v="35"/>
    <x v="14"/>
    <s v="Submersible pump"/>
    <s v="SM530-344"/>
    <s v="Repair &amp; assemble"/>
    <d v="2026-01-13T00:00:00"/>
    <d v="2026-01-13T00:00:00"/>
    <d v="2026-01-13T00:00:00"/>
    <m/>
    <d v="1899-12-30T06:30:00"/>
    <d v="1899-12-30T15:30:00"/>
    <n v="9.0000000000000018"/>
    <s v="Completed"/>
    <m/>
  </r>
  <r>
    <s v="Electrical"/>
    <x v="35"/>
    <x v="17"/>
    <s v="Submersible pump"/>
    <s v="SM530-480"/>
    <s v="Re-winding"/>
    <d v="2026-01-13T00:00:00"/>
    <d v="2026-01-13T00:00:00"/>
    <m/>
    <m/>
    <d v="1899-12-30T10:00:00"/>
    <d v="1899-12-30T15:30:00"/>
    <n v="5.5"/>
    <s v="Ongoing"/>
    <m/>
  </r>
  <r>
    <s v="Bay 6 -_x000a_Generator"/>
    <x v="35"/>
    <x v="7"/>
    <s v="Generator"/>
    <s v="GEN250-047"/>
    <s v="Engine assembling onging"/>
    <d v="2026-01-06T00:00:00"/>
    <d v="2026-01-13T00:00:00"/>
    <m/>
    <m/>
    <d v="1899-12-30T06:30:00"/>
    <d v="1899-12-30T15:30:00"/>
    <n v="9.0000000000000018"/>
    <s v="Ongoing"/>
    <m/>
  </r>
  <r>
    <s v="Bay 6 -_x000a_Generator"/>
    <x v="35"/>
    <x v="23"/>
    <m/>
    <m/>
    <m/>
    <m/>
    <m/>
    <m/>
    <m/>
    <d v="1899-12-30T06:30:00"/>
    <d v="1899-12-30T09:30:00"/>
    <n v="3"/>
    <m/>
    <m/>
  </r>
  <r>
    <s v="Bay 6 -_x000a_Generator"/>
    <x v="35"/>
    <x v="6"/>
    <s v="Generator"/>
    <s v="GENJ150-058"/>
    <s v="Ac alternator fix"/>
    <d v="2026-01-13T00:00:00"/>
    <d v="2026-01-13T00:00:00"/>
    <d v="2026-01-13T00:00:00"/>
    <m/>
    <d v="1899-12-30T08:30:00"/>
    <d v="1899-12-30T12:30:00"/>
    <n v="4"/>
    <s v="Completed"/>
    <m/>
  </r>
  <r>
    <s v="Bay 6 -_x000a_Generator"/>
    <x v="35"/>
    <x v="32"/>
    <m/>
    <m/>
    <m/>
    <m/>
    <m/>
    <m/>
    <m/>
    <d v="1899-12-30T08:30:00"/>
    <d v="1899-12-30T12:30:00"/>
    <n v="4"/>
    <m/>
    <m/>
  </r>
  <r>
    <s v="Bay 6 -_x000a_Generator"/>
    <x v="35"/>
    <x v="6"/>
    <s v="Generator"/>
    <s v="GENJ150-058"/>
    <s v="Electrical work &amp; load test"/>
    <d v="2026-01-13T00:00:00"/>
    <d v="2026-01-13T00:00:00"/>
    <d v="2026-01-13T00:00:00"/>
    <m/>
    <d v="1899-12-30T14:00:00"/>
    <d v="1899-12-30T17:30:00"/>
    <n v="3.4999999999999982"/>
    <s v="Completed"/>
    <m/>
  </r>
  <r>
    <s v="Bay 6 -_x000a_Generator"/>
    <x v="35"/>
    <x v="32"/>
    <m/>
    <m/>
    <m/>
    <m/>
    <m/>
    <m/>
    <m/>
    <d v="1899-12-30T14:00:00"/>
    <d v="1899-12-30T17:30:00"/>
    <n v="3.4999999999999982"/>
    <m/>
    <m/>
  </r>
  <r>
    <s v="Bay 4&amp;5 - _x000a_Pumps"/>
    <x v="35"/>
    <x v="18"/>
    <s v="Diesel Driven CP Pump"/>
    <s v="KV550"/>
    <s v="Pump end assembling"/>
    <d v="2026-01-13T00:00:00"/>
    <d v="2026-01-13T00:00:00"/>
    <d v="2026-01-13T00:00:00"/>
    <m/>
    <d v="1899-12-30T06:30:00"/>
    <d v="1899-12-30T11:00:00"/>
    <n v="4.5"/>
    <s v="Completed"/>
    <m/>
  </r>
  <r>
    <s v="Bay 4&amp;5 - _x000a_Pumps"/>
    <x v="35"/>
    <x v="20"/>
    <m/>
    <m/>
    <m/>
    <m/>
    <m/>
    <m/>
    <m/>
    <d v="1899-12-30T06:30:00"/>
    <d v="1899-12-30T11:00:00"/>
    <n v="4.5"/>
    <m/>
    <m/>
  </r>
  <r>
    <s v="Bay 4&amp;5 - _x000a_Pumps"/>
    <x v="35"/>
    <x v="38"/>
    <s v="Diesel Driven CP Pump"/>
    <s v="CD225M-03"/>
    <s v="Installation on test bay, water &amp; vaccum testing"/>
    <d v="2026-01-13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5"/>
    <x v="37"/>
    <m/>
    <m/>
    <m/>
    <m/>
    <m/>
    <m/>
    <m/>
    <d v="1899-12-30T08:30:00"/>
    <d v="1899-12-30T17:30:00"/>
    <n v="8.9999999999999982"/>
    <m/>
    <m/>
  </r>
  <r>
    <s v="Bay 4&amp;5 - _x000a_Pumps"/>
    <x v="35"/>
    <x v="0"/>
    <s v="Contractor dewatering Pump"/>
    <s v="JP223/CP150X2"/>
    <s v="Final fitting /Vaccum pump repair for MAF"/>
    <d v="2026-01-13T00:00:00"/>
    <d v="2026-01-13T00:00:00"/>
    <d v="2026-01-13T00:00:00"/>
    <m/>
    <d v="1899-12-30T06:30:00"/>
    <d v="1899-12-30T17:30:00"/>
    <n v="11"/>
    <s v="Completed"/>
    <m/>
  </r>
  <r>
    <s v="Bay 4&amp;5 - _x000a_Pumps"/>
    <x v="35"/>
    <x v="4"/>
    <s v="Contractor dewatering Pump"/>
    <s v="PT175X11"/>
    <s v="Musambic pump hose repair &amp; final checkup"/>
    <d v="2026-01-13T00:00:00"/>
    <d v="2026-01-13T00:00:00"/>
    <d v="2026-01-13T00:00:00"/>
    <m/>
    <d v="1899-12-30T06:30:00"/>
    <d v="1899-12-30T17:30:00"/>
    <n v="11"/>
    <s v="Completed"/>
    <m/>
  </r>
  <r>
    <s v="Bay 4&amp;5 - _x000a_Pumps"/>
    <x v="35"/>
    <x v="2"/>
    <m/>
    <m/>
    <m/>
    <m/>
    <m/>
    <m/>
    <m/>
    <d v="1899-12-30T06:30:00"/>
    <d v="1899-12-30T08:30:00"/>
    <n v="2.0000000000000009"/>
    <m/>
    <m/>
  </r>
  <r>
    <s v="Bay 4&amp;5 - _x000a_Pumps"/>
    <x v="35"/>
    <x v="28"/>
    <s v="Contractor dewatering Pump"/>
    <s v="CP150-614"/>
    <s v="Engine assembling"/>
    <d v="2026-01-09T00:00:00"/>
    <d v="2026-01-13T00:00:00"/>
    <m/>
    <m/>
    <d v="1899-12-30T06:30:00"/>
    <d v="1899-12-30T17:30:00"/>
    <n v="11"/>
    <s v="Ongoing"/>
    <m/>
  </r>
  <r>
    <s v="Bay 4&amp;5 - _x000a_Pumps"/>
    <x v="35"/>
    <x v="2"/>
    <m/>
    <m/>
    <m/>
    <m/>
    <m/>
    <m/>
    <m/>
    <d v="1899-12-30T08:30:00"/>
    <d v="1899-12-30T10:30:00"/>
    <n v="1.9999999999999996"/>
    <m/>
    <m/>
  </r>
  <r>
    <s v="Bay 4&amp;5 - _x000a_Pumps"/>
    <x v="35"/>
    <x v="3"/>
    <s v="Contractor dewatering Pump"/>
    <s v="CP150-184"/>
    <s v="Engine assembling"/>
    <d v="2026-01-09T00:00:00"/>
    <d v="2026-01-13T00:00:00"/>
    <m/>
    <m/>
    <d v="1899-12-30T06:30:00"/>
    <d v="1899-12-30T17:30:00"/>
    <n v="11"/>
    <s v="Ongoing"/>
    <m/>
  </r>
  <r>
    <s v="Bay 4&amp;5 - _x000a_Pumps"/>
    <x v="35"/>
    <x v="2"/>
    <m/>
    <m/>
    <m/>
    <m/>
    <m/>
    <m/>
    <m/>
    <d v="1899-12-30T10:30:00"/>
    <d v="1899-12-30T12:00:00"/>
    <n v="1.5"/>
    <m/>
    <m/>
  </r>
  <r>
    <s v="Bay 4&amp;5 - _x000a_Pumps"/>
    <x v="35"/>
    <x v="1"/>
    <s v="Contractor dewatering Pump"/>
    <s v="CP250"/>
    <s v="pump repair"/>
    <d v="2026-01-13T00:00:00"/>
    <d v="2026-01-13T00:00:00"/>
    <m/>
    <m/>
    <d v="1899-12-30T06:30:00"/>
    <d v="1899-12-30T10:00:00"/>
    <n v="3.5000000000000009"/>
    <s v="Ongoing"/>
    <m/>
  </r>
  <r>
    <s v="Bay 4&amp;5 - _x000a_Pumps"/>
    <x v="35"/>
    <x v="2"/>
    <m/>
    <m/>
    <m/>
    <m/>
    <m/>
    <m/>
    <m/>
    <d v="1899-12-30T14:00:00"/>
    <d v="1899-12-30T16:00:00"/>
    <n v="1.9999999999999982"/>
    <m/>
    <m/>
  </r>
  <r>
    <s v="Bay 4&amp;5 - _x000a_Pumps"/>
    <x v="35"/>
    <x v="5"/>
    <s v="Contractor dewatering Pump"/>
    <s v="CP150-856"/>
    <s v="Pump repair, water test"/>
    <d v="2026-01-13T00:00:00"/>
    <d v="2026-01-13T00:00:00"/>
    <d v="2026-01-13T00:00:00"/>
    <m/>
    <d v="1899-12-30T06:30:00"/>
    <d v="1899-12-30T17:30:00"/>
    <n v="11"/>
    <s v="Completed"/>
    <m/>
  </r>
  <r>
    <s v="Electrical"/>
    <x v="36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6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6"/>
    <x v="44"/>
    <s v="Panel"/>
    <s v="General work"/>
    <s v="General work, Making lock, holders, fleet tagginf &amp; stickers "/>
    <d v="2026-01-14T00:00:00"/>
    <d v="2026-01-14T00:00:00"/>
    <m/>
    <m/>
    <d v="1899-12-30T08:30:00"/>
    <d v="1899-12-30T17:30:00"/>
    <n v="8.9999999999999982"/>
    <s v="Ongoing"/>
    <m/>
  </r>
  <r>
    <s v="Electrical"/>
    <x v="36"/>
    <x v="9"/>
    <s v="Generator"/>
    <s v="GEN250-047"/>
    <s v="Ac alternator all winding, washing, cleaning, overheating."/>
    <d v="2026-01-14T00:00:00"/>
    <d v="2026-01-14T00:00:00"/>
    <m/>
    <m/>
    <d v="1899-12-30T08:30:00"/>
    <d v="1899-12-30T12:00:00"/>
    <n v="3.4999999999999996"/>
    <s v="Ongoing"/>
    <m/>
  </r>
  <r>
    <s v="Electrical"/>
    <x v="36"/>
    <x v="12"/>
    <m/>
    <m/>
    <m/>
    <m/>
    <m/>
    <m/>
    <m/>
    <d v="1899-12-30T08:30:00"/>
    <d v="1899-12-30T12:00:00"/>
    <n v="3.4999999999999996"/>
    <m/>
    <m/>
  </r>
  <r>
    <s v="Electrical"/>
    <x v="36"/>
    <x v="17"/>
    <s v="Submersible pump"/>
    <s v="SM530-480"/>
    <s v="Rewinding &amp; lead connection, overheating, vernishing"/>
    <d v="2026-01-14T00:00:00"/>
    <d v="2026-01-14T00:00:00"/>
    <m/>
    <m/>
    <d v="1899-12-30T06:30:00"/>
    <d v="1899-12-30T11:00:00"/>
    <n v="4.5"/>
    <s v="Ongoing"/>
    <m/>
  </r>
  <r>
    <s v="Electrical"/>
    <x v="36"/>
    <x v="35"/>
    <s v="Submersible pump"/>
    <s v="SMSP3-018"/>
    <s v="75kw pump rewinding &amp; connection"/>
    <d v="2026-01-13T00:00:00"/>
    <d v="2026-01-15T00:00:00"/>
    <m/>
    <m/>
    <d v="1899-12-30T06:30:00"/>
    <d v="1899-12-30T15:30:00"/>
    <n v="9.0000000000000018"/>
    <s v="Ongoing"/>
    <m/>
  </r>
  <r>
    <s v="Electrical"/>
    <x v="36"/>
    <x v="13"/>
    <m/>
    <m/>
    <m/>
    <m/>
    <m/>
    <m/>
    <m/>
    <d v="1899-12-30T06:30:00"/>
    <d v="1899-12-30T15:30:00"/>
    <n v="9.0000000000000018"/>
    <m/>
    <m/>
  </r>
  <r>
    <s v="Electrical"/>
    <x v="36"/>
    <x v="43"/>
    <s v="Submersible pump"/>
    <s v="SM1002-146"/>
    <s v="Water testing"/>
    <d v="2026-01-14T00:00:00"/>
    <d v="2026-01-14T00:00:00"/>
    <m/>
    <m/>
    <d v="1899-12-30T08:30:00"/>
    <d v="1899-12-30T10:30:00"/>
    <n v="1.9999999999999996"/>
    <s v="Ongoing"/>
    <m/>
  </r>
  <r>
    <s v="Electrical"/>
    <x v="36"/>
    <x v="14"/>
    <m/>
    <m/>
    <m/>
    <m/>
    <m/>
    <m/>
    <m/>
    <d v="1899-12-30T08:30:00"/>
    <d v="1899-12-30T10:30:00"/>
    <n v="1.9999999999999996"/>
    <m/>
    <m/>
  </r>
  <r>
    <s v="Electrical"/>
    <x v="36"/>
    <x v="24"/>
    <s v="Borehole pump"/>
    <s v="Old B:H pump"/>
    <s v="10nos 2.2/3.7/4kw B:H pumps inspection &amp; repair, water test."/>
    <d v="2026-01-14T00:00:00"/>
    <d v="2026-01-14T00:00:00"/>
    <d v="2026-01-14T00:00:00"/>
    <m/>
    <d v="1899-12-30T08:30:00"/>
    <d v="1899-12-30T17:30:00"/>
    <n v="8.9999999999999982"/>
    <s v="Completed"/>
    <m/>
  </r>
  <r>
    <s v="Electrical"/>
    <x v="36"/>
    <x v="15"/>
    <m/>
    <m/>
    <m/>
    <m/>
    <m/>
    <m/>
    <m/>
    <d v="1899-12-30T08:30:00"/>
    <d v="1899-12-30T17:30:00"/>
    <n v="8.9999999999999982"/>
    <m/>
    <m/>
  </r>
  <r>
    <s v="Electrical"/>
    <x v="36"/>
    <x v="9"/>
    <s v="Generator"/>
    <s v="GEN150-058"/>
    <s v="Power cable &amp; breaker cleaning &amp; service."/>
    <d v="2026-01-14T00:00:00"/>
    <d v="2026-01-14T00:00:00"/>
    <d v="2026-01-14T00:00:00"/>
    <m/>
    <d v="1899-12-30T09:30:00"/>
    <d v="1899-12-30T10:30:00"/>
    <n v="1.0000000000000004"/>
    <s v="Completed"/>
    <m/>
  </r>
  <r>
    <s v="Electrical"/>
    <x v="36"/>
    <x v="14"/>
    <s v="Submersible pump"/>
    <s v="SM530-624"/>
    <s v="Inspection &amp; repair"/>
    <d v="2026-01-14T00:00:00"/>
    <d v="2026-01-14T00:00:00"/>
    <d v="2026-01-14T00:00:00"/>
    <m/>
    <d v="1899-12-30T10:30:00"/>
    <d v="1899-12-30T15:30:00"/>
    <n v="5.0000000000000009"/>
    <s v="Completed"/>
    <m/>
  </r>
  <r>
    <s v="Electrical"/>
    <x v="36"/>
    <x v="43"/>
    <s v="Submersible pump"/>
    <s v="SM702-021"/>
    <s v="Inspection &amp; dismantle repair."/>
    <d v="2026-01-14T00:00:00"/>
    <d v="2026-01-14T00:00:00"/>
    <d v="2026-01-14T00:00:00"/>
    <m/>
    <d v="1899-12-30T10:30:00"/>
    <d v="1899-12-30T17:30:00"/>
    <n v="6.9999999999999991"/>
    <s v="Completed"/>
    <m/>
  </r>
  <r>
    <s v="Bay 6 -_x000a_Generator"/>
    <x v="36"/>
    <x v="7"/>
    <s v="Generator"/>
    <s v="GEN250-047"/>
    <s v="Engine assembling onging"/>
    <d v="2026-01-06T00:00:00"/>
    <d v="2026-01-14T00:00:00"/>
    <m/>
    <m/>
    <d v="1899-12-30T06:30:00"/>
    <d v="1899-12-30T15:30:00"/>
    <n v="9.0000000000000018"/>
    <s v="Hold"/>
    <m/>
  </r>
  <r>
    <s v="Bay 6 -_x000a_Generator"/>
    <x v="36"/>
    <x v="23"/>
    <m/>
    <m/>
    <m/>
    <m/>
    <m/>
    <m/>
    <m/>
    <d v="1899-12-30T06:30:00"/>
    <d v="1899-12-30T15:30:00"/>
    <n v="9.0000000000000018"/>
    <m/>
    <m/>
  </r>
  <r>
    <s v="Bay 6 -_x000a_Generator"/>
    <x v="36"/>
    <x v="32"/>
    <s v="Generator"/>
    <s v="GENG100-009"/>
    <s v="Fuel pump &amp; injector fitting/ waiting for timing cover gasket"/>
    <d v="2026-01-14T00:00:00"/>
    <d v="2026-01-14T00:00:00"/>
    <m/>
    <m/>
    <d v="1899-12-30T08:30:00"/>
    <d v="1899-12-30T12:30:00"/>
    <n v="4"/>
    <s v="Ongoing"/>
    <m/>
  </r>
  <r>
    <s v="Bay 4&amp;5 - _x000a_Pumps"/>
    <x v="36"/>
    <x v="38"/>
    <s v="Diesel Driven CP Pump"/>
    <s v="CD225M-03"/>
    <s v="Installation on test bay, water &amp; vaccum testing."/>
    <d v="2026-01-14T00:00:00"/>
    <d v="2026-01-14T00:00:00"/>
    <d v="2026-01-14T00:00:00"/>
    <m/>
    <d v="1899-12-30T08:30:00"/>
    <d v="1899-12-30T17:30:00"/>
    <n v="8.9999999999999982"/>
    <s v="Completed"/>
    <m/>
  </r>
  <r>
    <s v="Bay 4&amp;5 - _x000a_Pumps"/>
    <x v="36"/>
    <x v="37"/>
    <m/>
    <m/>
    <m/>
    <m/>
    <m/>
    <m/>
    <m/>
    <d v="1899-12-30T08:30:00"/>
    <d v="1899-12-30T17:30:00"/>
    <n v="8.9999999999999982"/>
    <m/>
    <m/>
  </r>
  <r>
    <s v="Bay 4&amp;5 - _x000a_Pumps"/>
    <x v="36"/>
    <x v="18"/>
    <s v="Diesel Driven CP Pump"/>
    <s v="CP108-004"/>
    <s v="Engine top end dismantling"/>
    <d v="2026-01-14T00:00:00"/>
    <d v="2026-01-14T00:00:00"/>
    <d v="2026-01-14T00:00:00"/>
    <m/>
    <d v="1899-12-30T06:30:00"/>
    <d v="1899-12-30T15:30:00"/>
    <n v="9.0000000000000018"/>
    <s v="Completed"/>
    <m/>
  </r>
  <r>
    <s v="Bay 4&amp;5 - _x000a_Pumps"/>
    <x v="36"/>
    <x v="20"/>
    <m/>
    <m/>
    <m/>
    <m/>
    <m/>
    <m/>
    <m/>
    <d v="1899-12-30T06:30:00"/>
    <d v="1899-12-30T15:30:00"/>
    <n v="9.0000000000000018"/>
    <m/>
    <m/>
  </r>
  <r>
    <s v="Bay 4&amp;5 - _x000a_Pumps"/>
    <x v="36"/>
    <x v="0"/>
    <s v="Contractor dewatering Pump"/>
    <s v="PT175-541/CP150856"/>
    <s v="Final fitting "/>
    <d v="2026-01-14T00:00:00"/>
    <d v="2026-01-14T00:00:00"/>
    <d v="2026-01-14T00:00:00"/>
    <m/>
    <d v="1899-12-30T06:30:00"/>
    <d v="1899-12-30T12:30:00"/>
    <n v="6.0000000000000018"/>
    <s v="Completed"/>
    <m/>
  </r>
  <r>
    <s v="Bay 4&amp;5 - _x000a_Pumps"/>
    <x v="36"/>
    <x v="4"/>
    <s v="Contractor dewatering Pump"/>
    <s v="PT175X11"/>
    <s v="4Xclutch assembly"/>
    <d v="2026-01-14T00:00:00"/>
    <d v="2026-01-14T00:00:00"/>
    <d v="2026-01-14T00:00:00"/>
    <m/>
    <d v="1899-12-30T06:30:00"/>
    <d v="1899-12-30T17:30:00"/>
    <n v="11"/>
    <s v="Completed"/>
    <m/>
  </r>
  <r>
    <s v="Bay 4&amp;5 - _x000a_Pumps"/>
    <x v="36"/>
    <x v="2"/>
    <m/>
    <m/>
    <m/>
    <m/>
    <m/>
    <m/>
    <m/>
    <d v="1899-12-30T13:00:00"/>
    <d v="1899-12-30T17:30:00"/>
    <n v="4.5"/>
    <m/>
    <m/>
  </r>
  <r>
    <s v="Bay 4&amp;5 - _x000a_Pumps"/>
    <x v="36"/>
    <x v="28"/>
    <s v="Contractor dewatering Pump"/>
    <s v="CP150-614"/>
    <s v="Engine assembling ongoing"/>
    <d v="2026-01-09T00:00:00"/>
    <d v="2026-01-14T00:00:00"/>
    <d v="2026-01-14T00:00:00"/>
    <m/>
    <d v="1899-12-30T06:30:00"/>
    <d v="1899-12-30T17:30:00"/>
    <n v="11"/>
    <s v="Completed"/>
    <m/>
  </r>
  <r>
    <s v="Bay 4&amp;5 - _x000a_Pumps"/>
    <x v="36"/>
    <x v="2"/>
    <m/>
    <m/>
    <m/>
    <m/>
    <m/>
    <m/>
    <m/>
    <d v="1899-12-30T08:30:00"/>
    <d v="1899-12-30T10:30:00"/>
    <n v="1.9999999999999996"/>
    <m/>
    <m/>
  </r>
  <r>
    <s v="Bay 4&amp;5 - _x000a_Pumps"/>
    <x v="36"/>
    <x v="3"/>
    <s v="Contractor dewatering Pump"/>
    <s v="CP150-184"/>
    <s v="Engine assembling ongoing"/>
    <d v="2026-01-09T00:00:00"/>
    <d v="2026-01-14T00:00:00"/>
    <m/>
    <m/>
    <d v="1899-12-30T06:30:00"/>
    <d v="1899-12-30T17:30:00"/>
    <n v="11"/>
    <s v="Ongoing"/>
    <m/>
  </r>
  <r>
    <s v="Bay 4&amp;5 - _x000a_Pumps"/>
    <x v="36"/>
    <x v="2"/>
    <m/>
    <m/>
    <m/>
    <m/>
    <m/>
    <m/>
    <m/>
    <d v="1899-12-30T10:30:00"/>
    <d v="1899-12-30T12:00:00"/>
    <n v="1.5"/>
    <m/>
    <m/>
  </r>
  <r>
    <s v="Bay 4&amp;5 - _x000a_Pumps"/>
    <x v="36"/>
    <x v="1"/>
    <s v="Contractor dewatering Pump"/>
    <s v="CP250-001/007"/>
    <s v="pump repair &amp; water test/ pump repair"/>
    <d v="2026-01-14T00:00:00"/>
    <d v="2026-01-14T00:00:00"/>
    <m/>
    <m/>
    <d v="1899-12-30T06:30:00"/>
    <d v="1899-12-30T17:30:00"/>
    <n v="11"/>
    <s v="Ongoing"/>
    <m/>
  </r>
  <r>
    <s v="Bay 4&amp;5 - _x000a_Pumps"/>
    <x v="36"/>
    <x v="2"/>
    <m/>
    <m/>
    <m/>
    <m/>
    <m/>
    <m/>
    <m/>
    <d v="1899-12-30T14:00:00"/>
    <d v="1899-12-30T16:00:00"/>
    <n v="1.9999999999999982"/>
    <m/>
    <m/>
  </r>
  <r>
    <s v="Bay 4&amp;5 - _x000a_Pumps"/>
    <x v="36"/>
    <x v="5"/>
    <s v="Contractor dewatering Pump"/>
    <s v="CP150-265"/>
    <s v="Pump repair, water test"/>
    <d v="2026-01-14T00:00:00"/>
    <d v="2026-01-14T00:00:00"/>
    <m/>
    <m/>
    <d v="1899-12-30T06:30:00"/>
    <d v="1899-12-30T17:30:00"/>
    <n v="11"/>
    <s v="Ongoing"/>
    <m/>
  </r>
  <r>
    <s v="Electrical"/>
    <x v="37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7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7"/>
    <x v="44"/>
    <s v="Panel"/>
    <s v="SCP226/238"/>
    <s v="General work, Making lock, holders, fleet tagginf &amp; stickers "/>
    <d v="2026-01-15T00:00:00"/>
    <d v="2026-01-15T00:00:00"/>
    <d v="2026-01-15T00:00:00"/>
    <m/>
    <d v="1899-12-30T08:30:00"/>
    <d v="1899-12-30T17:30:00"/>
    <n v="8.9999999999999982"/>
    <s v="Completed"/>
    <m/>
  </r>
  <r>
    <s v="Electrical"/>
    <x v="37"/>
    <x v="9"/>
    <s v="Submersible pump"/>
    <s v="SM1002-060/22"/>
    <s v="Inspection &amp; reapir"/>
    <d v="2026-01-15T00:00:00"/>
    <d v="2026-01-15T00:00:00"/>
    <m/>
    <m/>
    <d v="1899-12-30T08:30:00"/>
    <d v="1899-12-30T17:30:00"/>
    <n v="8.9999999999999982"/>
    <s v="Ongoing"/>
    <m/>
  </r>
  <r>
    <s v="Electrical"/>
    <x v="37"/>
    <x v="12"/>
    <m/>
    <m/>
    <m/>
    <m/>
    <m/>
    <m/>
    <m/>
    <d v="1899-12-30T08:30:00"/>
    <d v="1899-12-30T17:30:00"/>
    <n v="8.9999999999999982"/>
    <m/>
    <m/>
  </r>
  <r>
    <s v="Electrical"/>
    <x v="37"/>
    <x v="17"/>
    <s v="Submersible pump"/>
    <s v="SM702-021"/>
    <s v="Copper winding removing."/>
    <d v="2026-01-15T00:00:00"/>
    <d v="2026-01-15T00:00:00"/>
    <m/>
    <m/>
    <d v="1899-12-30T06:30:00"/>
    <d v="1899-12-30T15:30:00"/>
    <n v="9.0000000000000018"/>
    <s v="Ongoing"/>
    <m/>
  </r>
  <r>
    <s v="Electrical"/>
    <x v="37"/>
    <x v="43"/>
    <s v="Submersible pump"/>
    <s v="SM1002-060/275"/>
    <s v="Inspection &amp; reapir"/>
    <d v="2026-01-15T00:00:00"/>
    <d v="2026-01-15T00:00:00"/>
    <m/>
    <m/>
    <d v="1899-12-30T06:30:00"/>
    <d v="1899-12-30T15:30:00"/>
    <n v="9.0000000000000018"/>
    <s v="Ongoing"/>
    <m/>
  </r>
  <r>
    <s v="Electrical"/>
    <x v="37"/>
    <x v="33"/>
    <m/>
    <m/>
    <m/>
    <m/>
    <m/>
    <m/>
    <m/>
    <d v="1899-12-30T06:30:00"/>
    <d v="1899-12-30T15:30:00"/>
    <n v="9.0000000000000018"/>
    <m/>
    <m/>
  </r>
  <r>
    <s v="Electrical"/>
    <x v="37"/>
    <x v="13"/>
    <s v="Submersible pump"/>
    <s v="SMSP3-018"/>
    <s v="75kw pump rewinding and connection"/>
    <d v="2026-01-15T00:00:00"/>
    <d v="2026-01-15T00:00:00"/>
    <m/>
    <m/>
    <d v="1899-12-30T06:30:00"/>
    <d v="1899-12-30T15:30:00"/>
    <n v="9.0000000000000018"/>
    <s v="Ongoing"/>
    <m/>
  </r>
  <r>
    <s v="Electrical"/>
    <x v="37"/>
    <x v="35"/>
    <m/>
    <m/>
    <m/>
    <m/>
    <m/>
    <m/>
    <m/>
    <d v="1899-12-30T06:30:00"/>
    <d v="1899-12-30T15:30:00"/>
    <n v="9.0000000000000018"/>
    <m/>
    <m/>
  </r>
  <r>
    <s v="Electrical"/>
    <x v="37"/>
    <x v="24"/>
    <s v="Borehole pump"/>
    <s v="Old B:H pump"/>
    <s v="10nos B:H pumps inspection &amp; repair, water test."/>
    <d v="2026-01-15T00:00:00"/>
    <d v="2026-01-15T00:00:00"/>
    <m/>
    <m/>
    <d v="1899-12-30T08:30:00"/>
    <d v="1899-12-30T17:30:00"/>
    <n v="8.9999999999999982"/>
    <s v="Ongoing"/>
    <m/>
  </r>
  <r>
    <s v="Electrical"/>
    <x v="37"/>
    <x v="15"/>
    <m/>
    <m/>
    <m/>
    <m/>
    <m/>
    <m/>
    <m/>
    <d v="1899-12-30T08:30:00"/>
    <d v="1899-12-30T17:30:00"/>
    <n v="8.9999999999999982"/>
    <m/>
    <m/>
  </r>
  <r>
    <s v="Electrical"/>
    <x v="37"/>
    <x v="14"/>
    <s v="Submersible pump"/>
    <s v="SM530-426"/>
    <s v="Inspection &amp; repair"/>
    <d v="2026-01-15T00:00:00"/>
    <d v="2026-01-15T00:00:00"/>
    <m/>
    <m/>
    <d v="1899-12-30T06:30:00"/>
    <d v="1899-12-30T15:30:00"/>
    <n v="9.0000000000000018"/>
    <s v="Ongoing"/>
    <m/>
  </r>
  <r>
    <s v="Bay 6 -_x000a_Generator"/>
    <x v="37"/>
    <x v="7"/>
    <s v="Generator"/>
    <s v="GEN250-047"/>
    <s v="Engine assembling onging"/>
    <d v="2026-01-06T00:00:00"/>
    <d v="2026-01-15T00:00:00"/>
    <m/>
    <m/>
    <d v="1899-12-30T06:30:00"/>
    <d v="1899-12-30T15:30:00"/>
    <n v="9.0000000000000018"/>
    <s v="Hold"/>
    <m/>
  </r>
  <r>
    <s v="Bay 6 -_x000a_Generator"/>
    <x v="37"/>
    <x v="23"/>
    <m/>
    <m/>
    <m/>
    <m/>
    <m/>
    <m/>
    <m/>
    <d v="1899-12-30T06:30:00"/>
    <d v="1899-12-30T15:30:00"/>
    <n v="9.0000000000000018"/>
    <m/>
    <m/>
  </r>
  <r>
    <s v="Bay 6 -_x000a_Generator"/>
    <x v="37"/>
    <x v="7"/>
    <s v="Drill rig"/>
    <s v="DR-020"/>
    <s v="Repair on site"/>
    <d v="2026-01-15T00:00:00"/>
    <d v="2026-01-15T00:00:00"/>
    <d v="2026-01-15T00:00:00"/>
    <m/>
    <d v="1899-12-30T10:00:00"/>
    <d v="1899-12-30T14:30:00"/>
    <n v="4.4999999999999982"/>
    <s v="Completed"/>
    <m/>
  </r>
  <r>
    <s v="Bay 6 -_x000a_Generator"/>
    <x v="37"/>
    <x v="23"/>
    <s v="Generator"/>
    <s v="GEN150-037"/>
    <s v="Engine parts cleaning."/>
    <d v="2026-01-15T00:00:00"/>
    <d v="2026-01-15T00:00:00"/>
    <m/>
    <m/>
    <d v="1899-12-30T08:30:00"/>
    <d v="1899-12-30T17:30:00"/>
    <n v="8.9999999999999982"/>
    <s v="Ongoing"/>
    <m/>
  </r>
  <r>
    <s v="Bay 6 -_x000a_Generator"/>
    <x v="37"/>
    <x v="32"/>
    <m/>
    <m/>
    <m/>
    <m/>
    <m/>
    <m/>
    <m/>
    <d v="1899-12-30T08:30:00"/>
    <d v="1899-12-30T17:30:00"/>
    <n v="8.9999999999999982"/>
    <m/>
    <m/>
  </r>
  <r>
    <s v="Bay 4&amp;5 - _x000a_Pumps"/>
    <x v="37"/>
    <x v="38"/>
    <s v="Diesel Driven CP Pump"/>
    <s v="CD5E-002/001"/>
    <s v="Installation on test bay, water &amp; vaccum testing."/>
    <d v="2026-01-15T00:00:00"/>
    <d v="2026-01-15T00:00:00"/>
    <d v="2026-01-15T00:00:00"/>
    <m/>
    <d v="1899-12-30T08:30:00"/>
    <d v="1899-12-30T17:30:00"/>
    <n v="8.9999999999999982"/>
    <s v="Completed"/>
    <m/>
  </r>
  <r>
    <s v="Bay 4&amp;5 - _x000a_Pumps"/>
    <x v="37"/>
    <x v="37"/>
    <m/>
    <m/>
    <m/>
    <m/>
    <m/>
    <m/>
    <m/>
    <d v="1899-12-30T08:30:00"/>
    <d v="1899-12-30T17:30:00"/>
    <n v="8.9999999999999982"/>
    <m/>
    <m/>
  </r>
  <r>
    <s v="Bay 4&amp;5 - _x000a_Pumps"/>
    <x v="37"/>
    <x v="18"/>
    <s v="Diesel Driven CP Pump"/>
    <s v="SCT500-32"/>
    <s v="pump end dismantling."/>
    <d v="2026-01-15T00:00:00"/>
    <d v="2026-01-15T00:00:00"/>
    <d v="2026-01-15T00:00:00"/>
    <m/>
    <d v="1899-12-30T06:30:00"/>
    <d v="1899-12-30T15:30:00"/>
    <n v="9.0000000000000018"/>
    <s v="Completed"/>
    <m/>
  </r>
  <r>
    <s v="Bay 4&amp;5 - _x000a_Pumps"/>
    <x v="37"/>
    <x v="20"/>
    <m/>
    <m/>
    <m/>
    <m/>
    <m/>
    <m/>
    <m/>
    <d v="1899-12-30T06:30:00"/>
    <d v="1899-12-30T15:30:00"/>
    <n v="9.0000000000000018"/>
    <m/>
    <m/>
  </r>
  <r>
    <s v="Bay 4&amp;5 - _x000a_Pumps"/>
    <x v="37"/>
    <x v="0"/>
    <s v="Contractor dewatering Pump"/>
    <s v="CP150-297/PT175X11"/>
    <s v="All oil draining/ Vaccum pump repair."/>
    <d v="2026-01-15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4"/>
    <s v="Contractor dewatering Pump"/>
    <s v="JP-223"/>
    <s v="Engine repair"/>
    <d v="2026-01-15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2"/>
    <m/>
    <m/>
    <m/>
    <m/>
    <m/>
    <m/>
    <m/>
    <d v="1899-12-30T13:00:00"/>
    <d v="1899-12-30T15:30:00"/>
    <n v="2.5000000000000018"/>
    <m/>
    <m/>
  </r>
  <r>
    <s v="Bay 4&amp;5 - _x000a_Pumps"/>
    <x v="37"/>
    <x v="28"/>
    <s v="Contractor dewatering Pump"/>
    <s v="CP150-614"/>
    <s v="Engine assembling ongoing"/>
    <d v="2026-01-09T00:00:00"/>
    <d v="2026-01-14T00:00:00"/>
    <d v="2026-01-14T00:00:00"/>
    <m/>
    <d v="1899-12-30T06:30:00"/>
    <d v="1899-12-30T17:30:00"/>
    <n v="11"/>
    <s v="Completed"/>
    <m/>
  </r>
  <r>
    <s v="Bay 4&amp;5 - _x000a_Pumps"/>
    <x v="37"/>
    <x v="2"/>
    <m/>
    <m/>
    <m/>
    <m/>
    <m/>
    <m/>
    <m/>
    <d v="1899-12-30T08:30:00"/>
    <d v="1899-12-30T10:30:00"/>
    <n v="1.9999999999999996"/>
    <m/>
    <m/>
  </r>
  <r>
    <s v="Bay 4&amp;5 - _x000a_Pumps"/>
    <x v="37"/>
    <x v="3"/>
    <s v="Contractor dewatering Pump"/>
    <s v="CP150-184"/>
    <s v="Engine assembling ongoing"/>
    <d v="2026-01-09T00:00:00"/>
    <d v="2026-01-15T00:00:00"/>
    <d v="2026-01-15T00:00:00"/>
    <m/>
    <d v="1899-12-30T06:30:00"/>
    <d v="1899-12-30T12:30:00"/>
    <n v="6.0000000000000018"/>
    <s v="Completed"/>
    <m/>
  </r>
  <r>
    <s v="Bay 4&amp;5 - _x000a_Pumps"/>
    <x v="37"/>
    <x v="2"/>
    <m/>
    <m/>
    <m/>
    <m/>
    <m/>
    <m/>
    <m/>
    <d v="1899-12-30T10:30:00"/>
    <d v="1899-12-30T12:00:00"/>
    <n v="1.5"/>
    <m/>
    <m/>
  </r>
  <r>
    <s v="Bay 4&amp;5 - _x000a_Pumps"/>
    <x v="37"/>
    <x v="1"/>
    <s v="Contractor dewatering Pump"/>
    <s v="CP250-001"/>
    <s v="Pump dismantling"/>
    <d v="2026-01-15T00:00:00"/>
    <d v="2026-01-15T00:00:00"/>
    <d v="2026-01-15T00:00:00"/>
    <m/>
    <d v="1899-12-30T12:30:00"/>
    <d v="1899-12-30T17:30:00"/>
    <n v="4.9999999999999982"/>
    <s v="Completed"/>
    <m/>
  </r>
  <r>
    <s v="Bay 4&amp;5 - _x000a_Pumps"/>
    <x v="37"/>
    <x v="2"/>
    <m/>
    <m/>
    <m/>
    <m/>
    <m/>
    <m/>
    <m/>
    <d v="1899-12-30T14:00:00"/>
    <d v="1899-12-30T16:00:00"/>
    <n v="1.9999999999999982"/>
    <m/>
    <m/>
  </r>
  <r>
    <s v="Bay 4&amp;5 - _x000a_Pumps"/>
    <x v="37"/>
    <x v="5"/>
    <s v="Contractor dewatering Pump"/>
    <s v="CP150-265"/>
    <s v="Pump repair, water test"/>
    <d v="2026-01-15T00:00:00"/>
    <d v="2026-01-15T00:00:00"/>
    <d v="2026-01-15T00:00:00"/>
    <m/>
    <d v="1899-12-30T06:30:00"/>
    <d v="1899-12-30T17:30:00"/>
    <n v="11"/>
    <s v="Completed"/>
    <m/>
  </r>
  <r>
    <s v="Electrical"/>
    <x v="38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8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8"/>
    <x v="44"/>
    <s v="Panel"/>
    <s v="DB-184"/>
    <s v="Inspection,service &amp; repair"/>
    <d v="2026-01-15T00:00:00"/>
    <d v="2026-01-15T00:00:00"/>
    <d v="2026-01-15T00:00:00"/>
    <m/>
    <d v="1899-12-30T08:30:00"/>
    <d v="1899-12-30T17:30:00"/>
    <n v="8.9999999999999982"/>
    <s v="Completed"/>
    <m/>
  </r>
  <r>
    <s v="Electrical"/>
    <x v="38"/>
    <x v="9"/>
    <s v="Generator"/>
    <s v="GEN250-047"/>
    <s v="Inspection &amp; assemble"/>
    <d v="2026-01-16T00:00:00"/>
    <d v="2026-01-16T00:00:00"/>
    <m/>
    <m/>
    <d v="1899-12-30T08:30:00"/>
    <d v="1899-12-30T17:30:00"/>
    <n v="8.9999999999999982"/>
    <s v="Ongoing"/>
    <m/>
  </r>
  <r>
    <s v="Electrical"/>
    <x v="38"/>
    <x v="12"/>
    <m/>
    <m/>
    <m/>
    <m/>
    <m/>
    <m/>
    <m/>
    <d v="1899-12-30T08:30:00"/>
    <d v="1899-12-30T17:30:00"/>
    <n v="8.9999999999999982"/>
    <m/>
    <m/>
  </r>
  <r>
    <s v="Electrical"/>
    <x v="38"/>
    <x v="17"/>
    <s v="Submersible pump"/>
    <s v="SM702-021"/>
    <s v="Rewinding"/>
    <d v="2026-01-16T00:00:00"/>
    <d v="2026-01-17T00:00:00"/>
    <m/>
    <m/>
    <d v="1899-12-30T06:30:00"/>
    <d v="1899-12-30T15:30:00"/>
    <n v="9.0000000000000018"/>
    <s v="Ongoing"/>
    <m/>
  </r>
  <r>
    <s v="Electrical"/>
    <x v="38"/>
    <x v="43"/>
    <s v="Submersible pump"/>
    <s v="SM1002-060/275"/>
    <s v="Inspection &amp; reapir"/>
    <d v="2026-01-16T00:00:00"/>
    <d v="2026-01-17T00:00:00"/>
    <d v="2026-01-17T00:00:00"/>
    <m/>
    <d v="1899-12-30T06:30:00"/>
    <d v="1899-12-30T15:30:00"/>
    <n v="9.0000000000000018"/>
    <s v="Completed"/>
    <m/>
  </r>
  <r>
    <s v="Electrical"/>
    <x v="38"/>
    <x v="35"/>
    <m/>
    <m/>
    <m/>
    <m/>
    <m/>
    <m/>
    <m/>
    <d v="1899-12-30T06:30:00"/>
    <d v="1899-12-30T15:30:00"/>
    <n v="9.0000000000000018"/>
    <m/>
    <m/>
  </r>
  <r>
    <s v="Electrical"/>
    <x v="38"/>
    <x v="13"/>
    <s v="Submersible pump"/>
    <s v="SMSP3-018"/>
    <s v="75kw pump rewinding and connection"/>
    <d v="2026-01-15T00:00:00"/>
    <d v="2026-01-16T00:00:00"/>
    <m/>
    <m/>
    <d v="1899-12-30T06:30:00"/>
    <d v="1899-12-30T15:30:00"/>
    <n v="9.0000000000000018"/>
    <s v="Ongoing"/>
    <m/>
  </r>
  <r>
    <s v="Electrical"/>
    <x v="38"/>
    <x v="33"/>
    <m/>
    <m/>
    <m/>
    <m/>
    <m/>
    <m/>
    <m/>
    <d v="1899-12-30T06:30:00"/>
    <d v="1899-12-30T15:30:00"/>
    <n v="9.0000000000000018"/>
    <m/>
    <m/>
  </r>
  <r>
    <s v="Electrical"/>
    <x v="38"/>
    <x v="24"/>
    <s v="Borehole pump"/>
    <s v="New B:H pump"/>
    <s v="15nos 2.2kw pumps inspection &amp; repair, water test."/>
    <d v="2026-01-16T00:00:00"/>
    <d v="2026-01-16T00:00:00"/>
    <d v="2026-01-16T00:00:00"/>
    <m/>
    <d v="1899-12-30T08:30:00"/>
    <d v="1899-12-30T13:00:00"/>
    <n v="4.4999999999999982"/>
    <s v="Completed"/>
    <m/>
  </r>
  <r>
    <s v="Electrical"/>
    <x v="38"/>
    <x v="15"/>
    <m/>
    <m/>
    <m/>
    <m/>
    <m/>
    <m/>
    <m/>
    <d v="1899-12-30T08:30:00"/>
    <d v="1899-12-30T13:00:00"/>
    <n v="4.4999999999999982"/>
    <m/>
    <m/>
  </r>
  <r>
    <s v="Electrical"/>
    <x v="38"/>
    <x v="14"/>
    <s v="Submersible pump"/>
    <s v="SM530-426"/>
    <s v="Inspection &amp; repair"/>
    <d v="2026-01-16T00:00:00"/>
    <d v="2026-01-16T00:00:00"/>
    <d v="2026-01-16T00:00:00"/>
    <m/>
    <d v="1899-12-30T06:30:00"/>
    <d v="1899-12-30T09:00:00"/>
    <n v="2.5000000000000004"/>
    <s v="Completed"/>
    <m/>
  </r>
  <r>
    <s v="Bay 6 -_x000a_Generator"/>
    <x v="38"/>
    <x v="7"/>
    <s v="Generator"/>
    <s v="GEN250-047"/>
    <s v="Engine assembling onging"/>
    <d v="2026-01-06T00:00:00"/>
    <d v="2026-01-16T00:00:00"/>
    <d v="2026-01-16T00:00:00"/>
    <m/>
    <d v="1899-12-30T06:30:00"/>
    <d v="1899-12-30T15:30:00"/>
    <n v="9.0000000000000018"/>
    <s v="Completed"/>
    <m/>
  </r>
  <r>
    <s v="Bay 6 -_x000a_Generator"/>
    <x v="38"/>
    <x v="23"/>
    <s v="Generator"/>
    <s v="GEN150-021"/>
    <s v="Water p[ump fixing, fuel tank cleaning, load test."/>
    <d v="2026-01-16T00:00:00"/>
    <d v="2026-01-16T00:00:00"/>
    <m/>
    <m/>
    <d v="1899-12-30T06:30:00"/>
    <d v="1899-12-30T10:00:00"/>
    <n v="3.5000000000000009"/>
    <s v="Hold"/>
    <m/>
  </r>
  <r>
    <s v="Bay 6 -_x000a_Generator"/>
    <x v="38"/>
    <x v="32"/>
    <s v="Generator"/>
    <s v="GEN150-037"/>
    <s v="Engine parts cleaning, washing"/>
    <d v="2026-01-15T00:00:00"/>
    <d v="2026-01-16T00:00:00"/>
    <m/>
    <m/>
    <d v="1899-12-30T08:30:00"/>
    <d v="1899-12-30T17:30:00"/>
    <n v="8.9999999999999982"/>
    <s v="Ongoing"/>
    <m/>
  </r>
  <r>
    <s v="Bay 4&amp;5 - _x000a_Pumps"/>
    <x v="38"/>
    <x v="38"/>
    <s v="Diesel Driven CP Pump"/>
    <s v="SCT600-002"/>
    <s v="Engine removing from frame."/>
    <d v="2026-01-16T00:00:00"/>
    <d v="2026-01-16T00:00:00"/>
    <m/>
    <m/>
    <d v="1899-12-30T08:30:00"/>
    <d v="1899-12-30T17:30:00"/>
    <n v="8.9999999999999982"/>
    <s v="Completed"/>
    <m/>
  </r>
  <r>
    <s v="Bay 4&amp;5 - _x000a_Pumps"/>
    <x v="38"/>
    <x v="37"/>
    <m/>
    <m/>
    <m/>
    <m/>
    <m/>
    <m/>
    <m/>
    <d v="1899-12-30T08:30:00"/>
    <d v="1899-12-30T17:30:00"/>
    <n v="8.9999999999999982"/>
    <m/>
    <m/>
  </r>
  <r>
    <s v="Bay 4&amp;5 - _x000a_Pumps"/>
    <x v="38"/>
    <x v="18"/>
    <s v="Diesel Driven CP Pump"/>
    <s v="SCT600-001"/>
    <s v="Engine removing from frame."/>
    <d v="2026-01-16T00:00:00"/>
    <d v="2026-01-16T00:00:00"/>
    <m/>
    <m/>
    <d v="1899-12-30T06:30:00"/>
    <d v="1899-12-30T15:30:00"/>
    <n v="9.0000000000000018"/>
    <s v="Completed"/>
    <m/>
  </r>
  <r>
    <s v="Bay 4&amp;5 - _x000a_Pumps"/>
    <x v="38"/>
    <x v="20"/>
    <m/>
    <m/>
    <m/>
    <m/>
    <m/>
    <m/>
    <m/>
    <d v="1899-12-30T06:30:00"/>
    <d v="1899-12-30T15:30:00"/>
    <n v="9.0000000000000018"/>
    <m/>
    <m/>
  </r>
  <r>
    <s v="Bay 4&amp;5 - _x000a_Pumps"/>
    <x v="38"/>
    <x v="0"/>
    <s v="Contractor dewatering Pump"/>
    <s v="ZD900-032E"/>
    <s v="Pump repair &amp; water test."/>
    <d v="2026-01-16T00:00:00"/>
    <d v="2026-01-16T00:00:00"/>
    <d v="2026-01-16T00:00:00"/>
    <m/>
    <d v="1899-12-30T06:30:00"/>
    <d v="1899-12-30T15:30:00"/>
    <n v="9.0000000000000018"/>
    <s v="Completed"/>
    <m/>
  </r>
  <r>
    <s v="Bay 4&amp;5 - _x000a_Pumps"/>
    <x v="38"/>
    <x v="3"/>
    <s v="Contractor dewatering Pump"/>
    <s v="CP150-184"/>
    <s v="Engine assembling."/>
    <d v="2026-01-09T00:00:00"/>
    <d v="2026-01-16T00:00:00"/>
    <d v="2026-01-16T00:00:00"/>
    <m/>
    <d v="1899-12-30T06:30:00"/>
    <d v="1899-12-30T12:30:00"/>
    <n v="6.0000000000000018"/>
    <s v="Completed"/>
    <m/>
  </r>
  <r>
    <s v="Bay 4&amp;5 - _x000a_Pumps"/>
    <x v="38"/>
    <x v="2"/>
    <m/>
    <m/>
    <m/>
    <m/>
    <m/>
    <m/>
    <m/>
    <d v="1899-12-30T13:00:00"/>
    <d v="1899-12-30T14:00:00"/>
    <n v="1.0000000000000018"/>
    <m/>
    <m/>
  </r>
  <r>
    <s v="Bay 4&amp;5 - _x000a_Pumps"/>
    <x v="38"/>
    <x v="28"/>
    <s v="Contractor dewatering Pump"/>
    <s v="CP150-614"/>
    <s v="Pump dismantling."/>
    <d v="2026-01-09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08:30:00"/>
    <d v="1899-12-30T10:30:00"/>
    <n v="1.9999999999999996"/>
    <m/>
    <m/>
  </r>
  <r>
    <s v="Bay 4&amp;5 - _x000a_Pumps"/>
    <x v="38"/>
    <x v="1"/>
    <s v="Contractor dewatering Pump"/>
    <s v="CP250-001"/>
    <s v="Pump dismantling ongoing."/>
    <d v="2026-01-15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10:30:00"/>
    <d v="1899-12-30T12:00:00"/>
    <n v="1.5"/>
    <m/>
    <m/>
  </r>
  <r>
    <s v="Bay 4&amp;5 - _x000a_Pumps"/>
    <x v="38"/>
    <x v="4"/>
    <s v="Contractor dewatering Pump"/>
    <s v="Spare engine for mozambic"/>
    <s v="Engine assembling"/>
    <d v="2026-01-15T00:00:00"/>
    <d v="2026-01-16T00:00:00"/>
    <d v="2026-01-16T00:00:00"/>
    <m/>
    <d v="1899-12-30T06:30:00"/>
    <d v="1899-12-30T17:30:00"/>
    <n v="11"/>
    <s v="Completed"/>
    <m/>
  </r>
  <r>
    <s v="Bay 4&amp;5 - _x000a_Pumps"/>
    <x v="38"/>
    <x v="2"/>
    <m/>
    <m/>
    <m/>
    <m/>
    <m/>
    <m/>
    <m/>
    <d v="1899-12-30T14:00:00"/>
    <d v="1899-12-30T16:00:00"/>
    <n v="1.9999999999999982"/>
    <m/>
    <m/>
  </r>
  <r>
    <s v="Bay 4&amp;5 - _x000a_Pumps"/>
    <x v="38"/>
    <x v="5"/>
    <s v="Contractor dewatering Pump"/>
    <s v="CP150-265"/>
    <s v="Pump prepare for assembling"/>
    <d v="2026-01-14T00:00:00"/>
    <d v="2026-01-16T00:00:00"/>
    <d v="2026-01-16T00:00:00"/>
    <m/>
    <d v="1899-12-30T06:30:00"/>
    <d v="1899-12-30T17:30:00"/>
    <n v="11"/>
    <s v="Completed"/>
    <m/>
  </r>
  <r>
    <s v="Electrical"/>
    <x v="39"/>
    <x v="8"/>
    <s v="Panel"/>
    <s v="SPB7.5-00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9"/>
    <x v="9"/>
    <s v="Panel"/>
    <s v="SPB7.5-023"/>
    <s v="Modification, rewinding,adding ELC &amp; safety glasses."/>
    <d v="2026-01-13T00:00:00"/>
    <d v="2026-01-18T00:00:00"/>
    <m/>
    <m/>
    <d v="1899-12-30T06:30:00"/>
    <d v="1899-12-30T15:30:00"/>
    <n v="9.0000000000000018"/>
    <s v="Ongoing"/>
    <m/>
  </r>
  <r>
    <s v="Electrical"/>
    <x v="39"/>
    <x v="44"/>
    <s v="Panel"/>
    <s v="DB-184"/>
    <s v="Inspection,service &amp; repair"/>
    <d v="2026-01-15T00:00:00"/>
    <d v="2026-01-15T00:00:00"/>
    <m/>
    <m/>
    <d v="1899-12-30T08:30:00"/>
    <d v="1899-12-30T17:30:00"/>
    <n v="8.9999999999999982"/>
    <s v="Ongoing"/>
    <m/>
  </r>
  <r>
    <s v="Electrical"/>
    <x v="39"/>
    <x v="9"/>
    <s v="Submersible pump"/>
    <s v="SM1002-142"/>
    <s v="Inspection &amp; dismantle"/>
    <d v="2026-01-17T00:00:00"/>
    <d v="2026-01-17T00:00:00"/>
    <m/>
    <m/>
    <d v="1899-12-30T08:30:00"/>
    <d v="1899-12-30T17:30:00"/>
    <n v="8.9999999999999982"/>
    <s v="Ongoing"/>
    <m/>
  </r>
  <r>
    <s v="Electrical"/>
    <x v="39"/>
    <x v="12"/>
    <m/>
    <m/>
    <m/>
    <m/>
    <m/>
    <m/>
    <m/>
    <d v="1899-12-30T08:30:00"/>
    <d v="1899-12-30T17:30:00"/>
    <n v="8.9999999999999982"/>
    <m/>
    <m/>
  </r>
  <r>
    <s v="Electrical"/>
    <x v="39"/>
    <x v="17"/>
    <s v="Submersible pump"/>
    <s v="SM702-021"/>
    <s v="Rewinding"/>
    <d v="2026-01-16T00:00:00"/>
    <d v="2026-01-17T00:00:00"/>
    <m/>
    <m/>
    <d v="1899-12-30T06:30:00"/>
    <d v="1899-12-30T15:30:00"/>
    <n v="9.0000000000000018"/>
    <s v="Ongoing"/>
    <m/>
  </r>
  <r>
    <s v="Electrical"/>
    <x v="39"/>
    <x v="43"/>
    <s v="Submersible pump"/>
    <s v="SM1002 275/022"/>
    <s v="Pump water testing"/>
    <d v="2026-01-17T00:00:00"/>
    <d v="2026-01-17T00:00:00"/>
    <m/>
    <m/>
    <d v="1899-12-30T06:30:00"/>
    <d v="1899-12-30T15:30:00"/>
    <n v="9.0000000000000018"/>
    <s v="Completed"/>
    <m/>
  </r>
  <r>
    <s v="Electrical"/>
    <x v="39"/>
    <x v="35"/>
    <m/>
    <m/>
    <m/>
    <m/>
    <m/>
    <m/>
    <m/>
    <d v="1899-12-30T06:30:00"/>
    <d v="1899-12-30T15:30:00"/>
    <n v="9.0000000000000018"/>
    <m/>
    <m/>
  </r>
  <r>
    <s v="Electrical"/>
    <x v="39"/>
    <x v="13"/>
    <s v="Submersible pump"/>
    <s v="SMSP3-018"/>
    <s v="75kw pump rewinding and connection"/>
    <d v="2026-01-15T00:00:00"/>
    <d v="2026-01-17T00:00:00"/>
    <m/>
    <m/>
    <d v="1899-12-30T06:30:00"/>
    <d v="1899-12-30T15:30:00"/>
    <n v="9.0000000000000018"/>
    <s v="Ongoing"/>
    <m/>
  </r>
  <r>
    <s v="Electrical"/>
    <x v="39"/>
    <x v="33"/>
    <m/>
    <m/>
    <m/>
    <m/>
    <m/>
    <m/>
    <m/>
    <d v="1899-12-30T06:30:00"/>
    <d v="1899-12-30T15:30:00"/>
    <n v="9.0000000000000018"/>
    <m/>
    <m/>
  </r>
  <r>
    <s v="Electrical"/>
    <x v="39"/>
    <x v="24"/>
    <s v="Borehole pump"/>
    <s v="New B:H pump"/>
    <s v="14nos 2.2kw pumps inspection &amp; fleet number tagging"/>
    <d v="2026-01-16T00:00:00"/>
    <d v="2026-01-17T00:00:00"/>
    <m/>
    <m/>
    <d v="1899-12-30T08:30:00"/>
    <d v="1899-12-30T17:30:00"/>
    <n v="8.9999999999999982"/>
    <s v="Completed"/>
    <m/>
  </r>
  <r>
    <s v="Electrical"/>
    <x v="39"/>
    <x v="15"/>
    <m/>
    <m/>
    <m/>
    <m/>
    <m/>
    <m/>
    <m/>
    <d v="1899-12-30T08:30:00"/>
    <d v="1899-12-30T17:30:00"/>
    <n v="8.9999999999999982"/>
    <m/>
    <m/>
  </r>
  <r>
    <s v="Electrical"/>
    <x v="39"/>
    <x v="14"/>
    <s v="Submersible pump"/>
    <s v="SM530-429"/>
    <s v="Inspection &amp; repair"/>
    <d v="2026-01-17T00:00:00"/>
    <d v="2026-01-17T00:00:00"/>
    <m/>
    <m/>
    <d v="1899-12-30T06:30:00"/>
    <d v="1899-12-30T15:30:00"/>
    <n v="9.0000000000000018"/>
    <s v="Ongoing"/>
    <m/>
  </r>
  <r>
    <s v="Electrical"/>
    <x v="39"/>
    <x v="45"/>
    <s v="Generator"/>
    <s v="GENJ60-003"/>
    <s v="Inspection &amp; dismantle"/>
    <d v="2026-01-17T00:00:00"/>
    <d v="2026-01-17T00:00:00"/>
    <m/>
    <m/>
    <d v="1899-12-30T08:30:00"/>
    <d v="1899-12-30T17:30:00"/>
    <n v="8.9999999999999982"/>
    <s v="Completed"/>
    <m/>
  </r>
  <r>
    <s v="Bay 6 -_x000a_Generator"/>
    <x v="39"/>
    <x v="7"/>
    <s v="Diesel Driven CP Pump"/>
    <s v="CD150 spare engine"/>
    <s v="Final fitting"/>
    <d v="2026-01-17T00:00:00"/>
    <d v="2026-01-17T00:00:00"/>
    <m/>
    <m/>
    <d v="1899-12-30T06:30:00"/>
    <d v="1899-12-30T10:30:00"/>
    <n v="4"/>
    <s v="Completed"/>
    <m/>
  </r>
  <r>
    <s v="Bay 6 -_x000a_Generator"/>
    <x v="39"/>
    <x v="23"/>
    <s v="Generator"/>
    <s v="GEN150-021"/>
    <s v="canopy &amp; radiator removing"/>
    <d v="2026-01-16T00:00:00"/>
    <d v="2026-01-17T00:00:00"/>
    <m/>
    <m/>
    <d v="1899-12-30T06:30:00"/>
    <d v="1899-12-30T10:30:00"/>
    <n v="4"/>
    <s v="Ongoing"/>
    <m/>
  </r>
  <r>
    <s v="Bay 6 -_x000a_Generator"/>
    <x v="39"/>
    <x v="23"/>
    <s v="Generator"/>
    <s v="GEN100-013"/>
    <s v="Load testing, fuel tank cleaning, final fitting"/>
    <d v="2026-01-17T00:00:00"/>
    <d v="2026-01-17T00:00:00"/>
    <m/>
    <m/>
    <d v="1899-12-30T10:30:00"/>
    <s v="15;30"/>
    <e v="#VALUE!"/>
    <s v="Completed"/>
    <m/>
  </r>
  <r>
    <s v="Bay 6 -_x000a_Generator"/>
    <x v="39"/>
    <x v="32"/>
    <s v="Generator"/>
    <s v="GEN150-037"/>
    <s v="Engine parts cleaning, washing"/>
    <d v="2026-01-15T00:00:00"/>
    <d v="2026-01-17T00:00:00"/>
    <m/>
    <m/>
    <d v="1899-12-30T08:30:00"/>
    <d v="1899-12-30T17:30:00"/>
    <n v="8.9999999999999982"/>
    <s v="Ongoing"/>
    <m/>
  </r>
  <r>
    <s v="Bay 6 -_x000a_Generator"/>
    <x v="39"/>
    <x v="7"/>
    <m/>
    <m/>
    <m/>
    <m/>
    <m/>
    <m/>
    <m/>
    <d v="1899-12-30T10:30:00"/>
    <s v="15;30"/>
    <e v="#VALUE!"/>
    <m/>
    <m/>
  </r>
  <r>
    <s v="Bay 4&amp;5 - _x000a_Pumps"/>
    <x v="39"/>
    <x v="38"/>
    <s v="Diesel Driven CP Pump"/>
    <s v="CD50E-002"/>
    <s v="Water testing"/>
    <d v="2026-01-17T00:00:00"/>
    <d v="2026-01-21T00:00:00"/>
    <m/>
    <m/>
    <d v="1899-12-30T08:30:00"/>
    <d v="1899-12-30T01:00:00"/>
    <n v="16.5"/>
    <s v="Completed"/>
    <m/>
  </r>
  <r>
    <s v="Bay 4&amp;5 - _x000a_Pumps"/>
    <x v="39"/>
    <x v="37"/>
    <m/>
    <m/>
    <m/>
    <m/>
    <m/>
    <m/>
    <m/>
    <d v="1899-12-30T08:30:00"/>
    <d v="1899-12-30T01:00:00"/>
    <n v="16.5"/>
    <m/>
    <m/>
  </r>
  <r>
    <s v="Bay 4&amp;5 - _x000a_Pumps"/>
    <x v="39"/>
    <x v="18"/>
    <s v="Diesel Driven CP Pump"/>
    <s v="CP108-004"/>
    <s v="Engine top end repairing"/>
    <d v="2026-01-17T00:00:00"/>
    <d v="2026-01-21T00:00:00"/>
    <m/>
    <m/>
    <d v="1899-12-30T06:30:00"/>
    <d v="1899-12-30T15:30:00"/>
    <n v="9.0000000000000018"/>
    <s v="Completed"/>
    <m/>
  </r>
  <r>
    <s v="Bay 4&amp;5 - _x000a_Pumps"/>
    <x v="39"/>
    <x v="20"/>
    <m/>
    <m/>
    <m/>
    <m/>
    <m/>
    <m/>
    <m/>
    <d v="1899-12-30T06:30:00"/>
    <d v="1899-12-30T15:30:00"/>
    <n v="9.0000000000000018"/>
    <m/>
    <m/>
  </r>
  <r>
    <s v="Bay 4&amp;5 - _x000a_Pumps"/>
    <x v="39"/>
    <x v="0"/>
    <s v="Contractor dewatering Pump"/>
    <s v="ZD900-032E"/>
    <s v="Pump repair &amp; water test."/>
    <d v="2026-01-16T00:00:00"/>
    <d v="2026-01-17T00:00:00"/>
    <m/>
    <m/>
    <d v="1899-12-30T06:30:00"/>
    <d v="1899-12-30T15:30:00"/>
    <n v="9.0000000000000018"/>
    <s v="Ongoing"/>
    <m/>
  </r>
  <r>
    <s v="Bay 4&amp;5 - _x000a_Pumps"/>
    <x v="39"/>
    <x v="3"/>
    <s v="Contractor dewatering Pump"/>
    <s v="CP150-184"/>
    <s v="Engine assembling."/>
    <d v="2026-01-09T00:00:00"/>
    <d v="2026-01-17T00:00:00"/>
    <m/>
    <m/>
    <d v="1899-12-30T06:30:00"/>
    <d v="1899-12-30T12:30:00"/>
    <n v="6.0000000000000018"/>
    <s v="Completed"/>
    <m/>
  </r>
  <r>
    <s v="Bay 4&amp;5 - _x000a_Pumps"/>
    <x v="39"/>
    <x v="2"/>
    <m/>
    <m/>
    <m/>
    <m/>
    <m/>
    <m/>
    <m/>
    <d v="1899-12-30T13:00:00"/>
    <d v="1899-12-30T14:00:00"/>
    <n v="1.0000000000000018"/>
    <m/>
    <m/>
  </r>
  <r>
    <s v="Bay 4&amp;5 - _x000a_Pumps"/>
    <x v="39"/>
    <x v="28"/>
    <s v="Contractor dewatering Pump"/>
    <s v="CP150-614"/>
    <s v="Pump dismantling."/>
    <d v="2026-01-09T00:00:00"/>
    <d v="2026-01-16T00:00:00"/>
    <m/>
    <m/>
    <d v="1899-12-30T06:30:00"/>
    <d v="1899-12-30T17:30:00"/>
    <n v="11"/>
    <s v="Ongoing"/>
    <m/>
  </r>
  <r>
    <s v="Bay 4&amp;5 - _x000a_Pumps"/>
    <x v="39"/>
    <x v="2"/>
    <m/>
    <m/>
    <m/>
    <m/>
    <m/>
    <m/>
    <m/>
    <d v="1899-12-30T08:30:00"/>
    <d v="1899-12-30T10:30:00"/>
    <n v="1.9999999999999996"/>
    <m/>
    <m/>
  </r>
  <r>
    <s v="Bay 4&amp;5 - _x000a_Pumps"/>
    <x v="39"/>
    <x v="1"/>
    <s v="Contractor dewatering Pump"/>
    <s v="CP250-001"/>
    <s v="Pump dismantling ongoing."/>
    <d v="2026-01-15T00:00:00"/>
    <d v="2026-01-16T00:00:00"/>
    <m/>
    <m/>
    <d v="1899-12-30T06:30:00"/>
    <d v="1899-12-30T17:30:00"/>
    <n v="11"/>
    <s v="Completed"/>
    <m/>
  </r>
  <r>
    <s v="Bay 4&amp;5 - _x000a_Pumps"/>
    <x v="39"/>
    <x v="2"/>
    <m/>
    <m/>
    <m/>
    <m/>
    <m/>
    <m/>
    <m/>
    <d v="1899-12-30T10:30:00"/>
    <d v="1899-12-30T12:00:00"/>
    <n v="1.5"/>
    <m/>
    <m/>
  </r>
  <r>
    <s v="Bay 4&amp;5 - _x000a_Pumps"/>
    <x v="39"/>
    <x v="4"/>
    <s v="Contractor dewatering Pump"/>
    <s v="Spare engine for mozambic"/>
    <s v="Engine assembling"/>
    <d v="2026-01-15T00:00:00"/>
    <d v="2026-01-16T00:00:00"/>
    <m/>
    <m/>
    <d v="1899-12-30T06:30:00"/>
    <d v="1899-12-30T17:30:00"/>
    <n v="11"/>
    <s v="Ongoing"/>
    <m/>
  </r>
  <r>
    <s v="Bay 4&amp;5 - _x000a_Pumps"/>
    <x v="39"/>
    <x v="2"/>
    <m/>
    <m/>
    <m/>
    <m/>
    <m/>
    <m/>
    <m/>
    <d v="1899-12-30T14:00:00"/>
    <d v="1899-12-30T16:00:00"/>
    <n v="1.9999999999999982"/>
    <m/>
    <m/>
  </r>
  <r>
    <s v="Bay 4&amp;5 - _x000a_Pumps"/>
    <x v="39"/>
    <x v="5"/>
    <s v="Contractor dewatering Pump"/>
    <s v="CP150-265"/>
    <s v="Pump prepare for assembling"/>
    <d v="2026-01-14T00:00:00"/>
    <d v="2026-01-16T00:00:00"/>
    <m/>
    <m/>
    <d v="1899-12-30T06:30:00"/>
    <d v="1899-12-30T17:30:00"/>
    <n v="11"/>
    <s v="Ongoing"/>
    <m/>
  </r>
  <r>
    <s v="Electrical"/>
    <x v="40"/>
    <x v="8"/>
    <s v="Panel"/>
    <s v="SPB7.5-00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0"/>
    <x v="9"/>
    <s v="Panel"/>
    <s v="SPB7.5-02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0"/>
    <x v="44"/>
    <s v="Panel"/>
    <s v="CPBX3"/>
    <s v="repair test &amp; PDI"/>
    <d v="2026-01-19T00:00:00"/>
    <d v="2026-01-19T00:00:00"/>
    <d v="2026-01-19T00:00:00"/>
    <m/>
    <d v="1899-12-30T08:30:00"/>
    <d v="1899-12-30T17:30:00"/>
    <n v="8.9999999999999982"/>
    <s v="Completed"/>
    <m/>
  </r>
  <r>
    <s v="Electrical"/>
    <x v="40"/>
    <x v="9"/>
    <s v="Generator"/>
    <s v="GENJ60-003"/>
    <s v="Inspection &amp; servicing"/>
    <d v="2026-01-19T00:00:00"/>
    <d v="2026-01-19T00:00:00"/>
    <m/>
    <m/>
    <d v="1899-12-30T08:30:00"/>
    <d v="1899-12-30T13:00:00"/>
    <n v="4.4999999999999982"/>
    <s v="Ongoing"/>
    <m/>
  </r>
  <r>
    <s v="Electrical"/>
    <x v="40"/>
    <x v="12"/>
    <m/>
    <m/>
    <m/>
    <m/>
    <m/>
    <m/>
    <m/>
    <d v="1899-12-30T08:30:00"/>
    <d v="1899-12-30T13:00:00"/>
    <n v="4.4999999999999982"/>
    <m/>
    <m/>
  </r>
  <r>
    <s v="Electrical"/>
    <x v="40"/>
    <x v="17"/>
    <s v="Submersible pump"/>
    <s v="SM702-021"/>
    <s v="Rewinding"/>
    <d v="2026-01-16T00:00:00"/>
    <d v="2026-01-19T00:00:00"/>
    <d v="2026-01-19T00:00:00"/>
    <m/>
    <d v="1899-12-30T06:30:00"/>
    <d v="1899-12-30T13:00:00"/>
    <n v="6.5"/>
    <s v="Completed"/>
    <m/>
  </r>
  <r>
    <s v="Electrical"/>
    <x v="40"/>
    <x v="43"/>
    <s v="Submersible pump"/>
    <s v="SM1002 60/142"/>
    <s v="Inspection &amp; reapair"/>
    <d v="2026-01-19T00:00:00"/>
    <d v="2026-01-19T00:00:00"/>
    <m/>
    <m/>
    <d v="1899-12-30T06:30:00"/>
    <d v="1899-12-30T15:30:00"/>
    <n v="9.0000000000000018"/>
    <s v="Hold"/>
    <m/>
  </r>
  <r>
    <s v="Electrical"/>
    <x v="40"/>
    <x v="35"/>
    <m/>
    <m/>
    <m/>
    <m/>
    <m/>
    <m/>
    <m/>
    <d v="1899-12-30T06:30:00"/>
    <d v="1899-12-30T15:30:00"/>
    <n v="9.0000000000000018"/>
    <m/>
    <m/>
  </r>
  <r>
    <s v="Electrical"/>
    <x v="40"/>
    <x v="13"/>
    <s v="Generator"/>
    <s v="GENJ60-003"/>
    <s v="Excide rotor rewinding"/>
    <d v="2026-01-19T00:00:00"/>
    <d v="2026-01-19T00:00:00"/>
    <m/>
    <m/>
    <d v="1899-12-30T06:30:00"/>
    <d v="1899-12-30T15:30:00"/>
    <n v="9.0000000000000018"/>
    <s v="Ongoing"/>
    <m/>
  </r>
  <r>
    <s v="Electrical"/>
    <x v="40"/>
    <x v="24"/>
    <s v="Borehole pump"/>
    <s v="Old B:H pump"/>
    <s v="7nos BH pumps water testing"/>
    <d v="2026-01-19T00:00:00"/>
    <d v="2026-01-19T00:00:00"/>
    <m/>
    <m/>
    <d v="1899-12-30T08:30:00"/>
    <d v="1899-12-30T13:00:00"/>
    <n v="4.4999999999999982"/>
    <s v="Ongoing"/>
    <m/>
  </r>
  <r>
    <s v="Electrical"/>
    <x v="40"/>
    <x v="15"/>
    <m/>
    <m/>
    <m/>
    <m/>
    <m/>
    <m/>
    <m/>
    <d v="1899-12-30T08:30:00"/>
    <d v="1899-12-30T13:00:00"/>
    <n v="4.4999999999999982"/>
    <m/>
    <m/>
  </r>
  <r>
    <s v="Electrical"/>
    <x v="40"/>
    <x v="14"/>
    <s v="Submersible pump"/>
    <s v="SM530-480"/>
    <s v="Inspection &amp; repair"/>
    <d v="2026-01-17T00:00:00"/>
    <d v="2026-01-19T00:00:00"/>
    <m/>
    <m/>
    <d v="1899-12-30T06:30:00"/>
    <d v="1899-12-30T15:30:00"/>
    <n v="9.0000000000000018"/>
    <s v="Hold"/>
    <m/>
  </r>
  <r>
    <s v="Electrical"/>
    <x v="40"/>
    <x v="43"/>
    <s v="Other"/>
    <s v="Spider light"/>
    <s v="SLT018/21/30/32/027/017 6nos tower light for each 30meter cable &amp; 6nos male socket"/>
    <d v="2026-01-19T00:00:00"/>
    <d v="2026-01-19T00:00:00"/>
    <d v="2026-01-19T00:00:00"/>
    <m/>
    <d v="1899-12-30T12:00:00"/>
    <d v="1899-12-30T15:30:00"/>
    <n v="3.5000000000000009"/>
    <s v="Completed"/>
    <m/>
  </r>
  <r>
    <s v="Electrical"/>
    <x v="40"/>
    <x v="35"/>
    <m/>
    <m/>
    <m/>
    <m/>
    <m/>
    <m/>
    <m/>
    <d v="1899-12-30T15:30:00"/>
    <d v="1899-12-30T15:30:00"/>
    <n v="0"/>
    <m/>
    <m/>
  </r>
  <r>
    <s v="Electrical"/>
    <x v="40"/>
    <x v="14"/>
    <m/>
    <m/>
    <m/>
    <m/>
    <m/>
    <m/>
    <m/>
    <d v="1899-12-30T15:30:00"/>
    <d v="1899-12-30T15:30:00"/>
    <n v="0"/>
    <m/>
    <m/>
  </r>
  <r>
    <s v="Bay 6 -_x000a_Generator"/>
    <x v="40"/>
    <x v="7"/>
    <s v="Drill rig"/>
    <s v="DR-025"/>
    <s v="Motor repair"/>
    <d v="2026-01-19T00:00:00"/>
    <d v="2026-01-19T00:00:00"/>
    <d v="2026-01-19T00:00:00"/>
    <m/>
    <d v="1899-12-30T06:30:00"/>
    <d v="1899-12-30T10:30:00"/>
    <n v="4"/>
    <s v="Completed"/>
    <m/>
  </r>
  <r>
    <s v="Bay 6 -_x000a_Generator"/>
    <x v="40"/>
    <x v="32"/>
    <s v="Generator"/>
    <s v="GEN150-037"/>
    <s v="Engine parts cleaning, washing"/>
    <d v="2026-01-15T00:00:00"/>
    <d v="2026-01-17T00:00:00"/>
    <m/>
    <m/>
    <d v="1899-12-30T06:30:00"/>
    <d v="1899-12-30T17:30:00"/>
    <n v="11"/>
    <s v="Ongoing"/>
    <m/>
  </r>
  <r>
    <s v="Bay 6 -_x000a_Generator"/>
    <x v="40"/>
    <x v="23"/>
    <m/>
    <m/>
    <m/>
    <m/>
    <m/>
    <m/>
    <m/>
    <d v="1899-12-30T08:30:00"/>
    <d v="1899-12-30T15:30:00"/>
    <n v="7"/>
    <m/>
    <m/>
  </r>
  <r>
    <s v="Bay 4&amp;5 - _x000a_Pumps"/>
    <x v="40"/>
    <x v="38"/>
    <s v="Diesel Driven CP Pump"/>
    <s v="CD50E-002"/>
    <s v="Water testing"/>
    <d v="2026-01-17T00:00:00"/>
    <d v="2026-01-21T00:00:00"/>
    <d v="2026-01-21T00:00:00"/>
    <m/>
    <d v="1899-12-30T08:30:00"/>
    <d v="1899-12-30T01:00:00"/>
    <n v="16.5"/>
    <s v="Completed"/>
    <m/>
  </r>
  <r>
    <s v="Bay 4&amp;5 - _x000a_Pumps"/>
    <x v="40"/>
    <x v="37"/>
    <m/>
    <m/>
    <m/>
    <m/>
    <m/>
    <m/>
    <m/>
    <d v="1899-12-30T08:30:00"/>
    <d v="1899-12-30T01:00:00"/>
    <n v="16.5"/>
    <m/>
    <m/>
  </r>
  <r>
    <s v="Bay 4&amp;5 - _x000a_Pumps"/>
    <x v="40"/>
    <x v="38"/>
    <s v="Diesel Driven CP Pump"/>
    <s v="CD50E-001/004"/>
    <s v="Parts cleaning, cramic coating"/>
    <d v="2026-01-19T00:00:00"/>
    <d v="2026-01-31T00:00:00"/>
    <d v="2026-01-31T00:00:00"/>
    <m/>
    <d v="1899-12-30T14:00:00"/>
    <d v="1899-12-30T17:30:00"/>
    <n v="3.4999999999999982"/>
    <s v="Completed"/>
    <m/>
  </r>
  <r>
    <s v="Bay 4&amp;5 - _x000a_Pumps"/>
    <x v="40"/>
    <x v="37"/>
    <m/>
    <m/>
    <m/>
    <m/>
    <m/>
    <m/>
    <m/>
    <d v="1899-12-30T14:00:00"/>
    <d v="1899-12-30T17:30:00"/>
    <n v="3.4999999999999982"/>
    <m/>
    <m/>
  </r>
  <r>
    <s v="Bay 4&amp;5 - _x000a_Pumps"/>
    <x v="40"/>
    <x v="18"/>
    <s v="Diesel Driven CP Pump"/>
    <s v="CP108-004"/>
    <s v="Engine top end repairing"/>
    <d v="2026-01-17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0"/>
    <x v="20"/>
    <m/>
    <m/>
    <m/>
    <m/>
    <m/>
    <m/>
    <m/>
    <d v="1899-12-30T06:30:00"/>
    <d v="1899-12-30T15:30:00"/>
    <n v="9.0000000000000018"/>
    <m/>
    <m/>
  </r>
  <r>
    <s v="Bay 4&amp;5 - _x000a_Pumps"/>
    <x v="40"/>
    <x v="0"/>
    <s v="Contractor dewatering Pump"/>
    <s v="ZD900-032E"/>
    <s v="Pump dismantle &amp; welding"/>
    <d v="2026-01-16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5"/>
    <s v="Contractor dewatering Pump"/>
    <s v="CP150-265"/>
    <s v="Pump overhaul"/>
    <d v="2026-01-09T00:00:00"/>
    <d v="2026-01-17T00:00:00"/>
    <m/>
    <m/>
    <d v="1899-12-30T06:30:00"/>
    <d v="1899-12-30T17:30:00"/>
    <n v="11"/>
    <s v="Ongoing"/>
    <m/>
  </r>
  <r>
    <s v="Bay 4&amp;5 - _x000a_Pumps"/>
    <x v="40"/>
    <x v="2"/>
    <m/>
    <m/>
    <m/>
    <m/>
    <m/>
    <m/>
    <m/>
    <d v="1899-12-30T13:00:00"/>
    <d v="1899-12-30T14:00:00"/>
    <n v="1.0000000000000018"/>
    <m/>
    <m/>
  </r>
  <r>
    <s v="Bay 4&amp;5 - _x000a_Pumps"/>
    <x v="40"/>
    <x v="28"/>
    <s v="Contractor dewatering Pump"/>
    <s v="CP150-184"/>
    <s v="Pump repair ongoing"/>
    <d v="2026-01-09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2"/>
    <m/>
    <m/>
    <m/>
    <m/>
    <m/>
    <m/>
    <m/>
    <d v="1899-12-30T08:30:00"/>
    <d v="1899-12-30T10:30:00"/>
    <n v="1.9999999999999996"/>
    <m/>
    <m/>
  </r>
  <r>
    <s v="Bay 4&amp;5 - _x000a_Pumps"/>
    <x v="40"/>
    <x v="1"/>
    <s v="Contractor dewatering Pump"/>
    <s v="CP250-001"/>
    <s v="Pump assembling"/>
    <d v="2026-01-15T00:00:00"/>
    <d v="2026-01-19T00:00:00"/>
    <m/>
    <m/>
    <d v="1899-12-30T06:30:00"/>
    <d v="1899-12-30T17:30:00"/>
    <n v="11"/>
    <s v="Ongoing"/>
    <m/>
  </r>
  <r>
    <s v="Bay 4&amp;5 - _x000a_Pumps"/>
    <x v="40"/>
    <x v="2"/>
    <m/>
    <m/>
    <m/>
    <m/>
    <m/>
    <m/>
    <m/>
    <d v="1899-12-30T10:30:00"/>
    <d v="1899-12-30T12:00:00"/>
    <n v="1.5"/>
    <m/>
    <m/>
  </r>
  <r>
    <s v="Bay 4&amp;5 - _x000a_Pumps"/>
    <x v="40"/>
    <x v="4"/>
    <s v="Contractor dewatering Pump"/>
    <s v="Pressure washer"/>
    <s v="Engine repair for site maintenance"/>
    <d v="2026-01-17T00:00:00"/>
    <d v="2026-01-19T00:00:00"/>
    <d v="2026-01-19T00:00:00"/>
    <m/>
    <d v="1899-12-30T06:30:00"/>
    <d v="1899-12-30T17:30:00"/>
    <n v="11"/>
    <s v="Completed"/>
    <m/>
  </r>
  <r>
    <s v="Bay 4&amp;5 - _x000a_Pumps"/>
    <x v="40"/>
    <x v="2"/>
    <m/>
    <m/>
    <m/>
    <m/>
    <m/>
    <m/>
    <m/>
    <d v="1899-12-30T14:00:00"/>
    <d v="1899-12-30T16:00:00"/>
    <n v="1.9999999999999982"/>
    <m/>
    <m/>
  </r>
  <r>
    <s v="Electrical"/>
    <x v="41"/>
    <x v="8"/>
    <s v="Panel"/>
    <s v="SPB7.5-003"/>
    <s v="Safety glass, canopy fixing, test &amp; PDI"/>
    <d v="2026-01-13T00:00:00"/>
    <d v="2026-01-20T00:00:00"/>
    <m/>
    <m/>
    <d v="1899-12-30T06:30:00"/>
    <d v="1899-12-30T15:30:00"/>
    <n v="9.0000000000000018"/>
    <s v="Ongoing"/>
    <m/>
  </r>
  <r>
    <s v="Electrical"/>
    <x v="41"/>
    <x v="9"/>
    <s v="Panel"/>
    <s v="SPB7.5-023"/>
    <s v="Safety glass, canopy fixing, test &amp; PDI"/>
    <d v="2026-01-13T00:00:00"/>
    <d v="2026-01-20T00:00:00"/>
    <m/>
    <m/>
    <d v="1899-12-30T08:30:00"/>
    <d v="1899-12-30T17:30:00"/>
    <n v="8.9999999999999982"/>
    <s v="Ongoing"/>
    <m/>
  </r>
  <r>
    <s v="Electrical"/>
    <x v="41"/>
    <x v="44"/>
    <s v="Panel"/>
    <s v="SPB3.7"/>
    <s v="Dispatching panels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1"/>
    <x v="9"/>
    <s v="Generator"/>
    <s v="GENJ60-003"/>
    <s v="Inspection &amp; servicing"/>
    <d v="2026-01-19T00:00:00"/>
    <d v="2026-01-20T00:00:00"/>
    <d v="2026-01-20T00:00:00"/>
    <m/>
    <d v="1899-12-30T06:30:00"/>
    <d v="1899-12-30T17:30:00"/>
    <n v="11"/>
    <s v="Completed"/>
    <m/>
  </r>
  <r>
    <s v="Electrical"/>
    <x v="41"/>
    <x v="12"/>
    <m/>
    <m/>
    <m/>
    <m/>
    <m/>
    <m/>
    <m/>
    <d v="1899-12-30T06:30:00"/>
    <d v="1899-12-30T17:30:00"/>
    <n v="11"/>
    <m/>
    <m/>
  </r>
  <r>
    <s v="Electrical"/>
    <x v="41"/>
    <x v="17"/>
    <s v="Submersible pump"/>
    <s v="SSD22-002"/>
    <s v="Copper cable  removing &amp; rewinding"/>
    <d v="2026-01-20T00:00:00"/>
    <d v="2026-01-20T00:00:00"/>
    <d v="2026-01-20T00:00:00"/>
    <m/>
    <d v="1899-12-30T06:30:00"/>
    <d v="1899-12-30T15:30:00"/>
    <n v="9.0000000000000018"/>
    <s v="Completed"/>
    <m/>
  </r>
  <r>
    <s v="Electrical"/>
    <x v="41"/>
    <x v="43"/>
    <s v="Submersible pump"/>
    <s v="SM1002-142"/>
    <s v="Inspection &amp; reapair"/>
    <d v="2026-01-19T00:00:00"/>
    <d v="2026-01-20T00:00:00"/>
    <d v="2026-01-20T00:00:00"/>
    <m/>
    <d v="1899-12-30T09:00:00"/>
    <d v="1899-12-30T15:30:00"/>
    <n v="6.5000000000000009"/>
    <s v="Completed"/>
    <m/>
  </r>
  <r>
    <s v="Electrical"/>
    <x v="41"/>
    <x v="35"/>
    <m/>
    <m/>
    <m/>
    <m/>
    <m/>
    <m/>
    <m/>
    <d v="1899-12-30T09:00:00"/>
    <d v="1899-12-30T15:30:00"/>
    <n v="6.5000000000000009"/>
    <m/>
    <m/>
  </r>
  <r>
    <s v="Electrical"/>
    <x v="41"/>
    <x v="13"/>
    <s v="Generator"/>
    <s v="GENJ60-003"/>
    <s v="Excide rotor rewinding"/>
    <d v="2026-01-19T00:00:00"/>
    <d v="2026-01-20T00:00:00"/>
    <d v="2026-01-20T00:00:00"/>
    <m/>
    <d v="1899-12-30T06:30:00"/>
    <d v="1899-12-30T15:30:00"/>
    <n v="9.0000000000000018"/>
    <s v="Completed"/>
    <m/>
  </r>
  <r>
    <s v="Electrical"/>
    <x v="41"/>
    <x v="24"/>
    <s v="Borehole pump"/>
    <s v="Old B:H pump"/>
    <s v="15nos BH pumps inspection &amp; repair"/>
    <d v="2026-01-19T00:00:00"/>
    <d v="2026-01-20T00:00:00"/>
    <d v="2026-01-20T00:00:00"/>
    <m/>
    <d v="1899-12-30T08:30:00"/>
    <d v="1899-12-30T17:30:00"/>
    <n v="8.9999999999999982"/>
    <s v="Completed"/>
    <m/>
  </r>
  <r>
    <s v="Electrical"/>
    <x v="41"/>
    <x v="15"/>
    <m/>
    <m/>
    <m/>
    <m/>
    <m/>
    <m/>
    <m/>
    <d v="1899-12-30T08:30:00"/>
    <d v="1899-12-30T17:30:00"/>
    <n v="8.9999999999999982"/>
    <m/>
    <m/>
  </r>
  <r>
    <s v="Electrical"/>
    <x v="41"/>
    <x v="14"/>
    <s v="Submersible pump"/>
    <s v="SM530-480"/>
    <s v="Inspection &amp; repair"/>
    <d v="2026-01-17T00:00:00"/>
    <d v="2026-01-20T00:00:00"/>
    <d v="2026-01-20T00:00:00"/>
    <m/>
    <d v="1899-12-30T09:00:00"/>
    <d v="1899-12-30T15:30:00"/>
    <n v="6.5000000000000009"/>
    <s v="Completed"/>
    <m/>
  </r>
  <r>
    <s v="Electrical"/>
    <x v="41"/>
    <x v="43"/>
    <s v="Other"/>
    <s v="Spider light"/>
    <s v="SLT018/21/30/32/027/017 6nos tower light for each 30meter cable &amp; 6nos male socket"/>
    <d v="2026-01-19T00:00:00"/>
    <d v="2026-01-20T00:00:00"/>
    <d v="2026-01-20T00:00:00"/>
    <m/>
    <d v="1899-12-30T06:30:00"/>
    <d v="1899-12-30T09:00:00"/>
    <n v="2.5000000000000004"/>
    <s v="Completed"/>
    <m/>
  </r>
  <r>
    <s v="Electrical"/>
    <x v="41"/>
    <x v="35"/>
    <m/>
    <m/>
    <m/>
    <m/>
    <m/>
    <m/>
    <m/>
    <d v="1899-12-30T06:30:00"/>
    <d v="1899-12-30T09:00:00"/>
    <n v="2.5000000000000004"/>
    <m/>
    <m/>
  </r>
  <r>
    <s v="Electrical"/>
    <x v="41"/>
    <x v="14"/>
    <m/>
    <m/>
    <m/>
    <m/>
    <m/>
    <m/>
    <m/>
    <d v="1899-12-30T06:30:00"/>
    <d v="1899-12-30T09:00:00"/>
    <n v="2.5000000000000004"/>
    <m/>
    <m/>
  </r>
  <r>
    <s v="Bay 6 -_x000a_Generator"/>
    <x v="41"/>
    <x v="23"/>
    <s v="Generator"/>
    <s v="GENJ150-058"/>
    <s v="Final fitting"/>
    <d v="2026-01-20T00:00:00"/>
    <d v="2026-01-20T00:00:00"/>
    <d v="2026-01-20T00:00:00"/>
    <m/>
    <d v="1899-12-30T08:30:00"/>
    <d v="1899-12-30T10:30:00"/>
    <n v="1.9999999999999996"/>
    <s v="Completed"/>
    <m/>
  </r>
  <r>
    <s v="Bay 6 -_x000a_Generator"/>
    <x v="41"/>
    <x v="32"/>
    <s v="Generator"/>
    <s v="GEN150-037"/>
    <s v="Engine parts cleaning."/>
    <d v="2026-01-15T00:00:00"/>
    <d v="2026-01-20T00:00:00"/>
    <m/>
    <m/>
    <d v="1899-12-30T06:30:00"/>
    <d v="1899-12-30T15:30:00"/>
    <n v="9.0000000000000018"/>
    <s v="Hold"/>
    <m/>
  </r>
  <r>
    <s v="Bay 6 -_x000a_Generator"/>
    <x v="41"/>
    <x v="23"/>
    <s v="Generator"/>
    <s v="GENJ250-043"/>
    <s v="Final fitting, PDI &amp; flowfinity"/>
    <d v="2026-01-20T00:00:00"/>
    <d v="2026-01-20T00:00:00"/>
    <d v="2026-01-20T00:00:00"/>
    <m/>
    <d v="1899-12-30T10:30:00"/>
    <d v="1899-12-30T13:30:00"/>
    <n v="3"/>
    <s v="Completed"/>
    <m/>
  </r>
  <r>
    <s v="Bay 6 -_x000a_Generator"/>
    <x v="41"/>
    <x v="23"/>
    <s v="Generator"/>
    <s v="GEN150-004"/>
    <s v="General repair, load test"/>
    <d v="2026-01-20T00:00:00"/>
    <d v="2026-01-20T00:00:00"/>
    <m/>
    <m/>
    <d v="1899-12-30T13:30:00"/>
    <d v="1899-12-30T17:30:00"/>
    <n v="3.9999999999999991"/>
    <s v="Hold"/>
    <m/>
  </r>
  <r>
    <s v="Bay 6 -_x000a_Generator"/>
    <x v="41"/>
    <x v="46"/>
    <s v="Other"/>
    <s v="ABI-14/17-001"/>
    <s v="Gearbox repaired onsite."/>
    <d v="2026-01-20T00:00:00"/>
    <d v="2026-01-20T00:00:00"/>
    <d v="2026-01-20T00:00:00"/>
    <m/>
    <d v="1899-12-30T13:30:00"/>
    <d v="1899-12-30T13:30:00"/>
    <n v="0"/>
    <s v="Completed"/>
    <m/>
  </r>
  <r>
    <s v="Bay 4&amp;5 - _x000a_Pumps"/>
    <x v="41"/>
    <x v="19"/>
    <s v="Diesel Driven CP Pump"/>
    <s v="CP108-004"/>
    <s v="Vaccum pump &amp; fleet number repairing"/>
    <d v="2026-01-20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1"/>
    <x v="20"/>
    <m/>
    <m/>
    <m/>
    <m/>
    <m/>
    <m/>
    <m/>
    <d v="1899-12-30T06:30:00"/>
    <d v="1899-12-30T15:30:00"/>
    <n v="9.0000000000000018"/>
    <m/>
    <m/>
  </r>
  <r>
    <s v="Bay 4&amp;5 - _x000a_Pumps"/>
    <x v="41"/>
    <x v="38"/>
    <s v="Diesel Driven CP Pump"/>
    <s v="KV500-24"/>
    <s v="Washing pump end flashing, cpoupling inspection &amp; valve repairing"/>
    <d v="2026-01-19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1"/>
    <x v="37"/>
    <m/>
    <m/>
    <m/>
    <m/>
    <m/>
    <m/>
    <m/>
    <d v="1899-12-30T08:30:00"/>
    <d v="1899-12-30T17:30:00"/>
    <n v="8.9999999999999982"/>
    <m/>
    <m/>
  </r>
  <r>
    <s v="Bay 4&amp;5 - _x000a_Pumps"/>
    <x v="41"/>
    <x v="18"/>
    <s v="Other"/>
    <s v="General work"/>
    <s v="Engine top end repairing"/>
    <d v="2026-01-20T00:00:00"/>
    <d v="2026-01-20T00:00:00"/>
    <d v="2026-01-20T00:00:00"/>
    <m/>
    <d v="1899-12-30T06:30:00"/>
    <d v="1899-12-30T15:30:00"/>
    <n v="9.0000000000000018"/>
    <s v="Completed"/>
    <m/>
  </r>
  <r>
    <s v="Bay 4&amp;5 - _x000a_Pumps"/>
    <x v="41"/>
    <x v="0"/>
    <s v="Contractor dewatering Pump"/>
    <s v="ZD900-032E"/>
    <s v="Pump dismantle &amp; welding, coating"/>
    <d v="2026-01-16T00:00:00"/>
    <d v="2026-01-20T00:00:00"/>
    <d v="2026-01-20T00:00:00"/>
    <m/>
    <d v="1899-12-30T06:30:00"/>
    <d v="1899-12-30T17:30:00"/>
    <n v="11"/>
    <s v="Completed"/>
    <m/>
  </r>
  <r>
    <s v="Bay 4&amp;5 - _x000a_Pumps"/>
    <x v="41"/>
    <x v="5"/>
    <s v="Contractor dewatering Pump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s v="Completed"/>
    <m/>
  </r>
  <r>
    <s v="Bay 4&amp;5 - _x000a_Pumps"/>
    <x v="41"/>
    <x v="2"/>
    <m/>
    <m/>
    <m/>
    <m/>
    <m/>
    <m/>
    <m/>
    <d v="1899-12-30T13:00:00"/>
    <d v="1899-12-30T14:00:00"/>
    <n v="1.0000000000000018"/>
    <m/>
    <m/>
  </r>
  <r>
    <s v="Bay 4&amp;5 - _x000a_Pumps"/>
    <x v="41"/>
    <x v="28"/>
    <s v="Contractor dewatering Pump"/>
    <s v="CP150-184"/>
    <s v="Pump assembling "/>
    <d v="2026-01-19T00:00:00"/>
    <d v="2026-01-20T00:00:00"/>
    <m/>
    <m/>
    <d v="1899-12-30T06:30:00"/>
    <d v="1899-12-30T10:30:00"/>
    <n v="4"/>
    <s v="Ongoing"/>
    <m/>
  </r>
  <r>
    <s v="Bay 4&amp;5 - _x000a_Pumps"/>
    <x v="41"/>
    <x v="2"/>
    <m/>
    <m/>
    <m/>
    <m/>
    <m/>
    <m/>
    <m/>
    <d v="1899-12-30T08:30:00"/>
    <d v="1899-12-30T10:30:00"/>
    <n v="1.9999999999999996"/>
    <m/>
    <m/>
  </r>
  <r>
    <s v="Bay 4&amp;5 - _x000a_Pumps"/>
    <x v="41"/>
    <x v="1"/>
    <s v="Contractor dewatering Pump"/>
    <s v="CP150-250"/>
    <s v="Engine cylinder head repair"/>
    <d v="2026-01-20T00:00:00"/>
    <d v="2026-01-20T00:00:00"/>
    <d v="2026-01-20T00:00:00"/>
    <m/>
    <d v="1899-12-30T06:30:00"/>
    <d v="1899-12-30T17:30:00"/>
    <n v="11"/>
    <s v="Completed"/>
    <m/>
  </r>
  <r>
    <s v="Bay 4&amp;5 - _x000a_Pumps"/>
    <x v="41"/>
    <x v="2"/>
    <m/>
    <m/>
    <m/>
    <m/>
    <m/>
    <m/>
    <m/>
    <d v="1899-12-30T10:30:00"/>
    <d v="1899-12-30T12:00:00"/>
    <n v="1.5"/>
    <m/>
    <m/>
  </r>
  <r>
    <s v="Bay 4&amp;5 - _x000a_Pumps"/>
    <x v="41"/>
    <x v="4"/>
    <s v="Contractor dewatering Pump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s v="Completed"/>
    <m/>
  </r>
  <r>
    <s v="Bay 4&amp;5 - _x000a_Pumps"/>
    <x v="41"/>
    <x v="2"/>
    <m/>
    <m/>
    <m/>
    <m/>
    <m/>
    <m/>
    <m/>
    <d v="1899-12-30T14:00:00"/>
    <d v="1899-12-30T16:00:00"/>
    <n v="1.9999999999999982"/>
    <m/>
    <m/>
  </r>
  <r>
    <s v="Bay 4&amp;5 - _x000a_Pumps"/>
    <x v="41"/>
    <x v="4"/>
    <s v="Contractor dewatering Pump"/>
    <s v="PT175-550"/>
    <s v="Pump dismantle for SWI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2"/>
    <x v="8"/>
    <s v="Panel"/>
    <s v="SPB7.5-109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2"/>
    <x v="9"/>
    <s v="Panel"/>
    <s v="SPB2.2-034"/>
    <s v="Repair, test &amp; PDI"/>
    <d v="2026-01-21T00:00:00"/>
    <d v="2026-01-21T00:00:00"/>
    <m/>
    <m/>
    <d v="1899-12-30T08:30:00"/>
    <d v="1899-12-30T17:30:00"/>
    <n v="8.9999999999999982"/>
    <s v="Hold"/>
    <m/>
  </r>
  <r>
    <s v="Electrical"/>
    <x v="42"/>
    <x v="44"/>
    <s v="Panel"/>
    <s v="SPB7.5-085"/>
    <s v="Modification, adding ELCB &amp; safety glass"/>
    <d v="2026-01-21T00:00:00"/>
    <d v="2026-01-24T00:00:00"/>
    <m/>
    <m/>
    <d v="1899-12-30T08:30:00"/>
    <d v="1899-12-30T17:30:00"/>
    <n v="8.9999999999999982"/>
    <s v="Ongoing"/>
    <m/>
  </r>
  <r>
    <s v="Electrical"/>
    <x v="42"/>
    <x v="33"/>
    <s v="Generator"/>
    <s v="GENJ60-003"/>
    <s v="Inspection &amp; assemble"/>
    <d v="2026-01-21T00:00:00"/>
    <d v="2026-01-21T00:00:00"/>
    <d v="2026-01-21T00:00:00"/>
    <m/>
    <d v="1899-12-30T06:30:00"/>
    <d v="1899-12-30T17:30:00"/>
    <n v="11"/>
    <s v="Completed"/>
    <m/>
  </r>
  <r>
    <s v="Electrical"/>
    <x v="42"/>
    <x v="12"/>
    <m/>
    <m/>
    <m/>
    <m/>
    <m/>
    <m/>
    <m/>
    <d v="1899-12-30T06:30:00"/>
    <d v="1899-12-30T17:30:00"/>
    <n v="11"/>
    <m/>
    <m/>
  </r>
  <r>
    <s v="Electrical"/>
    <x v="42"/>
    <x v="43"/>
    <s v="Submersible pump"/>
    <s v="SM1002-101"/>
    <s v="Inspection &amp; repair"/>
    <d v="2026-01-21T00:00:00"/>
    <d v="2026-01-21T00:00:00"/>
    <d v="2026-01-21T00:00:00"/>
    <m/>
    <d v="1899-12-30T06:30:00"/>
    <d v="1899-12-30T15:30:00"/>
    <n v="9.0000000000000018"/>
    <s v="Completed"/>
    <m/>
  </r>
  <r>
    <s v="Electrical"/>
    <x v="42"/>
    <x v="13"/>
    <s v="Submersible pump"/>
    <s v="SM530-551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2"/>
    <x v="24"/>
    <s v="Borehole pump"/>
    <s v="Old B:H pump"/>
    <s v="15nos BH pumps inspection &amp; repair"/>
    <d v="2026-01-21T00:00:00"/>
    <d v="2026-01-21T00:00:00"/>
    <d v="2026-01-21T00:00:00"/>
    <m/>
    <d v="1899-12-30T08:30:00"/>
    <d v="1899-12-30T17:30:00"/>
    <n v="8.9999999999999982"/>
    <s v="Completed"/>
    <m/>
  </r>
  <r>
    <s v="Electrical"/>
    <x v="42"/>
    <x v="15"/>
    <s v="Borehole pump"/>
    <s v="Old B:H pump"/>
    <s v="5nos pump water testing"/>
    <d v="2026-01-21T00:00:00"/>
    <d v="2026-01-21T00:00:00"/>
    <d v="2026-01-21T00:00:00"/>
    <m/>
    <d v="1899-12-30T08:30:00"/>
    <d v="1899-12-30T13:00:00"/>
    <n v="4.4999999999999982"/>
    <s v="Completed"/>
    <m/>
  </r>
  <r>
    <s v="Electrical"/>
    <x v="42"/>
    <x v="14"/>
    <s v="Submersible pump"/>
    <s v="SM530-430"/>
    <s v="Inspection &amp; repair"/>
    <d v="2026-01-21T00:00:00"/>
    <d v="2026-01-21T00:00:00"/>
    <m/>
    <m/>
    <d v="1899-12-30T06:30:00"/>
    <d v="1899-12-30T15:30:00"/>
    <n v="9.0000000000000018"/>
    <s v="Ongoing"/>
    <m/>
  </r>
  <r>
    <s v="Electrical"/>
    <x v="42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2"/>
    <x v="35"/>
    <s v="Submersible pump"/>
    <s v="SM530-299"/>
    <s v="Inspection &amp; repair"/>
    <d v="2026-01-21T00:00:00"/>
    <d v="2026-01-21T00:00:00"/>
    <m/>
    <m/>
    <d v="1899-12-30T08:30:00"/>
    <d v="1899-12-30T17:30:00"/>
    <n v="8.9999999999999982"/>
    <s v="Ongoing"/>
    <m/>
  </r>
  <r>
    <s v="Bay 6 -_x000a_Generator"/>
    <x v="42"/>
    <x v="7"/>
    <s v="Generator"/>
    <s v="GEN250-047"/>
    <s v="Engine &amp; ac alternator motor fix, radiator fix."/>
    <d v="2026-01-21T00:00:00"/>
    <d v="2026-01-21T00:00:00"/>
    <m/>
    <m/>
    <d v="1899-12-30T06:30:00"/>
    <d v="1899-12-30T15:30:00"/>
    <n v="9.0000000000000018"/>
    <s v="Ongoing"/>
    <m/>
  </r>
  <r>
    <s v="Bay 6 -_x000a_Generator"/>
    <x v="42"/>
    <x v="32"/>
    <m/>
    <m/>
    <m/>
    <m/>
    <m/>
    <m/>
    <m/>
    <d v="1899-12-30T06:30:00"/>
    <d v="1899-12-30T08:30:00"/>
    <n v="2.0000000000000009"/>
    <m/>
    <m/>
  </r>
  <r>
    <s v="Bay 6 -_x000a_Generator"/>
    <x v="42"/>
    <x v="32"/>
    <s v="Generator"/>
    <s v="GEN80-014"/>
    <s v="General repair, load test"/>
    <d v="2026-01-21T00:00:00"/>
    <d v="2026-01-21T00:00:00"/>
    <m/>
    <m/>
    <d v="1899-12-30T08:30:00"/>
    <d v="1899-12-30T10:30:00"/>
    <n v="1.9999999999999996"/>
    <s v="Hold"/>
    <m/>
  </r>
  <r>
    <s v="Bay 6 -_x000a_Generator"/>
    <x v="42"/>
    <x v="23"/>
    <m/>
    <m/>
    <m/>
    <m/>
    <m/>
    <m/>
    <m/>
    <d v="1899-12-30T08:30:00"/>
    <d v="1899-12-30T10:30:00"/>
    <n v="1.9999999999999996"/>
    <m/>
    <m/>
  </r>
  <r>
    <s v="Bay 6 -_x000a_Generator"/>
    <x v="42"/>
    <x v="32"/>
    <s v="Generator"/>
    <s v="GEN60-027"/>
    <s v="General repair, load test, water test"/>
    <d v="2026-01-21T00:00:00"/>
    <d v="2026-01-21T00:00:00"/>
    <m/>
    <m/>
    <d v="1899-12-30T13:30:00"/>
    <d v="1899-12-30T13:30:00"/>
    <n v="0"/>
    <s v="Hold"/>
    <m/>
  </r>
  <r>
    <s v="Bay 6 -_x000a_Generator"/>
    <x v="42"/>
    <x v="23"/>
    <m/>
    <m/>
    <m/>
    <m/>
    <m/>
    <m/>
    <m/>
    <d v="1899-12-30T10:30:00"/>
    <d v="1899-12-30T13:30:00"/>
    <n v="3"/>
    <m/>
    <m/>
  </r>
  <r>
    <s v="Bay 6 -_x000a_Generator"/>
    <x v="42"/>
    <x v="32"/>
    <s v="Generator"/>
    <s v="GEN45-010"/>
    <s v="General repair, load test, water test"/>
    <d v="2026-01-21T00:00:00"/>
    <d v="2026-01-21T00:00:00"/>
    <d v="2026-01-21T00:00:00"/>
    <m/>
    <d v="1899-12-30T09:00:00"/>
    <d v="1899-12-30T14:00:00"/>
    <n v="5.0000000000000009"/>
    <s v="Completed"/>
    <m/>
  </r>
  <r>
    <s v="Bay 6 -_x000a_Generator"/>
    <x v="42"/>
    <x v="23"/>
    <m/>
    <m/>
    <m/>
    <m/>
    <m/>
    <m/>
    <m/>
    <d v="1899-12-30T09:00:00"/>
    <d v="1899-12-30T14:00:00"/>
    <n v="5.0000000000000009"/>
    <m/>
    <m/>
  </r>
  <r>
    <s v="Bay 6 -_x000a_Generator"/>
    <x v="42"/>
    <x v="23"/>
    <s v="Generator"/>
    <s v="GEN60-027/028"/>
    <s v="General repair, load test, water testing"/>
    <d v="2026-01-21T00:00:00"/>
    <d v="2026-01-21T00:00:00"/>
    <d v="2026-01-21T00:00:00"/>
    <m/>
    <d v="1899-12-30T14:00:00"/>
    <d v="1899-12-30T17:30:00"/>
    <n v="3.4999999999999982"/>
    <s v="Completed"/>
    <m/>
  </r>
  <r>
    <s v="Bay 4&amp;5 - _x000a_Pumps"/>
    <x v="42"/>
    <x v="19"/>
    <s v="Diesel Driven CP Pump"/>
    <s v="CD225M-03"/>
    <s v="Final fitting &amp; vaccum testing"/>
    <d v="2026-01-21T00:00:00"/>
    <d v="2026-01-21T00:00:00"/>
    <d v="2026-01-21T00:00:00"/>
    <m/>
    <d v="1899-12-30T10:30:00"/>
    <d v="1899-12-30T12:00:00"/>
    <n v="1.5"/>
    <s v="Completed"/>
    <m/>
  </r>
  <r>
    <s v="Bay 4&amp;5 - _x000a_Pumps"/>
    <x v="42"/>
    <x v="20"/>
    <m/>
    <m/>
    <m/>
    <m/>
    <m/>
    <m/>
    <m/>
    <d v="1899-12-30T06:30:00"/>
    <d v="1899-12-30T12:00:00"/>
    <n v="5.5"/>
    <m/>
    <m/>
  </r>
  <r>
    <s v="Bay 4&amp;5 - _x000a_Pumps"/>
    <x v="42"/>
    <x v="38"/>
    <s v="Diesel Driven CP Pump"/>
    <s v="CD50E-001"/>
    <s v="Repairing &amp; water testing"/>
    <d v="2026-01-21T00:00:00"/>
    <d v="2026-01-22T00:00:00"/>
    <d v="2026-01-22T00:00:00"/>
    <m/>
    <d v="1899-12-30T08:30:00"/>
    <d v="1899-12-30T13:00:00"/>
    <n v="4.4999999999999982"/>
    <s v="Completed"/>
    <m/>
  </r>
  <r>
    <s v="Bay 4&amp;5 - _x000a_Pumps"/>
    <x v="42"/>
    <x v="37"/>
    <m/>
    <m/>
    <m/>
    <m/>
    <m/>
    <m/>
    <m/>
    <d v="1899-12-30T08:30:00"/>
    <d v="1899-12-30T13:00:00"/>
    <n v="4.4999999999999982"/>
    <m/>
    <m/>
  </r>
  <r>
    <s v="Bay 4&amp;5 - _x000a_Pumps"/>
    <x v="42"/>
    <x v="18"/>
    <s v="Other"/>
    <s v="General work"/>
    <s v="Engine top end repairing"/>
    <d v="2026-01-21T00:00:00"/>
    <d v="2026-01-21T00:00:00"/>
    <d v="2026-01-21T00:00:00"/>
    <m/>
    <d v="1899-12-30T06:30:00"/>
    <d v="1899-12-30T15:30:00"/>
    <n v="9.0000000000000018"/>
    <s v="Completed"/>
    <m/>
  </r>
  <r>
    <s v="Bay 4&amp;5 - _x000a_Pumps"/>
    <x v="42"/>
    <x v="0"/>
    <s v="Contractor dewatering Pump"/>
    <s v="ZD900-032E"/>
    <s v="Pump dismantle &amp; welding, coating"/>
    <d v="2026-01-16T00:00:00"/>
    <d v="2026-01-20T00:00:00"/>
    <d v="2026-01-20T00:00:00"/>
    <m/>
    <d v="1899-12-30T06:30:00"/>
    <d v="1899-12-30T17:30:00"/>
    <n v="11"/>
    <s v="Completed"/>
    <m/>
  </r>
  <r>
    <s v="Bay 4&amp;5 - _x000a_Pumps"/>
    <x v="42"/>
    <x v="5"/>
    <s v="Contractor dewatering Pump"/>
    <s v="CP150-265"/>
    <s v="Pump water test &amp; engine repair."/>
    <d v="2026-01-19T00:00:00"/>
    <d v="2026-01-20T00:00:00"/>
    <d v="2026-01-20T00:00:00"/>
    <m/>
    <d v="1899-12-30T08:30:00"/>
    <d v="1899-12-30T17:30:00"/>
    <n v="8.9999999999999982"/>
    <s v="Completed"/>
    <m/>
  </r>
  <r>
    <s v="Bay 4&amp;5 - _x000a_Pumps"/>
    <x v="42"/>
    <x v="2"/>
    <m/>
    <m/>
    <m/>
    <m/>
    <m/>
    <m/>
    <m/>
    <d v="1899-12-30T13:00:00"/>
    <d v="1899-12-30T14:00:00"/>
    <n v="1.0000000000000018"/>
    <m/>
    <m/>
  </r>
  <r>
    <s v="Bay 4&amp;5 - _x000a_Pumps"/>
    <x v="42"/>
    <x v="28"/>
    <s v="Contractor dewatering Pump"/>
    <s v="CP150-184"/>
    <s v="Pump assembling "/>
    <d v="2026-01-19T00:00:00"/>
    <d v="2026-01-20T00:00:00"/>
    <d v="2026-01-20T00:00:00"/>
    <m/>
    <d v="1899-12-30T06:30:00"/>
    <d v="1899-12-30T10:30:00"/>
    <n v="4"/>
    <s v="Completed"/>
    <m/>
  </r>
  <r>
    <s v="Bay 4&amp;5 - _x000a_Pumps"/>
    <x v="42"/>
    <x v="2"/>
    <m/>
    <m/>
    <m/>
    <m/>
    <m/>
    <m/>
    <m/>
    <d v="1899-12-30T08:30:00"/>
    <d v="1899-12-30T10:30:00"/>
    <n v="1.9999999999999996"/>
    <m/>
    <m/>
  </r>
  <r>
    <s v="Bay 4&amp;5 - _x000a_Pumps"/>
    <x v="42"/>
    <x v="1"/>
    <s v="Contractor dewatering Pump"/>
    <s v="CP150-250"/>
    <s v="Engine cylinder head repair"/>
    <d v="2026-01-20T00:00:00"/>
    <d v="2026-01-20T00:00:00"/>
    <d v="2026-01-20T00:00:00"/>
    <m/>
    <d v="1899-12-30T06:30:00"/>
    <d v="1899-12-30T17:30:00"/>
    <n v="11"/>
    <s v="Completed"/>
    <m/>
  </r>
  <r>
    <s v="Bay 4&amp;5 - _x000a_Pumps"/>
    <x v="42"/>
    <x v="2"/>
    <m/>
    <m/>
    <m/>
    <m/>
    <m/>
    <m/>
    <m/>
    <d v="1899-12-30T10:30:00"/>
    <d v="1899-12-30T12:00:00"/>
    <n v="1.5"/>
    <m/>
    <m/>
  </r>
  <r>
    <s v="Bay 4&amp;5 - _x000a_Pumps"/>
    <x v="42"/>
    <x v="4"/>
    <s v="Contractor dewatering Pump"/>
    <s v="Pressure washer"/>
    <s v="Pressure washer Engine repair for site maintenance"/>
    <d v="2026-01-20T00:00:00"/>
    <d v="2026-01-20T00:00:00"/>
    <d v="2026-01-20T00:00:00"/>
    <m/>
    <d v="1899-12-30T06:30:00"/>
    <d v="1899-12-30T08:30:00"/>
    <n v="2.0000000000000009"/>
    <s v="Completed"/>
    <m/>
  </r>
  <r>
    <s v="Bay 4&amp;5 - _x000a_Pumps"/>
    <x v="42"/>
    <x v="2"/>
    <m/>
    <m/>
    <m/>
    <m/>
    <m/>
    <m/>
    <m/>
    <d v="1899-12-30T14:00:00"/>
    <d v="1899-12-30T16:00:00"/>
    <n v="1.9999999999999982"/>
    <m/>
    <m/>
  </r>
  <r>
    <s v="Bay 4&amp;5 - _x000a_Pumps"/>
    <x v="42"/>
    <x v="4"/>
    <s v="Contractor dewatering Pump"/>
    <s v="PT175-550"/>
    <s v="Pump dismantle for SWI"/>
    <d v="2026-01-20T00:00:00"/>
    <d v="2026-01-20T00:00:00"/>
    <d v="2026-01-20T00:00:00"/>
    <m/>
    <d v="1899-12-30T08:30:00"/>
    <d v="1899-12-30T17:30:00"/>
    <n v="8.9999999999999982"/>
    <s v="Completed"/>
    <m/>
  </r>
  <r>
    <s v="Electrical"/>
    <x v="43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3"/>
    <x v="9"/>
    <s v="Panel"/>
    <s v="DB-197"/>
    <s v="Repair, test &amp; PDI"/>
    <d v="2026-01-22T00:00:00"/>
    <d v="2026-01-22T00:00:00"/>
    <m/>
    <m/>
    <d v="1899-12-30T08:30:00"/>
    <d v="1899-12-30T17:30:00"/>
    <n v="8.9999999999999982"/>
    <s v="Ongoing"/>
    <m/>
  </r>
  <r>
    <s v="Electrical"/>
    <x v="43"/>
    <x v="44"/>
    <s v="Panel"/>
    <s v="SPB7.5-163"/>
    <s v="Modification, adding ELCB &amp; safety glass"/>
    <d v="2026-01-22T00:00:00"/>
    <d v="2026-01-22T00:00:00"/>
    <m/>
    <m/>
    <d v="1899-12-30T08:30:00"/>
    <d v="1899-12-30T17:30:00"/>
    <n v="8.9999999999999982"/>
    <s v="Ongoing"/>
    <m/>
  </r>
  <r>
    <s v="Electrical"/>
    <x v="43"/>
    <x v="33"/>
    <s v="Borehole pump"/>
    <s v="BFM400-002"/>
    <s v="Inspection &amp; repair"/>
    <d v="2026-01-22T00:00:00"/>
    <d v="2026-01-22T00:00:00"/>
    <m/>
    <m/>
    <d v="1899-12-30T06:30:00"/>
    <d v="1899-12-30T17:30:00"/>
    <n v="11"/>
    <s v="Ongoing"/>
    <m/>
  </r>
  <r>
    <s v="Electrical"/>
    <x v="43"/>
    <x v="12"/>
    <s v="Generator"/>
    <s v="GENJ250-040"/>
    <s v="copper cable removing for rewinding"/>
    <d v="2026-01-22T00:00:00"/>
    <d v="2026-01-22T00:00:00"/>
    <m/>
    <m/>
    <d v="1899-12-30T08:30:00"/>
    <d v="1899-12-30T17:30:00"/>
    <n v="8.9999999999999982"/>
    <s v="Ongoing"/>
    <m/>
  </r>
  <r>
    <s v="Electrical"/>
    <x v="43"/>
    <x v="43"/>
    <s v="Submersible pump"/>
    <s v="SM1002-186"/>
    <s v="Inspection &amp; repair"/>
    <d v="2026-01-22T00:00:00"/>
    <d v="2026-01-22T00:00:00"/>
    <d v="2026-01-22T00:00:00"/>
    <m/>
    <d v="1899-12-30T06:30:00"/>
    <d v="1899-12-30T15:30:00"/>
    <n v="9.0000000000000018"/>
    <s v="Completed"/>
    <m/>
  </r>
  <r>
    <s v="Electrical"/>
    <x v="43"/>
    <x v="13"/>
    <s v="Submersible pump"/>
    <s v="SM530-551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3"/>
    <x v="24"/>
    <s v="Borehole pump"/>
    <s v="Old B:H pump"/>
    <s v="14nos 3.7kw pumps inspection &amp; fleet number tagging"/>
    <d v="2026-01-22T00:00:00"/>
    <d v="2026-01-22T00:00:00"/>
    <d v="2026-01-22T00:00:00"/>
    <m/>
    <d v="1899-12-30T08:30:00"/>
    <d v="1899-12-30T13:00:00"/>
    <n v="4.4999999999999982"/>
    <s v="Completed"/>
    <m/>
  </r>
  <r>
    <s v="Electrical"/>
    <x v="43"/>
    <x v="15"/>
    <m/>
    <m/>
    <m/>
    <m/>
    <m/>
    <m/>
    <m/>
    <d v="1899-12-30T08:30:00"/>
    <d v="1899-12-30T13:00:00"/>
    <n v="4.4999999999999982"/>
    <m/>
    <m/>
  </r>
  <r>
    <s v="Electrical"/>
    <x v="43"/>
    <x v="14"/>
    <s v="Submersible pump"/>
    <s v="SM530-430"/>
    <s v="Inspection &amp; repair"/>
    <d v="2026-01-21T00:00:00"/>
    <d v="2026-01-22T00:00:00"/>
    <d v="2026-01-22T00:00:00"/>
    <m/>
    <d v="1899-12-30T06:30:00"/>
    <d v="1899-12-30T15:30:00"/>
    <n v="9.0000000000000018"/>
    <s v="Completed"/>
    <m/>
  </r>
  <r>
    <s v="Electrical"/>
    <x v="43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3"/>
    <x v="35"/>
    <s v="Generator"/>
    <s v="GEN250-047"/>
    <s v="Inspection &amp; repair"/>
    <d v="2026-01-22T00:00:00"/>
    <d v="2026-01-22T00:00:00"/>
    <m/>
    <m/>
    <d v="1899-12-30T08:30:00"/>
    <d v="1899-12-30T12:00:00"/>
    <n v="3.4999999999999996"/>
    <s v="Ongoing"/>
    <m/>
  </r>
  <r>
    <s v="Bay 6 -_x000a_Generator"/>
    <x v="43"/>
    <x v="32"/>
    <s v="Generator"/>
    <s v="GEN250-047"/>
    <s v="Final fitting"/>
    <d v="2026-01-22T00:00:00"/>
    <d v="2026-01-22T00:00:00"/>
    <m/>
    <m/>
    <d v="1899-12-30T06:30:00"/>
    <d v="1899-12-30T13:00:00"/>
    <n v="6.5"/>
    <s v="Ongoing"/>
    <m/>
  </r>
  <r>
    <s v="Bay 6 -_x000a_Generator"/>
    <x v="43"/>
    <x v="23"/>
    <s v="Generator"/>
    <s v="GEN150-004"/>
    <s v="Load test"/>
    <d v="2026-01-22T00:00:00"/>
    <d v="2026-01-22T00:00:00"/>
    <d v="2026-01-22T00:00:00"/>
    <m/>
    <d v="1899-12-30T08:30:00"/>
    <d v="1899-12-30T10:30:00"/>
    <n v="1.9999999999999996"/>
    <s v="Completed"/>
    <m/>
  </r>
  <r>
    <s v="Bay 6 -_x000a_Generator"/>
    <x v="43"/>
    <x v="23"/>
    <s v="Generator"/>
    <s v="GEN80-014"/>
    <s v="General repair, load test, "/>
    <d v="2026-01-22T00:00:00"/>
    <d v="2026-01-22T00:00:00"/>
    <m/>
    <m/>
    <d v="1899-12-30T10:30:00"/>
    <d v="1899-12-30T13:30:00"/>
    <n v="3"/>
    <s v="Ongoing"/>
    <m/>
  </r>
  <r>
    <s v="Bay 6 -_x000a_Generator"/>
    <x v="43"/>
    <x v="23"/>
    <s v="Generator"/>
    <s v="GEN100-040"/>
    <s v="General repair, load test, "/>
    <d v="2026-01-22T00:00:00"/>
    <d v="2026-01-22T00:00:00"/>
    <d v="2026-01-22T00:00:00"/>
    <m/>
    <d v="1899-12-30T13:30:00"/>
    <d v="1899-12-30T17:30:00"/>
    <n v="3.9999999999999991"/>
    <s v="Completed"/>
    <m/>
  </r>
  <r>
    <s v="Bay 4&amp;5 - _x000a_Pumps"/>
    <x v="43"/>
    <x v="19"/>
    <s v="Diesel Driven CP Pump"/>
    <s v="AD1500-004"/>
    <s v="Dsiccant changing."/>
    <d v="2026-01-22T00:00:00"/>
    <d v="2026-01-22T00:00:00"/>
    <d v="2026-01-22T00:00:00"/>
    <m/>
    <d v="1899-12-30T08:30:00"/>
    <d v="1899-12-30T17:30:00"/>
    <n v="8.9999999999999982"/>
    <s v="Completed"/>
    <m/>
  </r>
  <r>
    <s v="Bay 4&amp;5 - _x000a_Pumps"/>
    <x v="43"/>
    <x v="20"/>
    <m/>
    <m/>
    <m/>
    <m/>
    <m/>
    <m/>
    <m/>
    <d v="1899-12-30T08:30:00"/>
    <d v="1899-12-30T17:30:00"/>
    <n v="8.9999999999999982"/>
    <m/>
    <m/>
  </r>
  <r>
    <s v="Bay 4&amp;5 - _x000a_Pumps"/>
    <x v="43"/>
    <x v="38"/>
    <s v="Diesel Driven CP Pump"/>
    <s v="CP1818-013"/>
    <s v="Vaccum pump repair"/>
    <d v="2026-01-22T00:00:00"/>
    <d v="2026-01-22T00:00:00"/>
    <d v="2026-01-22T00:00:00"/>
    <m/>
    <d v="1899-12-30T06:30:00"/>
    <d v="1899-12-30T15:30:00"/>
    <n v="9.0000000000000018"/>
    <s v="Completed"/>
    <m/>
  </r>
  <r>
    <s v="Bay 4&amp;5 - _x000a_Pumps"/>
    <x v="43"/>
    <x v="37"/>
    <s v="Diesel Driven CP Pump"/>
    <s v="AD1500-004"/>
    <s v="Activation carbon change."/>
    <d v="2026-01-22T00:00:00"/>
    <d v="2026-01-22T00:00:00"/>
    <d v="2026-01-22T00:00:00"/>
    <m/>
    <d v="1899-12-30T06:30:00"/>
    <d v="1899-12-30T15:30:00"/>
    <n v="9.0000000000000018"/>
    <s v="Completed"/>
    <m/>
  </r>
  <r>
    <s v="Bay 4&amp;5 - _x000a_Pumps"/>
    <x v="43"/>
    <x v="0"/>
    <s v="Contractor dewatering Pump"/>
    <s v="ZD900-032E"/>
    <s v="Pump dismantle &amp; welding, coating"/>
    <d v="2026-01-16T00:00:00"/>
    <d v="2026-01-22T00:00:00"/>
    <d v="2026-01-22T00:00:00"/>
    <m/>
    <d v="1899-12-30T08:30:00"/>
    <d v="1899-12-30T10:30:00"/>
    <n v="1.9999999999999996"/>
    <s v="Completed"/>
    <m/>
  </r>
  <r>
    <s v="Bay 4&amp;5 - _x000a_Pumps"/>
    <x v="43"/>
    <x v="0"/>
    <s v="Contractor dewatering Pump"/>
    <s v="PT175X11"/>
    <s v="Frame &amp; panel board removing."/>
    <d v="2026-01-22T00:00:00"/>
    <d v="2026-01-22T00:00:00"/>
    <d v="2026-01-22T00:00:00"/>
    <m/>
    <d v="1899-12-30T06:30:00"/>
    <d v="1899-12-30T17:30:00"/>
    <n v="11"/>
    <s v="Completed"/>
    <m/>
  </r>
  <r>
    <s v="Bay 4&amp;5 - _x000a_Pumps"/>
    <x v="43"/>
    <x v="5"/>
    <s v="Contractor dewatering Pump"/>
    <s v="BL150-066"/>
    <s v="Pump repair &amp; water test."/>
    <d v="2026-01-21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3"/>
    <x v="2"/>
    <m/>
    <m/>
    <m/>
    <m/>
    <m/>
    <m/>
    <m/>
    <d v="1899-12-30T13:00:00"/>
    <d v="1899-12-30T14:00:00"/>
    <n v="1.0000000000000018"/>
    <m/>
    <m/>
  </r>
  <r>
    <s v="Bay 4&amp;5 - _x000a_Pumps"/>
    <x v="43"/>
    <x v="5"/>
    <s v="Contractor dewatering Pump"/>
    <s v="CP150-692"/>
    <s v="pump dismantling"/>
    <d v="2026-01-22T00:00:00"/>
    <d v="2026-01-22T00:00:00"/>
    <d v="2026-01-22T00:00:00"/>
    <m/>
    <d v="1899-12-30T13:30:00"/>
    <d v="1899-12-30T17:30:00"/>
    <n v="3.9999999999999991"/>
    <s v="Completed"/>
    <m/>
  </r>
  <r>
    <s v="Bay 4&amp;5 - _x000a_Pumps"/>
    <x v="43"/>
    <x v="1"/>
    <s v="Contractor dewatering Pump"/>
    <s v="CP150-250"/>
    <s v="Engine &amp; pump assembling ongoing"/>
    <d v="2026-01-20T00:00:00"/>
    <d v="2026-01-22T00:00:00"/>
    <d v="2026-01-22T00:00:00"/>
    <m/>
    <d v="1899-12-30T06:30:00"/>
    <d v="1899-12-30T17:30:00"/>
    <n v="11"/>
    <s v="Completed"/>
    <m/>
  </r>
  <r>
    <s v="Bay 4&amp;5 - _x000a_Pumps"/>
    <x v="43"/>
    <x v="2"/>
    <m/>
    <m/>
    <m/>
    <m/>
    <m/>
    <m/>
    <m/>
    <d v="1899-12-30T10:30:00"/>
    <d v="1899-12-30T12:00:00"/>
    <n v="1.5"/>
    <m/>
    <m/>
  </r>
  <r>
    <s v="Bay 4&amp;5 - _x000a_Pumps"/>
    <x v="43"/>
    <x v="4"/>
    <s v="Contractor dewatering Pump"/>
    <s v="PT175-550"/>
    <s v="Pump end coating &amp; assembling"/>
    <d v="2026-01-20T00:00:00"/>
    <d v="2026-01-22T00:00:00"/>
    <d v="2026-01-22T00:00:00"/>
    <m/>
    <d v="1899-12-30T06:30:00"/>
    <d v="1899-12-30T08:30:00"/>
    <n v="2.0000000000000009"/>
    <s v="Completed"/>
    <m/>
  </r>
  <r>
    <s v="Bay 4&amp;5 - _x000a_Pumps"/>
    <x v="43"/>
    <x v="2"/>
    <m/>
    <m/>
    <m/>
    <m/>
    <m/>
    <m/>
    <m/>
    <d v="1899-12-30T14:00:00"/>
    <d v="1899-12-30T16:00:00"/>
    <n v="1.9999999999999982"/>
    <m/>
    <m/>
  </r>
  <r>
    <s v="Electrical"/>
    <x v="44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4"/>
    <x v="9"/>
    <s v="Panel"/>
    <s v="SPB7.5-023"/>
    <s v="Controol wiring "/>
    <d v="2026-01-22T00:00:00"/>
    <d v="2026-01-23T00:00:00"/>
    <m/>
    <m/>
    <d v="1899-12-30T08:30:00"/>
    <d v="1899-12-30T17:30:00"/>
    <n v="8.9999999999999982"/>
    <s v="Ongoing"/>
    <m/>
  </r>
  <r>
    <s v="Electrical"/>
    <x v="44"/>
    <x v="44"/>
    <s v="Panel"/>
    <s v="SPB7.5-163"/>
    <s v="Modification, adding ELCB &amp; safety glass"/>
    <d v="2026-01-22T00:00:00"/>
    <d v="2026-01-23T00:00:00"/>
    <m/>
    <m/>
    <d v="1899-12-30T08:30:00"/>
    <d v="1899-12-30T17:30:00"/>
    <n v="8.9999999999999982"/>
    <s v="Ongoing"/>
    <m/>
  </r>
  <r>
    <s v="Electrical"/>
    <x v="44"/>
    <x v="33"/>
    <s v="Generator"/>
    <s v="GENJ250-040"/>
    <s v="copper cable removing for rewinding"/>
    <d v="2026-01-23T00:00:00"/>
    <d v="2026-01-23T00:00:00"/>
    <m/>
    <m/>
    <d v="1899-12-30T06:30:00"/>
    <d v="1899-12-30T17:30:00"/>
    <n v="11"/>
    <s v="Ongoing"/>
    <m/>
  </r>
  <r>
    <s v="Electrical"/>
    <x v="44"/>
    <x v="12"/>
    <m/>
    <m/>
    <m/>
    <m/>
    <m/>
    <m/>
    <m/>
    <d v="1899-12-30T08:30:00"/>
    <d v="1899-12-30T17:30:00"/>
    <n v="8.9999999999999982"/>
    <m/>
    <m/>
  </r>
  <r>
    <s v="Electrical"/>
    <x v="44"/>
    <x v="33"/>
    <s v="Other"/>
    <s v="FM200-125"/>
    <s v="Inspection &amp; repair"/>
    <d v="2026-01-23T00:00:00"/>
    <d v="2026-01-23T00:00:00"/>
    <d v="2026-01-23T00:00:00"/>
    <m/>
    <d v="1899-12-30T10:00:00"/>
    <d v="1899-12-30T12:00:00"/>
    <n v="1.9999999999999996"/>
    <s v="Completed"/>
    <m/>
  </r>
  <r>
    <s v="Electrical"/>
    <x v="44"/>
    <x v="43"/>
    <s v="Submersible pump"/>
    <s v="SM1002-086"/>
    <s v="Inspection &amp; repair"/>
    <d v="2026-01-23T00:00:00"/>
    <d v="2026-01-23T00:00:00"/>
    <m/>
    <m/>
    <d v="1899-12-30T06:30:00"/>
    <d v="1899-12-30T15:30:00"/>
    <n v="9.0000000000000018"/>
    <s v="Ongoing"/>
    <m/>
  </r>
  <r>
    <s v="Electrical"/>
    <x v="44"/>
    <x v="35"/>
    <s v="Submersible pump"/>
    <s v="AGT-001/002"/>
    <s v="Inspection &amp; testing"/>
    <d v="2026-01-23T00:00:00"/>
    <d v="2026-01-23T00:00:00"/>
    <d v="2026-01-23T00:00:00"/>
    <m/>
    <d v="1899-12-30T08:30:00"/>
    <d v="1899-12-30T12:00:00"/>
    <n v="3.4999999999999996"/>
    <s v="Completed"/>
    <m/>
  </r>
  <r>
    <s v="Electrical"/>
    <x v="44"/>
    <x v="43"/>
    <s v="Submersible pump"/>
    <s v="SM702-021"/>
    <s v="pump rotor repiar"/>
    <d v="2026-01-23T00:00:00"/>
    <d v="2026-01-23T00:00:00"/>
    <m/>
    <m/>
    <d v="1899-12-30T06:30:00"/>
    <d v="1899-12-30T15:30:00"/>
    <n v="9.0000000000000018"/>
    <s v="Ongoing"/>
    <m/>
  </r>
  <r>
    <s v="Electrical"/>
    <x v="44"/>
    <x v="24"/>
    <s v="Borehole pump"/>
    <s v="Old B:H pump"/>
    <s v="15nos pumps inspection &amp; repairing"/>
    <d v="2026-01-23T00:00:00"/>
    <d v="2026-01-23T00:00:00"/>
    <m/>
    <m/>
    <d v="1899-12-30T08:30:00"/>
    <d v="1899-12-30T17:30:00"/>
    <n v="8.9999999999999982"/>
    <s v="Ongoing"/>
    <m/>
  </r>
  <r>
    <s v="Electrical"/>
    <x v="44"/>
    <x v="15"/>
    <m/>
    <m/>
    <m/>
    <m/>
    <m/>
    <m/>
    <m/>
    <d v="1899-12-30T08:30:00"/>
    <d v="1899-12-30T17:30:00"/>
    <n v="8.9999999999999982"/>
    <m/>
    <m/>
  </r>
  <r>
    <s v="Electrical"/>
    <x v="44"/>
    <x v="14"/>
    <s v="Submersible pump"/>
    <s v="SM530-411/291"/>
    <s v="Cable gland/pump dismantling"/>
    <d v="2026-01-23T00:00:00"/>
    <d v="2026-01-23T00:00:00"/>
    <d v="2026-01-23T00:00:00"/>
    <m/>
    <d v="1899-12-30T06:30:00"/>
    <d v="1899-12-30T15:30:00"/>
    <n v="9.0000000000000018"/>
    <s v="Completed"/>
    <m/>
  </r>
  <r>
    <s v="Electrical"/>
    <x v="44"/>
    <x v="17"/>
    <s v="Submersible pump"/>
    <s v="SSD22-002"/>
    <s v="Rewinding"/>
    <d v="2026-01-21T00:00:00"/>
    <d v="2026-01-23T00:00:00"/>
    <m/>
    <m/>
    <d v="1899-12-30T06:30:00"/>
    <d v="1899-12-30T15:30:00"/>
    <n v="9.0000000000000018"/>
    <s v="Ongoing"/>
    <m/>
  </r>
  <r>
    <s v="Electrical"/>
    <x v="44"/>
    <x v="13"/>
    <s v="Submersible pump"/>
    <s v="SM530-551"/>
    <s v="Rewinding"/>
    <d v="2026-01-23T00:00:00"/>
    <d v="2026-01-23T00:00:00"/>
    <m/>
    <m/>
    <d v="1899-12-30T06:30:00"/>
    <d v="1899-12-30T15:30:00"/>
    <n v="9.0000000000000018"/>
    <s v="Ongoing"/>
    <m/>
  </r>
  <r>
    <s v="Bay 6 -_x000a_Generator"/>
    <x v="44"/>
    <x v="32"/>
    <s v="Generator"/>
    <s v="GEN250-047"/>
    <s v="Final fitting"/>
    <d v="2026-01-22T00:00:00"/>
    <d v="2026-01-22T00:00:00"/>
    <m/>
    <m/>
    <d v="1899-12-30T06:30:00"/>
    <d v="1899-12-30T13:00:00"/>
    <n v="6.5"/>
    <s v="Ongoing"/>
    <m/>
  </r>
  <r>
    <s v="Bay 6 -_x000a_Generator"/>
    <x v="44"/>
    <x v="23"/>
    <s v="Generator"/>
    <s v="GEN150-004"/>
    <s v="Load test"/>
    <d v="2026-01-22T00:00:00"/>
    <d v="2026-01-22T00:00:00"/>
    <m/>
    <m/>
    <d v="1899-12-30T08:30:00"/>
    <d v="1899-12-30T10:30:00"/>
    <n v="1.9999999999999996"/>
    <s v="Ongoing"/>
    <m/>
  </r>
  <r>
    <s v="Bay 6 -_x000a_Generator"/>
    <x v="44"/>
    <x v="23"/>
    <s v="Generator"/>
    <s v="GEN80-014"/>
    <s v="General repair, load test, "/>
    <d v="2026-01-22T00:00:00"/>
    <d v="2026-01-22T00:00:00"/>
    <m/>
    <m/>
    <d v="1899-12-30T10:30:00"/>
    <d v="1899-12-30T13:30:00"/>
    <n v="3"/>
    <s v="Ongoing"/>
    <m/>
  </r>
  <r>
    <s v="Bay 6 -_x000a_Generator"/>
    <x v="44"/>
    <x v="23"/>
    <s v="Generator"/>
    <s v="GEN100-040"/>
    <s v="General repair, load test, "/>
    <d v="2026-01-22T00:00:00"/>
    <d v="2026-01-22T00:00:00"/>
    <m/>
    <m/>
    <d v="1899-12-30T13:30:00"/>
    <d v="1899-12-30T17:30:00"/>
    <n v="3.9999999999999991"/>
    <s v="Ongoing"/>
    <m/>
  </r>
  <r>
    <s v="Bay 4&amp;5 - _x000a_Pumps"/>
    <x v="44"/>
    <x v="38"/>
    <s v="Diesel Driven CP Pump"/>
    <s v="AD1500-004"/>
    <s v="Activated value, element filter change.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4"/>
    <x v="37"/>
    <m/>
    <m/>
    <m/>
    <m/>
    <m/>
    <m/>
    <m/>
    <d v="1899-12-30T06:30:00"/>
    <d v="1899-12-30T15:30:00"/>
    <n v="9.0000000000000018"/>
    <m/>
    <m/>
  </r>
  <r>
    <s v="Bay 4&amp;5 - _x000a_Pumps"/>
    <x v="44"/>
    <x v="19"/>
    <s v="Diesel Driven CP Pump"/>
    <s v="AD1500-004"/>
    <s v="Desiccant change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20"/>
    <m/>
    <m/>
    <m/>
    <m/>
    <m/>
    <m/>
    <m/>
    <d v="1899-12-30T08:30:00"/>
    <d v="1899-12-30T17:30:00"/>
    <n v="8.9999999999999982"/>
    <m/>
    <m/>
  </r>
  <r>
    <s v="Bay 4&amp;5 - _x000a_Pumps"/>
    <x v="44"/>
    <x v="28"/>
    <s v="Contractor dewatering Pump"/>
    <s v="CP150-184"/>
    <s v="Final fitting"/>
    <d v="2026-01-23T00:00:00"/>
    <d v="2026-01-23T00:00:00"/>
    <d v="2026-01-23T00:00:00"/>
    <m/>
    <d v="1899-12-30T06:30:00"/>
    <d v="1899-12-30T08:30:00"/>
    <n v="2.0000000000000009"/>
    <s v="Completed"/>
    <m/>
  </r>
  <r>
    <s v="Bay 4&amp;5 - _x000a_Pumps"/>
    <x v="44"/>
    <x v="28"/>
    <s v="Contractor dewatering Pump"/>
    <s v="CP150-259"/>
    <s v="pump assembling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0"/>
    <s v="Contractor dewatering Pump"/>
    <s v="PT175X11"/>
    <s v="Frame removing &amp; fitting."/>
    <d v="2026-01-23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5"/>
    <s v="Contractor dewatering Pump"/>
    <s v="CP150-692"/>
    <s v="Pump dismantling"/>
    <d v="2026-01-22T00:00:00"/>
    <d v="2026-01-23T00:00:00"/>
    <d v="2026-01-23T00:00:00"/>
    <m/>
    <d v="1899-12-30T08:30:00"/>
    <d v="1899-12-30T17:30:00"/>
    <n v="8.9999999999999982"/>
    <s v="Completed"/>
    <m/>
  </r>
  <r>
    <s v="Bay 4&amp;5 - _x000a_Pumps"/>
    <x v="44"/>
    <x v="2"/>
    <m/>
    <m/>
    <m/>
    <m/>
    <m/>
    <m/>
    <m/>
    <d v="1899-12-30T13:00:00"/>
    <d v="1899-12-30T14:00:00"/>
    <n v="1.0000000000000018"/>
    <m/>
    <m/>
  </r>
  <r>
    <s v="Bay 4&amp;5 - _x000a_Pumps"/>
    <x v="44"/>
    <x v="3"/>
    <s v="Contractor dewatering Pump"/>
    <s v="CP150-539"/>
    <s v="Engine dismantling ongoing"/>
    <d v="2026-01-22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1"/>
    <s v="Contractor dewatering Pump"/>
    <s v="CP150-250"/>
    <s v="Engine prepare for assembling ongoing"/>
    <d v="2026-01-20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2"/>
    <m/>
    <m/>
    <m/>
    <m/>
    <m/>
    <m/>
    <m/>
    <d v="1899-12-30T10:30:00"/>
    <d v="1899-12-30T12:00:00"/>
    <n v="1.5"/>
    <m/>
    <m/>
  </r>
  <r>
    <s v="Bay 4&amp;5 - _x000a_Pumps"/>
    <x v="44"/>
    <x v="4"/>
    <s v="Contractor dewatering Pump"/>
    <s v="PT175-550"/>
    <s v="Pump end preparing and assembling"/>
    <d v="2026-01-20T00:00:00"/>
    <d v="2026-01-23T00:00:00"/>
    <d v="2026-01-23T00:00:00"/>
    <m/>
    <d v="1899-12-30T06:30:00"/>
    <d v="1899-12-30T17:30:00"/>
    <n v="11"/>
    <s v="Completed"/>
    <m/>
  </r>
  <r>
    <s v="Bay 4&amp;5 - _x000a_Pumps"/>
    <x v="44"/>
    <x v="2"/>
    <m/>
    <m/>
    <m/>
    <m/>
    <m/>
    <m/>
    <m/>
    <d v="1899-12-30T14:00:00"/>
    <d v="1899-12-30T16:00:00"/>
    <n v="1.9999999999999982"/>
    <m/>
    <m/>
  </r>
  <r>
    <s v="Electrical"/>
    <x v="45"/>
    <x v="8"/>
    <s v="Panel"/>
    <s v="SPB7.5-163"/>
    <s v="Modification, adding ELCB &amp; safety glass"/>
    <d v="2026-01-21T00:00:00"/>
    <d v="2026-01-24T00:00:00"/>
    <m/>
    <m/>
    <d v="1899-12-30T06:30:00"/>
    <d v="1899-12-30T15:30:00"/>
    <n v="9.0000000000000018"/>
    <s v="Ongoing"/>
    <m/>
  </r>
  <r>
    <s v="Electrical"/>
    <x v="45"/>
    <x v="9"/>
    <s v="Panel"/>
    <s v="SPB7.5-023"/>
    <s v="Controol wiring "/>
    <d v="2026-01-22T00:00:00"/>
    <d v="2026-01-24T00:00:00"/>
    <m/>
    <m/>
    <d v="1899-12-30T08:30:00"/>
    <d v="1899-12-30T17:30:00"/>
    <n v="8.9999999999999982"/>
    <s v="Ongoing"/>
    <m/>
  </r>
  <r>
    <s v="Electrical"/>
    <x v="45"/>
    <x v="44"/>
    <s v="Panel"/>
    <s v="SPB7.5-163"/>
    <s v="Modification, adding ELCB &amp; safety glass"/>
    <d v="2026-01-22T00:00:00"/>
    <d v="2026-01-24T00:00:00"/>
    <m/>
    <m/>
    <d v="1899-12-30T08:30:00"/>
    <d v="1899-12-30T17:30:00"/>
    <n v="8.9999999999999982"/>
    <s v="Ongoing"/>
    <m/>
  </r>
  <r>
    <s v="Electrical"/>
    <x v="45"/>
    <x v="33"/>
    <s v="Generator"/>
    <s v="GENJ250-040"/>
    <s v="copper cable removing for rewinding"/>
    <d v="2026-01-23T00:00:00"/>
    <d v="2026-01-24T00:00:00"/>
    <m/>
    <m/>
    <d v="1899-12-30T08:30:00"/>
    <d v="1899-12-30T17:30:00"/>
    <n v="8.9999999999999982"/>
    <s v="Ongoing"/>
    <m/>
  </r>
  <r>
    <s v="Electrical"/>
    <x v="45"/>
    <x v="12"/>
    <m/>
    <m/>
    <m/>
    <m/>
    <m/>
    <m/>
    <m/>
    <d v="1899-12-30T08:30:00"/>
    <d v="1899-12-30T17:30:00"/>
    <n v="8.9999999999999982"/>
    <m/>
    <m/>
  </r>
  <r>
    <s v="Electrical"/>
    <x v="45"/>
    <x v="33"/>
    <s v="Other"/>
    <s v="FM200-125"/>
    <s v="Inspection &amp; repair"/>
    <d v="2026-01-23T00:00:00"/>
    <d v="2026-01-23T00:00:00"/>
    <m/>
    <m/>
    <d v="1899-12-30T10:00:00"/>
    <d v="1899-12-30T12:00:00"/>
    <n v="1.9999999999999996"/>
    <s v="Ongoing"/>
    <m/>
  </r>
  <r>
    <s v="Electrical"/>
    <x v="45"/>
    <x v="43"/>
    <s v="Submersible pump"/>
    <s v="SM1002-101/186/086SM530-430/411/291_x000a_SM1002-101/186/086"/>
    <s v="water testing"/>
    <d v="2026-01-24T00:00:00"/>
    <d v="2026-01-24T00:00:00"/>
    <d v="2026-01-24T00:00:00"/>
    <m/>
    <d v="1899-12-30T08:30:00"/>
    <d v="1899-12-30T17:30:00"/>
    <n v="8.9999999999999982"/>
    <s v="Completed"/>
    <m/>
  </r>
  <r>
    <s v="Electrical"/>
    <x v="45"/>
    <x v="35"/>
    <m/>
    <m/>
    <m/>
    <m/>
    <m/>
    <m/>
    <m/>
    <d v="1899-12-30T08:30:00"/>
    <d v="1899-12-30T17:30:00"/>
    <n v="8.9999999999999982"/>
    <m/>
    <m/>
  </r>
  <r>
    <s v="Electrical"/>
    <x v="45"/>
    <x v="13"/>
    <s v="Submersible pump"/>
    <s v="SM530-551"/>
    <s v="Rewinding"/>
    <d v="2026-01-23T00:00:00"/>
    <d v="2026-01-24T00:00:00"/>
    <d v="2026-01-24T00:00:00"/>
    <m/>
    <d v="1899-12-30T06:30:00"/>
    <d v="1899-12-30T15:30:00"/>
    <n v="9.0000000000000018"/>
    <s v="Completed"/>
    <m/>
  </r>
  <r>
    <s v="Electrical"/>
    <x v="45"/>
    <x v="24"/>
    <s v="Borehole pump"/>
    <s v="Old B:H pump"/>
    <s v="15nos pumps inspection &amp; repairing, cable joint pump"/>
    <d v="2026-01-24T00:00:00"/>
    <d v="2026-01-24T00:00:00"/>
    <m/>
    <m/>
    <d v="1899-12-30T08:30:00"/>
    <d v="1899-12-30T17:30:00"/>
    <n v="8.9999999999999982"/>
    <s v="Ongoing"/>
    <m/>
  </r>
  <r>
    <s v="Electrical"/>
    <x v="45"/>
    <x v="15"/>
    <m/>
    <m/>
    <m/>
    <m/>
    <m/>
    <m/>
    <m/>
    <d v="1899-12-30T08:30:00"/>
    <d v="1899-12-30T17:30:00"/>
    <n v="8.9999999999999982"/>
    <m/>
    <m/>
  </r>
  <r>
    <s v="Electrical"/>
    <x v="45"/>
    <x v="14"/>
    <s v="Submersible pump"/>
    <s v="SM530-551"/>
    <s v="Pump dismantle &amp; repair"/>
    <d v="2026-01-24T00:00:00"/>
    <d v="2026-01-26T00:00:00"/>
    <d v="2026-01-26T00:00:00"/>
    <m/>
    <d v="1899-12-30T06:30:00"/>
    <d v="1899-12-30T15:30:00"/>
    <n v="9.0000000000000018"/>
    <s v="Completed"/>
    <m/>
  </r>
  <r>
    <s v="Electrical"/>
    <x v="45"/>
    <x v="14"/>
    <s v="Submersible pump"/>
    <s v="SM530-358"/>
    <s v="Pump dismantle "/>
    <d v="2026-01-24T00:00:00"/>
    <d v="2026-01-24T00:00:00"/>
    <d v="2026-01-24T00:00:00"/>
    <m/>
    <d v="1899-12-30T13:00:00"/>
    <d v="1899-12-30T15:30:00"/>
    <n v="2.5000000000000018"/>
    <s v="Completed"/>
    <m/>
  </r>
  <r>
    <s v="Electrical"/>
    <x v="45"/>
    <x v="17"/>
    <s v="Submersible pump"/>
    <s v="SSD22-002"/>
    <s v="Rewinding"/>
    <d v="2026-01-21T00:00:00"/>
    <d v="2026-01-24T00:00:00"/>
    <m/>
    <m/>
    <d v="1899-12-30T06:30:00"/>
    <d v="1899-12-30T15:30:00"/>
    <n v="9.0000000000000018"/>
    <s v="Ongoing"/>
    <m/>
  </r>
  <r>
    <s v="Bay 6 -_x000a_Generator"/>
    <x v="45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5"/>
    <x v="23"/>
    <s v="Generator"/>
    <s v="GENP100-127"/>
    <s v="General repair"/>
    <d v="2026-01-24T00:00:00"/>
    <d v="2026-01-24T00:00:00"/>
    <d v="2026-01-24T00:00:00"/>
    <m/>
    <d v="1899-12-30T08:30:00"/>
    <d v="1899-12-30T13:30:00"/>
    <n v="5"/>
    <s v="Completed"/>
    <m/>
  </r>
  <r>
    <s v="Bay 6 -_x000a_Generator"/>
    <x v="45"/>
    <x v="32"/>
    <s v="Generator"/>
    <s v="GEN80-014"/>
    <s v="Fuel line repair, load test"/>
    <d v="2026-01-24T00:00:00"/>
    <d v="2026-01-24T00:00:00"/>
    <d v="2026-01-24T00:00:00"/>
    <m/>
    <d v="1899-12-30T01:30:00"/>
    <d v="1899-12-30T15:30:00"/>
    <n v="14"/>
    <s v="Completed"/>
    <m/>
  </r>
  <r>
    <s v="Bay 6 -_x000a_Generator"/>
    <x v="45"/>
    <x v="23"/>
    <m/>
    <m/>
    <m/>
    <m/>
    <m/>
    <m/>
    <m/>
    <d v="1899-12-30T01:30:00"/>
    <d v="1899-12-30T15:30:00"/>
    <n v="14"/>
    <m/>
    <m/>
  </r>
  <r>
    <s v="Bay 6 -_x000a_Generator"/>
    <x v="45"/>
    <x v="23"/>
    <s v="Generator"/>
    <s v="GENJ100-008"/>
    <s v="General repair, starting problem, load test"/>
    <d v="2026-01-24T00:00:00"/>
    <d v="2026-01-24T00:00:00"/>
    <d v="2026-01-24T00:00:00"/>
    <m/>
    <d v="1899-12-30T15:30:00"/>
    <d v="1899-12-30T17:30:00"/>
    <n v="1.9999999999999982"/>
    <s v="Completed"/>
    <m/>
  </r>
  <r>
    <s v="Bay 6 -_x000a_Generator"/>
    <x v="45"/>
    <x v="7"/>
    <s v="Generator"/>
    <s v="GEN250-047"/>
    <s v="Inlet manifold &amp; door fixing"/>
    <d v="2026-01-24T00:00:00"/>
    <d v="2026-01-24T00:00:00"/>
    <m/>
    <m/>
    <d v="1899-12-30T09:30:00"/>
    <d v="1899-12-30T15:30:00"/>
    <n v="6.0000000000000018"/>
    <s v="Ongoing"/>
    <m/>
  </r>
  <r>
    <s v="Bay 4&amp;5 - _x000a_Pumps"/>
    <x v="45"/>
    <x v="19"/>
    <s v="Diesel Driven CP Pump"/>
    <s v="AD1500-004"/>
    <s v="Actuator pipe connecting &amp; intercooler fixing"/>
    <d v="2026-01-23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5"/>
    <x v="37"/>
    <m/>
    <m/>
    <m/>
    <m/>
    <m/>
    <m/>
    <m/>
    <d v="1899-12-30T06:30:00"/>
    <d v="1899-12-30T15:30:00"/>
    <n v="9.0000000000000018"/>
    <m/>
    <m/>
  </r>
  <r>
    <s v="Bay 4&amp;5 - _x000a_Pumps"/>
    <x v="45"/>
    <x v="47"/>
    <s v="Diesel Driven CP Pump"/>
    <s v="AD1500-004"/>
    <s v="Air motor repair"/>
    <d v="2026-01-24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45"/>
    <x v="20"/>
    <s v="Diesel Driven CP Pump"/>
    <s v="CD225M-03"/>
    <m/>
    <d v="2026-01-24T00:00:00"/>
    <d v="2026-01-24T00:00:00"/>
    <d v="2026-01-24T00:00:00"/>
    <m/>
    <d v="1899-12-30T08:30:00"/>
    <d v="1899-12-30T13:30:00"/>
    <n v="5"/>
    <s v="Completed"/>
    <m/>
  </r>
  <r>
    <s v="Bay 4&amp;5 - _x000a_Pumps"/>
    <x v="45"/>
    <x v="0"/>
    <s v="Contractor dewatering Pump"/>
    <s v="CP150X3"/>
    <s v="Pump repair"/>
    <d v="2026-01-24T00:00:00"/>
    <d v="2026-01-24T00:00:00"/>
    <d v="2026-01-24T00:00:00"/>
    <m/>
    <d v="1899-12-30T06:30:00"/>
    <d v="1899-12-30T16:30:00"/>
    <n v="10"/>
    <s v="Completed"/>
    <m/>
  </r>
  <r>
    <s v="Bay 4&amp;5 - _x000a_Pumps"/>
    <x v="45"/>
    <x v="0"/>
    <s v="Contractor dewatering Pump"/>
    <s v="PT175X11"/>
    <s v="Frame &amp; panel board removing &amp; refitting"/>
    <d v="2026-01-24T00:00:00"/>
    <d v="2026-01-24T00:00:00"/>
    <d v="2026-01-24T00:00:00"/>
    <m/>
    <d v="1899-12-30T08:30:00"/>
    <d v="1899-12-30T17:30:00"/>
    <n v="8.9999999999999982"/>
    <s v="Completed"/>
    <m/>
  </r>
  <r>
    <s v="Bay 4&amp;5 - _x000a_Pumps"/>
    <x v="45"/>
    <x v="3"/>
    <s v="Contractor dewatering Pump"/>
    <s v="CP150-539"/>
    <s v="Engine prepare for assembling"/>
    <d v="2026-01-22T00:00:00"/>
    <d v="2026-01-29T00:00:00"/>
    <d v="2026-01-29T00:00:00"/>
    <m/>
    <d v="1899-12-30T06:30:00"/>
    <d v="1899-12-30T17:30:00"/>
    <n v="11"/>
    <s v="Completed"/>
    <m/>
  </r>
  <r>
    <s v="Bay 4&amp;5 - _x000a_Pumps"/>
    <x v="45"/>
    <x v="28"/>
    <s v="Contractor dewatering Pump"/>
    <s v="CP150-259"/>
    <s v="Pump assembling &amp; water test"/>
    <d v="2026-01-22T00:00:00"/>
    <d v="2026-01-24T00:00:00"/>
    <d v="2026-01-24T00:00:00"/>
    <m/>
    <d v="1899-12-30T08:30:00"/>
    <d v="1899-12-30T17:30:00"/>
    <n v="8.9999999999999982"/>
    <s v="Completed"/>
    <m/>
  </r>
  <r>
    <s v="Bay 4&amp;5 - _x000a_Pumps"/>
    <x v="45"/>
    <x v="5"/>
    <s v="Contractor dewatering Pump"/>
    <s v="CP150-692"/>
    <s v="Pump prepare for assembling"/>
    <d v="2026-01-22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3:00:00"/>
    <d v="1899-12-30T14:00:00"/>
    <n v="1.0000000000000018"/>
    <m/>
    <m/>
  </r>
  <r>
    <s v="Bay 4&amp;5 - _x000a_Pumps"/>
    <x v="45"/>
    <x v="1"/>
    <s v="Contractor dewatering Pump"/>
    <s v="CP150-250"/>
    <s v="Engine prepare for assembling ongo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0:30:00"/>
    <d v="1899-12-30T12:00:00"/>
    <n v="1.5"/>
    <m/>
    <m/>
  </r>
  <r>
    <s v="Bay 4&amp;5 - _x000a_Pumps"/>
    <x v="45"/>
    <x v="4"/>
    <s v="Contractor dewatering Pump"/>
    <s v="PT175-550"/>
    <s v="Pump assembl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5"/>
    <x v="2"/>
    <m/>
    <m/>
    <m/>
    <m/>
    <m/>
    <m/>
    <m/>
    <d v="1899-12-30T14:00:00"/>
    <d v="1899-12-30T16:00:00"/>
    <n v="1.9999999999999982"/>
    <m/>
    <m/>
  </r>
  <r>
    <s v="Electrical"/>
    <x v="46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6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6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6"/>
    <x v="33"/>
    <s v="Generator"/>
    <s v="GENJ250-040"/>
    <s v="copper cable removing for rewinding"/>
    <d v="2026-01-26T00:00:00"/>
    <d v="2026-01-28T00:00:00"/>
    <m/>
    <m/>
    <d v="1899-12-30T06:30:00"/>
    <d v="1899-12-30T17:30:00"/>
    <n v="11"/>
    <s v="Ongoing"/>
    <m/>
  </r>
  <r>
    <s v="Electrical"/>
    <x v="46"/>
    <x v="12"/>
    <m/>
    <m/>
    <m/>
    <m/>
    <m/>
    <m/>
    <m/>
    <d v="1899-12-30T06:30:00"/>
    <d v="1899-12-30T17:30:00"/>
    <n v="11"/>
    <m/>
    <m/>
  </r>
  <r>
    <s v="Electrical"/>
    <x v="46"/>
    <x v="43"/>
    <s v="Submersible pump"/>
    <s v="SM1002-273"/>
    <s v="Inspection &amp; repair"/>
    <d v="2026-01-26T00:00:00"/>
    <d v="2026-01-26T00:00:00"/>
    <m/>
    <m/>
    <d v="1899-12-30T06:30:00"/>
    <d v="1899-12-30T15:30:00"/>
    <n v="9.0000000000000018"/>
    <s v="Ongoing"/>
    <m/>
  </r>
  <r>
    <s v="Electrical"/>
    <x v="46"/>
    <x v="13"/>
    <s v="Submersible pump"/>
    <s v="SM530-380"/>
    <s v="Rewinding"/>
    <d v="2026-01-26T00:00:00"/>
    <d v="2026-01-27T00:00:00"/>
    <m/>
    <m/>
    <d v="1899-12-30T06:30:00"/>
    <d v="1899-12-30T15:30:00"/>
    <n v="9.0000000000000018"/>
    <s v="Ongoing"/>
    <m/>
  </r>
  <r>
    <s v="Electrical"/>
    <x v="46"/>
    <x v="24"/>
    <s v="Borehole pump"/>
    <s v="Old B:H pump"/>
    <s v="25nos pumps inspection &amp; repairing, scrap"/>
    <d v="2026-01-24T00:00:00"/>
    <d v="2026-01-26T00:00:00"/>
    <m/>
    <m/>
    <d v="1899-12-30T08:30:00"/>
    <d v="1899-12-30T17:30:00"/>
    <n v="8.9999999999999982"/>
    <s v="Ongoing"/>
    <m/>
  </r>
  <r>
    <s v="Electrical"/>
    <x v="46"/>
    <x v="15"/>
    <m/>
    <m/>
    <m/>
    <m/>
    <m/>
    <m/>
    <m/>
    <d v="1899-12-30T08:30:00"/>
    <d v="1899-12-30T17:30:00"/>
    <n v="8.9999999999999982"/>
    <m/>
    <m/>
  </r>
  <r>
    <s v="Electrical"/>
    <x v="46"/>
    <x v="14"/>
    <s v="Submersible pump"/>
    <s v="SM530-551"/>
    <s v="Pump assemble"/>
    <d v="2026-01-26T00:00:00"/>
    <d v="2026-01-26T00:00:00"/>
    <d v="2026-01-26T00:00:00"/>
    <m/>
    <d v="1899-12-30T06:30:00"/>
    <d v="1899-12-30T15:30:00"/>
    <n v="9.0000000000000018"/>
    <s v="Completed"/>
    <m/>
  </r>
  <r>
    <s v="Electrical"/>
    <x v="46"/>
    <x v="35"/>
    <s v="Submersible pump"/>
    <s v="SDW40N-1005/004"/>
    <s v="Inspection &amp; dismantle"/>
    <d v="2026-01-26T00:00:00"/>
    <d v="2026-01-26T00:00:00"/>
    <d v="2026-01-26T00:00:00"/>
    <m/>
    <d v="1899-12-30T08:30:00"/>
    <d v="1899-12-30T17:30:00"/>
    <n v="8.9999999999999982"/>
    <s v="Completed"/>
    <m/>
  </r>
  <r>
    <s v="Electrical"/>
    <x v="46"/>
    <x v="17"/>
    <s v="Submersible pump"/>
    <s v="SSD22-002"/>
    <s v="Rewinding"/>
    <d v="2026-01-21T00:00:00"/>
    <d v="2026-01-26T00:00:00"/>
    <d v="2026-01-26T00:00:00"/>
    <m/>
    <d v="1899-12-30T08:30:00"/>
    <d v="1899-12-30T13:00:00"/>
    <n v="4.4999999999999982"/>
    <s v="Completed"/>
    <m/>
  </r>
  <r>
    <s v="Bay 6 -_x000a_Generator"/>
    <x v="46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6"/>
    <x v="7"/>
    <s v="Generator"/>
    <s v="GEN150-037"/>
    <s v="Engine parts cleaning, washing"/>
    <d v="2026-01-26T00:00:00"/>
    <d v="2026-01-26T00:00:00"/>
    <m/>
    <m/>
    <d v="1899-12-30T06:30:00"/>
    <d v="1899-12-30T15:30:00"/>
    <n v="9.0000000000000018"/>
    <s v="Ongoing"/>
    <m/>
  </r>
  <r>
    <s v="Bay 6 -_x000a_Generator"/>
    <x v="46"/>
    <x v="23"/>
    <m/>
    <m/>
    <m/>
    <m/>
    <m/>
    <m/>
    <m/>
    <d v="1899-12-30T08:30:00"/>
    <d v="1899-12-30T17:30:00"/>
    <n v="8.9999999999999982"/>
    <m/>
    <m/>
  </r>
  <r>
    <s v="Bay 6 -_x000a_Generator"/>
    <x v="46"/>
    <x v="32"/>
    <s v="Generator"/>
    <s v="GEN250-047"/>
    <s v="Manifold &amp; safety guard fixing"/>
    <d v="2026-01-24T00:00:00"/>
    <d v="2026-01-26T00:00:00"/>
    <d v="2026-01-26T00:00:00"/>
    <m/>
    <d v="1899-12-30T06:30:00"/>
    <d v="1899-12-30T10:30:00"/>
    <n v="4"/>
    <s v="Completed"/>
    <m/>
  </r>
  <r>
    <s v="Bay 4&amp;5 - _x000a_Pumps"/>
    <x v="46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6"/>
    <x v="37"/>
    <m/>
    <m/>
    <m/>
    <m/>
    <m/>
    <m/>
    <m/>
    <d v="1899-12-30T06:30:00"/>
    <d v="1899-12-30T15:30:00"/>
    <n v="9.0000000000000018"/>
    <m/>
    <m/>
  </r>
  <r>
    <s v="Bay 4&amp;5 - _x000a_Pumps"/>
    <x v="46"/>
    <x v="19"/>
    <s v="Diesel Driven CP Pump"/>
    <s v="CP1818-013"/>
    <s v="Vaccum pump repair"/>
    <d v="2026-01-26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20"/>
    <s v="Diesel Driven CP Pump"/>
    <s v="KV550-01"/>
    <s v="Insppection, washing, repair"/>
    <d v="2026-01-26T00:00:00"/>
    <d v="2026-01-28T00:00:00"/>
    <d v="2026-01-28T00:00:00"/>
    <m/>
    <d v="1899-12-30T08:30:00"/>
    <d v="1899-12-30T13:00:00"/>
    <n v="4.4999999999999982"/>
    <s v="Completed"/>
    <m/>
  </r>
  <r>
    <s v="Bay 4&amp;5 - _x000a_Pumps"/>
    <x v="46"/>
    <x v="0"/>
    <s v="Contractor dewatering Pump"/>
    <s v="CP150X3"/>
    <s v="Pump repair"/>
    <d v="2026-01-24T00:00:00"/>
    <d v="2026-01-26T00:00:00"/>
    <d v="2026-01-26T00:00:00"/>
    <m/>
    <d v="1899-12-30T06:30:00"/>
    <d v="1899-12-30T16:30:00"/>
    <n v="10"/>
    <s v="Completed"/>
    <m/>
  </r>
  <r>
    <s v="Bay 4&amp;5 - _x000a_Pumps"/>
    <x v="46"/>
    <x v="48"/>
    <s v="Contractor dewatering Pump"/>
    <s v="PT175X11"/>
    <s v="Frame &amp; panel board removing &amp; refitting"/>
    <d v="2026-01-24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3"/>
    <s v="Contractor dewatering Pump"/>
    <s v="CP150-539"/>
    <s v="Engine prepare for assembling"/>
    <d v="2026-01-22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8"/>
    <s v="Contractor dewatering Pump"/>
    <s v="CP150-259"/>
    <s v="Pump assembling &amp; water test"/>
    <d v="2026-01-22T00:00:00"/>
    <d v="2026-01-26T00:00:00"/>
    <d v="2026-01-26T00:00:00"/>
    <m/>
    <d v="1899-12-30T08:30:00"/>
    <d v="1899-12-30T17:30:00"/>
    <n v="8.9999999999999982"/>
    <s v="Completed"/>
    <m/>
  </r>
  <r>
    <s v="Bay 4&amp;5 - _x000a_Pumps"/>
    <x v="46"/>
    <x v="5"/>
    <s v="Contractor dewatering Pump"/>
    <s v="CP150-692"/>
    <s v="Pump assembling &amp; water test"/>
    <d v="2026-01-22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3:00:00"/>
    <d v="1899-12-30T14:00:00"/>
    <n v="1.0000000000000018"/>
    <m/>
    <m/>
  </r>
  <r>
    <s v="Bay 4&amp;5 - _x000a_Pumps"/>
    <x v="46"/>
    <x v="1"/>
    <s v="Contractor dewatering Pump"/>
    <s v="CP150-250"/>
    <s v="Engine assembling ongoing"/>
    <d v="2026-01-20T00:00:00"/>
    <d v="2026-01-26T00:00:00"/>
    <d v="2026-01-26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0:30:00"/>
    <d v="1899-12-30T12:00:00"/>
    <n v="1.5"/>
    <m/>
    <m/>
  </r>
  <r>
    <s v="Bay 4&amp;5 - _x000a_Pumps"/>
    <x v="46"/>
    <x v="4"/>
    <s v="Contractor dewatering Pump"/>
    <s v="PT175-550"/>
    <s v="Pump assembling"/>
    <d v="2026-01-20T00:00:00"/>
    <d v="2026-01-24T00:00:00"/>
    <d v="2026-01-24T00:00:00"/>
    <m/>
    <d v="1899-12-30T06:30:00"/>
    <d v="1899-12-30T17:30:00"/>
    <n v="11"/>
    <s v="Completed"/>
    <m/>
  </r>
  <r>
    <s v="Bay 4&amp;5 - _x000a_Pumps"/>
    <x v="46"/>
    <x v="2"/>
    <m/>
    <m/>
    <m/>
    <m/>
    <m/>
    <m/>
    <m/>
    <d v="1899-12-30T14:00:00"/>
    <d v="1899-12-30T16:00:00"/>
    <n v="1.9999999999999982"/>
    <m/>
    <m/>
  </r>
  <r>
    <s v="Electrical"/>
    <x v="47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7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7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7"/>
    <x v="33"/>
    <s v="Generator"/>
    <s v="GENJ250-040"/>
    <s v="winding cutting &amp; copper cable removing"/>
    <d v="2026-01-26T00:00:00"/>
    <d v="2026-01-28T00:00:00"/>
    <m/>
    <m/>
    <d v="1899-12-30T06:30:00"/>
    <d v="1899-12-30T17:30:00"/>
    <n v="11"/>
    <s v="Ongoing"/>
    <m/>
  </r>
  <r>
    <s v="Electrical"/>
    <x v="47"/>
    <x v="12"/>
    <m/>
    <m/>
    <m/>
    <m/>
    <m/>
    <m/>
    <m/>
    <d v="1899-12-30T06:30:00"/>
    <d v="1899-12-30T17:30:00"/>
    <n v="11"/>
    <m/>
    <m/>
  </r>
  <r>
    <s v="Electrical"/>
    <x v="47"/>
    <x v="43"/>
    <s v="Submersible pump"/>
    <s v="SM1002-273"/>
    <s v="Inspection &amp; repair"/>
    <d v="2026-01-26T00:00:00"/>
    <d v="2026-01-27T00:00:00"/>
    <m/>
    <m/>
    <d v="1899-12-30T06:30:00"/>
    <d v="1899-12-30T08:30:00"/>
    <n v="2.0000000000000009"/>
    <s v="Completed"/>
    <m/>
  </r>
  <r>
    <s v="Electrical"/>
    <x v="47"/>
    <x v="13"/>
    <s v="Submersible pump"/>
    <s v="SM530-380"/>
    <s v="Rewinding"/>
    <d v="2026-01-26T00:00:00"/>
    <d v="2026-01-27T00:00:00"/>
    <m/>
    <m/>
    <d v="1899-12-30T06:30:00"/>
    <d v="1899-12-30T09:30:00"/>
    <n v="3"/>
    <s v="Completed"/>
    <m/>
  </r>
  <r>
    <s v="Electrical"/>
    <x v="47"/>
    <x v="24"/>
    <s v="Borehole pump"/>
    <s v="Old B:H pump"/>
    <s v="15nos pumps inspection &amp; repairing, "/>
    <d v="2026-01-24T00:00:00"/>
    <d v="2026-01-27T00:00:00"/>
    <m/>
    <m/>
    <d v="1899-12-30T08:30:00"/>
    <d v="1899-12-30T17:30:00"/>
    <n v="8.9999999999999982"/>
    <s v="Completed"/>
    <m/>
  </r>
  <r>
    <s v="Electrical"/>
    <x v="47"/>
    <x v="15"/>
    <m/>
    <m/>
    <m/>
    <m/>
    <m/>
    <m/>
    <m/>
    <d v="1899-12-30T08:30:00"/>
    <d v="1899-12-30T17:30:00"/>
    <n v="8.9999999999999982"/>
    <m/>
    <m/>
  </r>
  <r>
    <s v="Electrical"/>
    <x v="47"/>
    <x v="14"/>
    <s v="Submersible pump"/>
    <s v="SM530-238"/>
    <s v="Pump assemble"/>
    <d v="2026-01-26T00:00:00"/>
    <d v="2026-01-27T00:00:00"/>
    <m/>
    <m/>
    <d v="1899-12-30T06:30:00"/>
    <d v="1899-12-30T15:30:00"/>
    <n v="9.0000000000000018"/>
    <s v="Ongoing"/>
    <m/>
  </r>
  <r>
    <s v="Electrical"/>
    <x v="47"/>
    <x v="35"/>
    <s v="Submersible pump"/>
    <s v="SM250-047"/>
    <s v="HCCB fixing, power cable connection."/>
    <d v="2026-01-27T00:00:00"/>
    <d v="2026-01-27T00:00:00"/>
    <m/>
    <m/>
    <d v="1899-12-30T08:30:00"/>
    <d v="1899-12-30T12:00:00"/>
    <n v="3.4999999999999996"/>
    <s v="Completed"/>
    <m/>
  </r>
  <r>
    <s v="Electrical"/>
    <x v="47"/>
    <x v="17"/>
    <s v="Submersible pump"/>
    <s v="SWD60H-003"/>
    <s v="Rewinding"/>
    <d v="2026-01-27T00:00:00"/>
    <d v="2026-01-29T00:00:00"/>
    <m/>
    <m/>
    <d v="1899-12-30T06:30:00"/>
    <d v="1899-12-30T15:30:00"/>
    <n v="9.0000000000000018"/>
    <s v="Ongoing"/>
    <m/>
  </r>
  <r>
    <s v="Bay 6 -_x000a_Generator"/>
    <x v="47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7"/>
    <x v="7"/>
    <s v="Generator"/>
    <s v="GEN150-037"/>
    <s v="Engine parts cleaning, washing"/>
    <d v="2026-01-26T00:00:00"/>
    <d v="2026-01-27T00:00:00"/>
    <m/>
    <m/>
    <d v="1899-12-30T06:30:00"/>
    <d v="1899-12-30T15:30:00"/>
    <n v="9.0000000000000018"/>
    <s v="Ongoing"/>
    <m/>
  </r>
  <r>
    <s v="Bay 6 -_x000a_Generator"/>
    <x v="47"/>
    <x v="23"/>
    <s v="Drill rig"/>
    <s v="DR-17"/>
    <s v="Hydraulic hose tightened, bonnet jack changing."/>
    <d v="2026-01-27T00:00:00"/>
    <d v="2026-01-27T00:00:00"/>
    <d v="2026-01-27T00:00:00"/>
    <m/>
    <d v="1899-12-30T10:30:00"/>
    <d v="1899-12-30T12:00:00"/>
    <n v="1.5"/>
    <s v="Completed"/>
    <m/>
  </r>
  <r>
    <s v="Bay 6 -_x000a_Generator"/>
    <x v="47"/>
    <x v="32"/>
    <m/>
    <m/>
    <m/>
    <m/>
    <m/>
    <m/>
    <m/>
    <d v="1899-12-30T10:30:00"/>
    <d v="1899-12-30T12:00:00"/>
    <n v="1.5"/>
    <m/>
    <m/>
  </r>
  <r>
    <s v="Bay 6 -_x000a_Generator"/>
    <x v="47"/>
    <x v="23"/>
    <s v="Other"/>
    <s v="General work"/>
    <s v="General work"/>
    <d v="2026-01-27T00:00:00"/>
    <d v="2026-01-27T00:00:00"/>
    <d v="2026-01-27T00:00:00"/>
    <m/>
    <d v="1899-12-30T13:00:00"/>
    <d v="1899-12-30T15:00:00"/>
    <n v="2.0000000000000009"/>
    <s v="Completed"/>
    <m/>
  </r>
  <r>
    <s v="Bay 6 -_x000a_Generator"/>
    <x v="47"/>
    <x v="23"/>
    <s v="Generator"/>
    <s v="GENJ100-008"/>
    <s v="Final fitting, fuel water seperator changing,"/>
    <d v="2026-01-27T00:00:00"/>
    <d v="2026-01-27T00:00:00"/>
    <d v="2026-01-27T00:00:00"/>
    <m/>
    <d v="1899-12-30T15:30:00"/>
    <d v="1899-12-30T17:30:00"/>
    <n v="1.9999999999999982"/>
    <s v="Completed"/>
    <m/>
  </r>
  <r>
    <s v="Bay 6 -_x000a_Generator"/>
    <x v="47"/>
    <x v="7"/>
    <s v="Other"/>
    <s v="VHH4"/>
    <s v="General repair onsite."/>
    <d v="2026-01-27T00:00:00"/>
    <d v="2026-01-27T00:00:00"/>
    <d v="2026-01-27T00:00:00"/>
    <m/>
    <d v="1899-12-30T14:00:00"/>
    <d v="1899-12-30T17:00:00"/>
    <n v="3"/>
    <s v="Completed"/>
    <m/>
  </r>
  <r>
    <s v="Bay 4&amp;5 - _x000a_Pumps"/>
    <x v="47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7"/>
    <x v="37"/>
    <m/>
    <m/>
    <m/>
    <m/>
    <m/>
    <m/>
    <m/>
    <d v="1899-12-30T06:30:00"/>
    <d v="1899-12-30T15:30:00"/>
    <n v="9.0000000000000018"/>
    <m/>
    <m/>
  </r>
  <r>
    <s v="Bay 4&amp;5 - _x000a_Pumps"/>
    <x v="47"/>
    <x v="19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20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0"/>
    <s v="Contractor dewatering Pump"/>
    <s v="CP150X3"/>
    <s v="Vaccum Pump repair"/>
    <d v="2026-01-24T00:00:00"/>
    <d v="2026-01-27T00:00:00"/>
    <d v="2026-01-27T00:00:00"/>
    <m/>
    <d v="1899-12-30T06:30:00"/>
    <d v="1899-12-30T16:30:00"/>
    <n v="10"/>
    <s v="Completed"/>
    <m/>
  </r>
  <r>
    <s v="Bay 4&amp;5 - _x000a_Pumps"/>
    <x v="47"/>
    <x v="48"/>
    <s v="Contractor dewatering Pump"/>
    <s v="PT175X11"/>
    <s v="Frame &amp; panel board removing &amp; refitting"/>
    <d v="2026-01-24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7"/>
    <x v="3"/>
    <s v="Contractor dewatering Pump"/>
    <s v="CP150-539"/>
    <s v="Engine assembling"/>
    <d v="2026-01-22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8"/>
    <s v="Contractor dewatering Pump"/>
    <s v="CP150-259"/>
    <s v="Cylinder head repair"/>
    <d v="2026-01-22T00:00:00"/>
    <d v="2026-01-27T00:00:00"/>
    <d v="2026-01-27T00:00:00"/>
    <m/>
    <d v="1899-12-30T08:30:00"/>
    <d v="1899-12-30T09:30:00"/>
    <n v="0.99999999999999911"/>
    <s v="Completed"/>
    <m/>
  </r>
  <r>
    <s v="Bay 4&amp;5 - _x000a_Pumps"/>
    <x v="47"/>
    <x v="28"/>
    <s v="Contractor dewatering Pump"/>
    <s v="PT175-552"/>
    <s v="Pump remove &amp; SWI making"/>
    <d v="2026-01-22T00:00:00"/>
    <d v="2026-01-27T00:00:00"/>
    <d v="2026-01-27T00:00:00"/>
    <m/>
    <d v="1899-12-30T09:30:00"/>
    <d v="1899-12-30T17:30:00"/>
    <n v="8"/>
    <s v="Completed"/>
    <m/>
  </r>
  <r>
    <s v="Bay 4&amp;5 - _x000a_Pumps"/>
    <x v="47"/>
    <x v="5"/>
    <s v="Contractor dewatering Pump"/>
    <s v="CP150-692"/>
    <s v="Minor repair &amp; water test"/>
    <d v="2026-01-22T00:00:00"/>
    <d v="2026-01-27T00:00:00"/>
    <d v="2026-01-27T00:00:00"/>
    <m/>
    <d v="1899-12-30T06:30:00"/>
    <d v="1899-12-30T09:30:00"/>
    <n v="3"/>
    <s v="Completed"/>
    <m/>
  </r>
  <r>
    <s v="Bay 4&amp;5 - _x000a_Pumps"/>
    <x v="47"/>
    <x v="2"/>
    <m/>
    <m/>
    <m/>
    <m/>
    <m/>
    <m/>
    <m/>
    <d v="1899-12-30T13:00:00"/>
    <d v="1899-12-30T14:00:00"/>
    <n v="1.0000000000000018"/>
    <m/>
    <m/>
  </r>
  <r>
    <s v="Bay 4&amp;5 - _x000a_Pumps"/>
    <x v="47"/>
    <x v="1"/>
    <s v="Contractor dewatering Pump"/>
    <s v="CP150-250"/>
    <s v="Pump assembling"/>
    <d v="2026-01-20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"/>
    <m/>
    <m/>
    <m/>
    <m/>
    <m/>
    <m/>
    <m/>
    <d v="1899-12-30T10:30:00"/>
    <d v="1899-12-30T12:00:00"/>
    <n v="1.5"/>
    <m/>
    <m/>
  </r>
  <r>
    <s v="Bay 4&amp;5 - _x000a_Pumps"/>
    <x v="47"/>
    <x v="4"/>
    <s v="Contractor dewatering Pump"/>
    <s v="CP150-882"/>
    <s v="Pump &amp; engine repair"/>
    <d v="2026-01-27T00:00:00"/>
    <d v="2026-01-27T00:00:00"/>
    <d v="2026-01-27T00:00:00"/>
    <m/>
    <d v="1899-12-30T06:30:00"/>
    <d v="1899-12-30T17:30:00"/>
    <n v="11"/>
    <s v="Completed"/>
    <m/>
  </r>
  <r>
    <s v="Bay 4&amp;5 - _x000a_Pumps"/>
    <x v="47"/>
    <x v="2"/>
    <m/>
    <m/>
    <m/>
    <m/>
    <m/>
    <m/>
    <m/>
    <d v="1899-12-30T14:00:00"/>
    <d v="1899-12-30T16:00:00"/>
    <n v="1.9999999999999982"/>
    <m/>
    <m/>
  </r>
  <r>
    <s v="Electrical"/>
    <x v="48"/>
    <x v="8"/>
    <s v="Panel"/>
    <s v="CPB1.1-002"/>
    <s v="Wiring power &amp; control"/>
    <d v="2026-01-25T00:00:00"/>
    <d v="2026-01-28T00:00:00"/>
    <m/>
    <m/>
    <d v="1899-12-30T06:30:00"/>
    <d v="1899-12-30T15:30:00"/>
    <n v="9.0000000000000018"/>
    <s v="Ongoing"/>
    <m/>
  </r>
  <r>
    <s v="Electrical"/>
    <x v="48"/>
    <x v="9"/>
    <s v="Panel"/>
    <s v="SPB7.5-023"/>
    <s v="Control wiring "/>
    <d v="2026-01-22T00:00:00"/>
    <d v="2026-01-28T00:00:00"/>
    <m/>
    <m/>
    <d v="1899-12-30T08:30:00"/>
    <d v="1899-12-30T17:30:00"/>
    <n v="8.9999999999999982"/>
    <s v="Ongoing"/>
    <m/>
  </r>
  <r>
    <s v="Electrical"/>
    <x v="48"/>
    <x v="34"/>
    <s v="Panel"/>
    <s v="SPB7.5-163"/>
    <s v="Sensors wiring &amp; canopy fixing"/>
    <d v="2026-01-21T00:00:00"/>
    <d v="2026-01-28T00:00:00"/>
    <m/>
    <m/>
    <d v="1899-12-30T08:30:00"/>
    <d v="1899-12-30T17:30:00"/>
    <n v="8.9999999999999982"/>
    <s v="Ongoing"/>
    <m/>
  </r>
  <r>
    <s v="Electrical"/>
    <x v="48"/>
    <x v="33"/>
    <s v="Generator"/>
    <s v="GENJ250-040"/>
    <s v="winding cutting &amp; copper cable removing"/>
    <d v="2026-01-26T00:00:00"/>
    <d v="2026-01-28T00:00:00"/>
    <m/>
    <m/>
    <d v="1899-12-30T06:30:00"/>
    <d v="1899-12-30T17:30:00"/>
    <n v="11"/>
    <s v="Hold"/>
    <m/>
  </r>
  <r>
    <s v="Electrical"/>
    <x v="48"/>
    <x v="12"/>
    <m/>
    <m/>
    <m/>
    <m/>
    <m/>
    <m/>
    <m/>
    <d v="1899-12-30T06:30:00"/>
    <d v="1899-12-30T17:30:00"/>
    <n v="11"/>
    <m/>
    <m/>
  </r>
  <r>
    <s v="Electrical"/>
    <x v="48"/>
    <x v="33"/>
    <s v="Other"/>
    <s v="SGN-006"/>
    <s v="Pump assemble"/>
    <d v="2026-01-28T00:00:00"/>
    <d v="2026-01-28T00:00:00"/>
    <m/>
    <m/>
    <d v="1899-12-30T06:30:00"/>
    <d v="1899-12-30T17:30:00"/>
    <n v="11"/>
    <s v="Ongoing"/>
    <m/>
  </r>
  <r>
    <s v="Electrical"/>
    <x v="48"/>
    <x v="12"/>
    <m/>
    <m/>
    <m/>
    <m/>
    <m/>
    <m/>
    <m/>
    <d v="1899-12-30T06:30:00"/>
    <d v="1899-12-30T17:30:00"/>
    <n v="11"/>
    <m/>
    <m/>
  </r>
  <r>
    <s v="Electrical"/>
    <x v="48"/>
    <x v="43"/>
    <s v="Submersible pump"/>
    <s v="SHD50-004"/>
    <s v="Inspection &amp; dismantle"/>
    <d v="2026-01-28T00:00:00"/>
    <d v="2026-01-28T00:00:00"/>
    <m/>
    <m/>
    <d v="1899-12-30T06:30:00"/>
    <d v="1899-12-30T15:30:00"/>
    <n v="9.0000000000000018"/>
    <s v="Completed"/>
    <m/>
  </r>
  <r>
    <s v="Electrical"/>
    <x v="48"/>
    <x v="13"/>
    <s v="Submersible pump"/>
    <s v="SM530-299"/>
    <s v="Rewinding"/>
    <d v="2026-01-28T00:00:00"/>
    <d v="2026-01-28T00:00:00"/>
    <m/>
    <m/>
    <d v="1899-12-30T06:30:00"/>
    <d v="1899-12-30T15:30:00"/>
    <n v="9.0000000000000018"/>
    <s v="Ongoing"/>
    <m/>
  </r>
  <r>
    <s v="Electrical"/>
    <x v="48"/>
    <x v="24"/>
    <s v="Borehole pump"/>
    <s v="Old B:H pump"/>
    <s v="20nos pumps inspection, dismantle &amp; scrap "/>
    <d v="2026-01-28T00:00:00"/>
    <d v="2026-01-28T00:00:00"/>
    <m/>
    <m/>
    <d v="1899-12-30T08:30:00"/>
    <d v="1899-12-30T17:30:00"/>
    <n v="8.9999999999999982"/>
    <s v="Ongoing"/>
    <m/>
  </r>
  <r>
    <s v="Electrical"/>
    <x v="48"/>
    <x v="15"/>
    <m/>
    <m/>
    <m/>
    <m/>
    <m/>
    <m/>
    <m/>
    <d v="1899-12-30T08:30:00"/>
    <d v="1899-12-30T17:30:00"/>
    <n v="8.9999999999999982"/>
    <m/>
    <m/>
  </r>
  <r>
    <s v="Electrical"/>
    <x v="48"/>
    <x v="14"/>
    <s v="Submersible pump"/>
    <s v="SM530-380/238"/>
    <s v="Water testing, rotor repair &amp; assemble"/>
    <d v="2026-01-28T00:00:00"/>
    <d v="2026-01-28T00:00:00"/>
    <m/>
    <m/>
    <d v="1899-12-30T06:30:00"/>
    <d v="1899-12-30T15:30:00"/>
    <n v="9.0000000000000018"/>
    <s v="Ongoing"/>
    <m/>
  </r>
  <r>
    <s v="Electrical"/>
    <x v="48"/>
    <x v="35"/>
    <s v="Submersible pump"/>
    <s v="SWD40N-003"/>
    <s v="Pump assemble"/>
    <d v="2026-01-28T00:00:00"/>
    <d v="2026-01-28T00:00:00"/>
    <m/>
    <m/>
    <d v="1899-12-30T08:30:00"/>
    <d v="1899-12-30T17:30:00"/>
    <n v="8.9999999999999982"/>
    <s v="Ongoing"/>
    <m/>
  </r>
  <r>
    <s v="Electrical"/>
    <x v="48"/>
    <x v="17"/>
    <s v="Submersible pump"/>
    <s v="SWD60H-003"/>
    <s v="Rewinding"/>
    <d v="2026-01-27T00:00:00"/>
    <d v="2026-01-29T00:00:00"/>
    <d v="2026-01-29T00:00:00"/>
    <m/>
    <d v="1899-12-30T06:30:00"/>
    <d v="1899-12-30T15:30:00"/>
    <n v="9.0000000000000018"/>
    <s v="Completed"/>
    <m/>
  </r>
  <r>
    <s v="Bay 6 -_x000a_Generator"/>
    <x v="48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8"/>
    <x v="7"/>
    <s v="Generator"/>
    <s v="GEN150-037"/>
    <s v="Engine assembling"/>
    <d v="2026-01-27T00:00:00"/>
    <d v="2026-01-28T00:00:00"/>
    <m/>
    <m/>
    <d v="1899-12-30T06:30:00"/>
    <d v="1899-12-30T15:30:00"/>
    <n v="9.0000000000000018"/>
    <s v="Ongoing"/>
    <m/>
  </r>
  <r>
    <s v="Bay 6 -_x000a_Generator"/>
    <x v="48"/>
    <x v="23"/>
    <s v="Generator"/>
    <s v="GENG100-009"/>
    <s v="Fan hub bearing changing, fan fix, load test."/>
    <d v="2026-01-24T00:00:00"/>
    <d v="2026-01-28T00:00:00"/>
    <m/>
    <m/>
    <d v="1899-12-30T08:30:00"/>
    <d v="1899-12-30T12:00:00"/>
    <n v="3.4999999999999996"/>
    <s v="Hold"/>
    <m/>
  </r>
  <r>
    <s v="Bay 6 -_x000a_Generator"/>
    <x v="48"/>
    <x v="32"/>
    <m/>
    <m/>
    <m/>
    <m/>
    <m/>
    <m/>
    <m/>
    <d v="1899-12-30T08:30:00"/>
    <d v="1899-12-30T12:00:00"/>
    <n v="3.4999999999999996"/>
    <m/>
    <m/>
  </r>
  <r>
    <s v="Bay 6 -_x000a_Generator"/>
    <x v="48"/>
    <x v="23"/>
    <s v="Generator"/>
    <s v="GENJ60-003"/>
    <s v="Ac alternator &amp; fuel pump fix."/>
    <d v="2026-01-28T00:00:00"/>
    <d v="2026-01-28T00:00:00"/>
    <d v="2026-01-28T00:00:00"/>
    <m/>
    <d v="1899-12-30T13:30:00"/>
    <d v="1899-12-30T17:30:00"/>
    <n v="3.9999999999999991"/>
    <s v="Completed"/>
    <m/>
  </r>
  <r>
    <s v="Bay 6 -_x000a_Generator"/>
    <x v="48"/>
    <x v="32"/>
    <m/>
    <m/>
    <m/>
    <m/>
    <m/>
    <m/>
    <m/>
    <d v="1899-12-30T13:30:00"/>
    <d v="1899-12-30T17:30:00"/>
    <n v="3.9999999999999991"/>
    <m/>
    <m/>
  </r>
  <r>
    <s v="Bay 6 -_x000a_Generator"/>
    <x v="48"/>
    <x v="23"/>
    <s v="Other"/>
    <s v="LB-004"/>
    <s v="Load bank repairing &amp; cover removing"/>
    <d v="2026-01-28T00:00:00"/>
    <d v="2026-01-28T00:00:00"/>
    <d v="2026-01-28T00:00:00"/>
    <m/>
    <d v="1899-12-30T12:00:00"/>
    <d v="1899-12-30T15:00:00"/>
    <n v="3"/>
    <s v="Completed"/>
    <m/>
  </r>
  <r>
    <s v="Bay 4&amp;5 - _x000a_Pumps"/>
    <x v="48"/>
    <x v="47"/>
    <s v="Diesel Driven CP Pump"/>
    <s v="AD1500-004"/>
    <s v="Actuator pipe connecting &amp; water separator connecting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8"/>
    <x v="37"/>
    <m/>
    <m/>
    <m/>
    <m/>
    <m/>
    <m/>
    <m/>
    <d v="1899-12-30T06:30:00"/>
    <d v="1899-12-30T15:30:00"/>
    <n v="9.0000000000000018"/>
    <m/>
    <m/>
  </r>
  <r>
    <s v="Bay 4&amp;5 - _x000a_Pumps"/>
    <x v="48"/>
    <x v="19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8"/>
    <x v="20"/>
    <s v="Diesel Driven CP Pump"/>
    <s v="Gate Valve"/>
    <s v="Insppection, washing, repair"/>
    <d v="2026-01-26T00:00:00"/>
    <d v="2026-01-27T00:00:00"/>
    <d v="2026-01-27T00:00:00"/>
    <m/>
    <d v="1899-12-30T08:30:00"/>
    <d v="1899-12-30T17:30:00"/>
    <n v="8.9999999999999982"/>
    <s v="Completed"/>
    <m/>
  </r>
  <r>
    <s v="Bay 4&amp;5 - _x000a_Pumps"/>
    <x v="48"/>
    <x v="0"/>
    <s v="Contractor dewatering Pump"/>
    <s v="CP150-882/860/v002"/>
    <s v="Vaccum Pump repair"/>
    <d v="2026-01-28T00:00:00"/>
    <d v="2026-01-28T00:00:00"/>
    <d v="2026-01-28T00:00:00"/>
    <m/>
    <d v="1899-12-30T06:30:00"/>
    <d v="1899-12-30T16:30:00"/>
    <n v="10"/>
    <s v="Completed"/>
    <m/>
  </r>
  <r>
    <s v="Bay 4&amp;5 - _x000a_Pumps"/>
    <x v="48"/>
    <x v="48"/>
    <s v="Contractor dewatering Pump"/>
    <s v="PT175X11"/>
    <s v="Frame &amp; panel board removing &amp; refitting"/>
    <d v="2026-01-24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4"/>
    <m/>
    <m/>
    <m/>
    <m/>
    <m/>
    <m/>
    <m/>
    <d v="1899-12-30T08:30:00"/>
    <d v="1899-12-30T17:30:00"/>
    <n v="8.9999999999999982"/>
    <m/>
    <m/>
  </r>
  <r>
    <s v="Bay 4&amp;5 - _x000a_Pumps"/>
    <x v="48"/>
    <x v="3"/>
    <s v="Contractor dewatering Pump"/>
    <s v="CP150-539"/>
    <s v="Pump dismantling"/>
    <d v="2026-01-22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28"/>
    <s v="Contractor dewatering Pump"/>
    <s v="PT175-552"/>
    <s v="Pump prepare for assembling"/>
    <d v="2026-01-22T00:00:00"/>
    <d v="2026-01-28T00:00:00"/>
    <d v="2026-01-28T00:00:00"/>
    <m/>
    <d v="1899-12-30T09:30:00"/>
    <d v="1899-12-30T15:30:00"/>
    <n v="6.0000000000000018"/>
    <s v="Completed"/>
    <m/>
  </r>
  <r>
    <s v="Bay 4&amp;5 - _x000a_Pumps"/>
    <x v="48"/>
    <x v="5"/>
    <s v="Contractor dewatering Pump"/>
    <s v="CP150-692"/>
    <s v="Minor repair &amp; water test"/>
    <d v="2026-01-22T00:00:00"/>
    <d v="2026-01-27T00:00:00"/>
    <d v="2026-01-27T00:00:00"/>
    <m/>
    <d v="1899-12-30T06:30:00"/>
    <d v="1899-12-30T09:30:00"/>
    <n v="3"/>
    <s v="Completed"/>
    <m/>
  </r>
  <r>
    <s v="Bay 4&amp;5 - _x000a_Pumps"/>
    <x v="48"/>
    <x v="2"/>
    <m/>
    <m/>
    <m/>
    <m/>
    <m/>
    <m/>
    <m/>
    <d v="1899-12-30T13:00:00"/>
    <d v="1899-12-30T14:00:00"/>
    <n v="1.0000000000000018"/>
    <m/>
    <m/>
  </r>
  <r>
    <s v="Bay 4&amp;5 - _x000a_Pumps"/>
    <x v="48"/>
    <x v="5"/>
    <s v="Contractor dewatering Pump"/>
    <s v="CP150V-002"/>
    <s v="Pump dismantling."/>
    <d v="2026-01-28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1"/>
    <s v="Contractor dewatering Pump"/>
    <s v="CP150-250"/>
    <s v="Pump assembling waiting for parts"/>
    <d v="2026-01-20T00:00:00"/>
    <d v="2026-01-28T00:00:00"/>
    <d v="2026-01-28T00:00:00"/>
    <m/>
    <d v="1899-12-30T06:30:00"/>
    <d v="1899-12-30T15:30:00"/>
    <n v="9.0000000000000018"/>
    <s v="Completed"/>
    <m/>
  </r>
  <r>
    <s v="Bay 4&amp;5 - _x000a_Pumps"/>
    <x v="48"/>
    <x v="2"/>
    <m/>
    <m/>
    <m/>
    <m/>
    <m/>
    <m/>
    <m/>
    <d v="1899-12-30T10:30:00"/>
    <d v="1899-12-30T12:00:00"/>
    <n v="1.5"/>
    <m/>
    <m/>
  </r>
  <r>
    <s v="Bay 4&amp;5 - _x000a_Pumps"/>
    <x v="48"/>
    <x v="1"/>
    <s v="Contractor dewatering Pump"/>
    <s v="CP150-882"/>
    <s v="Pump end repair"/>
    <d v="2026-01-27T00:00:00"/>
    <d v="2026-01-28T00:00:00"/>
    <d v="2026-01-28T00:00:00"/>
    <m/>
    <d v="1899-12-30T09:30:00"/>
    <d v="1899-12-30T15:30:00"/>
    <n v="6.0000000000000018"/>
    <s v="Completed"/>
    <m/>
  </r>
  <r>
    <s v="Electrical"/>
    <x v="49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49"/>
    <x v="9"/>
    <s v="Panel"/>
    <s v="SPB7.5-023"/>
    <s v="Repair, test &amp; PDI"/>
    <d v="2026-01-22T00:00:00"/>
    <d v="2026-01-31T00:00:00"/>
    <m/>
    <m/>
    <d v="1899-12-30T08:30:00"/>
    <d v="1899-12-30T17:30:00"/>
    <n v="8.9999999999999982"/>
    <s v="Ongoing"/>
    <m/>
  </r>
  <r>
    <s v="Electrical"/>
    <x v="49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49"/>
    <x v="33"/>
    <s v="Submersible pump"/>
    <s v="SGN-006"/>
    <s v="Inspection &amp; assemble"/>
    <d v="2026-01-28T00:00:00"/>
    <d v="2026-01-29T00:00:00"/>
    <d v="2026-01-29T00:00:00"/>
    <m/>
    <d v="1899-12-30T06:30:00"/>
    <d v="1899-12-30T13:00:00"/>
    <n v="6.5"/>
    <s v="Completed"/>
    <m/>
  </r>
  <r>
    <s v="Electrical"/>
    <x v="49"/>
    <x v="12"/>
    <m/>
    <m/>
    <m/>
    <m/>
    <m/>
    <m/>
    <m/>
    <d v="1899-12-30T06:30:00"/>
    <d v="1899-12-30T13:00:00"/>
    <n v="6.5"/>
    <m/>
    <m/>
  </r>
  <r>
    <s v="Electrical"/>
    <x v="49"/>
    <x v="33"/>
    <s v="Submersible pump"/>
    <s v="SMSP3-021"/>
    <s v="95kw pump fixing"/>
    <d v="2026-01-29T00:00:00"/>
    <d v="2026-01-29T00:00:00"/>
    <d v="2026-01-29T00:00:00"/>
    <m/>
    <d v="1899-12-30T13:00:00"/>
    <d v="1899-12-30T17:30:00"/>
    <n v="4.5"/>
    <s v="Completed"/>
    <m/>
  </r>
  <r>
    <s v="Electrical"/>
    <x v="49"/>
    <x v="12"/>
    <m/>
    <m/>
    <m/>
    <m/>
    <m/>
    <m/>
    <m/>
    <d v="1899-12-30T13:00:00"/>
    <d v="1899-12-30T17:30:00"/>
    <n v="4.5"/>
    <m/>
    <m/>
  </r>
  <r>
    <s v="Electrical"/>
    <x v="49"/>
    <x v="49"/>
    <m/>
    <m/>
    <m/>
    <m/>
    <m/>
    <m/>
    <m/>
    <d v="1899-12-30T13:00:00"/>
    <d v="1899-12-30T17:30:00"/>
    <n v="4.5"/>
    <m/>
    <m/>
  </r>
  <r>
    <s v="Electrical"/>
    <x v="49"/>
    <x v="43"/>
    <s v="Submersible pump"/>
    <s v="SSD22-002"/>
    <s v="Rotor repairing &amp; assemble"/>
    <d v="2026-01-29T00:00:00"/>
    <d v="2026-01-30T00:00:00"/>
    <m/>
    <m/>
    <d v="1899-12-30T06:30:00"/>
    <d v="1899-12-30T15:30:00"/>
    <n v="9.0000000000000018"/>
    <s v="Ongoing"/>
    <m/>
  </r>
  <r>
    <s v="Electrical"/>
    <x v="49"/>
    <x v="13"/>
    <s v="Submersible pump"/>
    <s v="SM530-299"/>
    <s v="Rewinding"/>
    <d v="2026-01-27T00:00:00"/>
    <d v="2026-01-29T00:00:00"/>
    <d v="2026-01-29T00:00:00"/>
    <m/>
    <d v="1899-12-30T06:30:00"/>
    <d v="1899-12-30T12:00:00"/>
    <n v="5.5"/>
    <s v="Completed"/>
    <m/>
  </r>
  <r>
    <s v="Electrical"/>
    <x v="49"/>
    <x v="24"/>
    <s v="Borehole pump"/>
    <s v="Old B:H pump"/>
    <s v="20nos pumps inspection, dismantle &amp; scrap "/>
    <d v="2026-01-28T00:00:00"/>
    <d v="2026-01-29T00:00:00"/>
    <m/>
    <m/>
    <d v="1899-12-30T08:30:00"/>
    <d v="1899-12-30T17:30:00"/>
    <n v="8.9999999999999982"/>
    <s v="Ongoing"/>
    <m/>
  </r>
  <r>
    <s v="Electrical"/>
    <x v="49"/>
    <x v="15"/>
    <m/>
    <m/>
    <m/>
    <m/>
    <m/>
    <m/>
    <m/>
    <d v="1899-12-30T08:30:00"/>
    <d v="1899-12-30T17:30:00"/>
    <n v="8.9999999999999982"/>
    <m/>
    <m/>
  </r>
  <r>
    <s v="Electrical"/>
    <x v="49"/>
    <x v="14"/>
    <s v="Submersible pump"/>
    <s v="SM530-380"/>
    <s v="Pump assemble"/>
    <d v="2026-01-28T00:00:00"/>
    <d v="2026-01-29T00:00:00"/>
    <m/>
    <m/>
    <d v="1899-12-30T06:30:00"/>
    <d v="1899-12-30T15:30:00"/>
    <n v="9.0000000000000018"/>
    <s v="Completed"/>
    <m/>
  </r>
  <r>
    <s v="Electrical"/>
    <x v="49"/>
    <x v="35"/>
    <s v="Submersible pump"/>
    <s v="SWD40H-003"/>
    <s v="Pump assemble"/>
    <d v="2026-01-28T00:00:00"/>
    <d v="2026-01-29T00:00:00"/>
    <d v="2026-01-29T00:00:00"/>
    <m/>
    <d v="1899-12-30T08:30:00"/>
    <d v="1899-12-30T17:30:00"/>
    <n v="8.9999999999999982"/>
    <s v="Completed"/>
    <m/>
  </r>
  <r>
    <s v="Electrical"/>
    <x v="49"/>
    <x v="17"/>
    <s v="Generator"/>
    <s v="GEN60-003"/>
    <s v="Inspection &amp; power cable connection."/>
    <d v="2026-01-27T00:00:00"/>
    <d v="2026-01-29T00:00:00"/>
    <d v="2026-01-29T00:00:00"/>
    <m/>
    <d v="1899-12-30T06:30:00"/>
    <d v="1899-12-30T13:00:00"/>
    <n v="6.5"/>
    <s v="Completed"/>
    <m/>
  </r>
  <r>
    <s v="Bay 6 -_x000a_Generator"/>
    <x v="49"/>
    <x v="32"/>
    <s v="Generator"/>
    <s v="GENP100-124"/>
    <s v="Load test"/>
    <d v="2026-01-24T00:00:00"/>
    <d v="2026-01-24T00:00:00"/>
    <m/>
    <m/>
    <d v="1899-12-30T08:30:00"/>
    <d v="1899-12-30T13:30:00"/>
    <n v="5"/>
    <s v="Ongoing"/>
    <m/>
  </r>
  <r>
    <s v="Bay 6 -_x000a_Generator"/>
    <x v="49"/>
    <x v="7"/>
    <s v="Generator"/>
    <s v="GEN150-037"/>
    <s v="Engine assembling"/>
    <d v="2026-01-27T00:00:00"/>
    <d v="2026-01-29T00:00:00"/>
    <m/>
    <m/>
    <d v="1899-12-30T08:30:00"/>
    <d v="1899-12-30T15:30:00"/>
    <n v="7"/>
    <s v="Ongoing"/>
    <m/>
  </r>
  <r>
    <s v="Bay 6 -_x000a_Generator"/>
    <x v="49"/>
    <x v="7"/>
    <s v="Other"/>
    <s v="SCRLF19-001"/>
    <s v="steering hydraulic cylinder seal changing"/>
    <d v="2026-01-29T00:00:00"/>
    <d v="2026-01-29T00:00:00"/>
    <d v="2026-01-29T00:00:00"/>
    <m/>
    <d v="1899-12-30T06:30:00"/>
    <d v="1899-12-30T08:30:00"/>
    <n v="2.0000000000000009"/>
    <s v="Completed"/>
    <m/>
  </r>
  <r>
    <s v="Bay 6 -_x000a_Generator"/>
    <x v="49"/>
    <x v="32"/>
    <m/>
    <m/>
    <m/>
    <m/>
    <m/>
    <m/>
    <m/>
    <d v="1899-12-30T06:30:00"/>
    <d v="1899-12-30T08:30:00"/>
    <n v="2.0000000000000009"/>
    <m/>
    <m/>
  </r>
  <r>
    <s v="Bay 6 -_x000a_Generator"/>
    <x v="49"/>
    <x v="23"/>
    <s v="Generator"/>
    <s v="GENJ60-003"/>
    <s v="Ac alternator &amp; fuel pump fix."/>
    <d v="2026-01-28T00:00:00"/>
    <d v="2026-01-29T00:00:00"/>
    <d v="2026-01-29T00:00:00"/>
    <m/>
    <d v="1899-12-30T08:30:00"/>
    <d v="1899-12-30T15:30:00"/>
    <n v="7"/>
    <s v="Completed"/>
    <m/>
  </r>
  <r>
    <s v="Bay 6 -_x000a_Generator"/>
    <x v="49"/>
    <x v="32"/>
    <m/>
    <m/>
    <m/>
    <m/>
    <m/>
    <m/>
    <m/>
    <d v="1899-12-30T08:30:00"/>
    <d v="1899-12-30T15:30:00"/>
    <n v="7"/>
    <m/>
    <m/>
  </r>
  <r>
    <s v="Bay 6 -_x000a_Generator"/>
    <x v="49"/>
    <x v="23"/>
    <s v="Other"/>
    <s v="LB-004"/>
    <s v="Load bank repairing &amp; cover removing"/>
    <d v="2026-01-28T00:00:00"/>
    <d v="2026-01-28T00:00:00"/>
    <m/>
    <m/>
    <d v="1899-12-30T12:00:00"/>
    <d v="1899-12-30T15:00:00"/>
    <n v="3"/>
    <s v="Ongoing"/>
    <m/>
  </r>
  <r>
    <s v="Bay 6 -_x000a_Generator"/>
    <x v="49"/>
    <x v="23"/>
    <s v="Other"/>
    <s v="General work"/>
    <s v="General work"/>
    <d v="2026-01-29T00:00:00"/>
    <d v="2026-01-29T00:00:00"/>
    <d v="2026-01-29T00:00:00"/>
    <m/>
    <d v="1899-12-30T15:30:00"/>
    <d v="1899-12-30T17:30:00"/>
    <n v="1.9999999999999982"/>
    <s v="Completed"/>
    <m/>
  </r>
  <r>
    <s v="Bay 4&amp;5 - _x000a_Pumps"/>
    <x v="49"/>
    <x v="47"/>
    <s v="Diesel Driven CP Pump"/>
    <s v="AD1500-004"/>
    <s v="Actuator pipe connecting &amp;load test"/>
    <d v="2026-01-23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49"/>
    <x v="37"/>
    <m/>
    <m/>
    <m/>
    <m/>
    <m/>
    <m/>
    <m/>
    <d v="1899-12-30T06:30:00"/>
    <d v="1899-12-30T15:30:00"/>
    <n v="9.0000000000000018"/>
    <m/>
    <m/>
  </r>
  <r>
    <s v="Bay 4&amp;5 - _x000a_Pumps"/>
    <x v="49"/>
    <x v="19"/>
    <s v="Diesel Driven CP Pump"/>
    <s v="CD50-004"/>
    <s v="Pump repair"/>
    <d v="2026-01-29T00:00:00"/>
    <d v="2026-01-29T00:00:00"/>
    <d v="2026-01-29T00:00:00"/>
    <m/>
    <d v="1899-12-30T08:30:00"/>
    <d v="1899-12-30T17:30:00"/>
    <n v="8.9999999999999982"/>
    <s v="Completed"/>
    <m/>
  </r>
  <r>
    <s v="Bay 4&amp;5 - _x000a_Pumps"/>
    <x v="49"/>
    <x v="20"/>
    <s v="Other"/>
    <s v="Gate Valve"/>
    <s v="Insppection, washing, repair"/>
    <d v="2026-01-29T00:00:00"/>
    <d v="2026-01-29T00:00:00"/>
    <d v="2026-01-29T00:00:00"/>
    <m/>
    <d v="1899-12-30T08:30:00"/>
    <d v="1899-12-30T17:30:00"/>
    <n v="8.9999999999999982"/>
    <s v="Completed"/>
    <m/>
  </r>
  <r>
    <s v="Bay 4&amp;5 - _x000a_Pumps"/>
    <x v="49"/>
    <x v="28"/>
    <s v="Contractor dewatering Pump"/>
    <s v="CP150V-002"/>
    <s v="3XVaccum Pump repair, completely rusty"/>
    <d v="2026-01-29T00:00:00"/>
    <d v="2026-01-29T00:00:00"/>
    <d v="2026-01-29T00:00:00"/>
    <m/>
    <d v="1899-12-30T06:30:00"/>
    <d v="1899-12-30T09:30:00"/>
    <n v="3"/>
    <s v="Completed"/>
    <m/>
  </r>
  <r>
    <s v="Bay 4&amp;5 - _x000a_Pumps"/>
    <x v="49"/>
    <x v="48"/>
    <s v="Contractor dewatering Pump"/>
    <s v="PT175XMozambique"/>
    <s v="Frame &amp; panel board removing &amp; refitting"/>
    <d v="2026-01-24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4"/>
    <m/>
    <m/>
    <m/>
    <m/>
    <m/>
    <m/>
    <m/>
    <d v="1899-12-30T08:30:00"/>
    <d v="1899-12-30T17:30:00"/>
    <n v="8.9999999999999982"/>
    <m/>
    <m/>
  </r>
  <r>
    <s v="Bay 4&amp;5 - _x000a_Pumps"/>
    <x v="49"/>
    <x v="3"/>
    <s v="Contractor dewatering Pump"/>
    <s v="CP150-539"/>
    <s v="Pump assembling"/>
    <d v="2026-01-22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28"/>
    <s v="Contractor dewatering Pump"/>
    <s v="PT175-552"/>
    <s v="Pump prepare for assembling"/>
    <d v="2026-01-22T00:00:00"/>
    <d v="2026-01-29T00:00:00"/>
    <d v="2026-01-29T00:00:00"/>
    <m/>
    <d v="1899-12-30T09:30:00"/>
    <d v="1899-12-30T15:30:00"/>
    <n v="6.0000000000000018"/>
    <s v="Completed"/>
    <m/>
  </r>
  <r>
    <s v="Bay 4&amp;5 - _x000a_Pumps"/>
    <x v="49"/>
    <x v="5"/>
    <s v="Contractor dewatering Pump"/>
    <s v="CP150V-002"/>
    <s v="pump assemble"/>
    <d v="2026-01-27T00:00:00"/>
    <d v="2026-01-29T00:00:00"/>
    <d v="2026-01-29T00:00:00"/>
    <m/>
    <d v="1899-12-30T06:30:00"/>
    <d v="1899-12-30T15:30:00"/>
    <n v="9.0000000000000018"/>
    <s v="Completed"/>
    <m/>
  </r>
  <r>
    <s v="Bay 4&amp;5 - _x000a_Pumps"/>
    <x v="49"/>
    <x v="2"/>
    <m/>
    <m/>
    <m/>
    <m/>
    <m/>
    <m/>
    <m/>
    <d v="1899-12-30T13:00:00"/>
    <d v="1899-12-30T14:00:00"/>
    <n v="1.0000000000000018"/>
    <m/>
    <m/>
  </r>
  <r>
    <s v="Bay 4&amp;5 - _x000a_Pumps"/>
    <x v="49"/>
    <x v="5"/>
    <s v="Contractor dewatering Pump"/>
    <s v="BL150-88"/>
    <s v="Engine repairing ongoing"/>
    <d v="2026-01-29T00:00:00"/>
    <d v="2026-01-29T00:00:00"/>
    <d v="2026-01-29T00:00:00"/>
    <m/>
    <d v="1899-12-30T11:30:00"/>
    <d v="1899-12-30T15:30:00"/>
    <n v="4"/>
    <s v="Completed"/>
    <m/>
  </r>
  <r>
    <s v="Bay 4&amp;5 - _x000a_Pumps"/>
    <x v="49"/>
    <x v="1"/>
    <s v="Contractor dewatering Pump"/>
    <s v="CP150-882"/>
    <s v="Pump end repair"/>
    <d v="2026-01-27T00:00:00"/>
    <d v="2026-01-29T00:00:00"/>
    <d v="2026-01-29T00:00:00"/>
    <m/>
    <d v="1899-12-30T06:30:00"/>
    <d v="1899-12-30T11:30:00"/>
    <n v="5.0000000000000009"/>
    <s v="Completed"/>
    <m/>
  </r>
  <r>
    <s v="Bay 4&amp;5 - _x000a_Pumps"/>
    <x v="49"/>
    <x v="2"/>
    <m/>
    <m/>
    <m/>
    <m/>
    <m/>
    <m/>
    <m/>
    <d v="1899-12-30T10:30:00"/>
    <d v="1899-12-30T12:00:00"/>
    <n v="1.5"/>
    <m/>
    <m/>
  </r>
  <r>
    <s v="Bay 4&amp;5 - _x000a_Pumps"/>
    <x v="49"/>
    <x v="1"/>
    <s v="Contractor dewatering Pump"/>
    <s v="PT175-550"/>
    <s v="Pump assembling, connecting rod."/>
    <d v="2026-01-29T00:00:00"/>
    <d v="2026-01-29T00:00:00"/>
    <d v="2026-01-29T00:00:00"/>
    <m/>
    <d v="1899-12-30T11:30:00"/>
    <d v="1899-12-30T15:30:00"/>
    <n v="4"/>
    <s v="Completed"/>
    <m/>
  </r>
  <r>
    <s v="Electrical"/>
    <x v="50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50"/>
    <x v="9"/>
    <s v="Panel"/>
    <s v="SPB7.5-023"/>
    <s v="Repair, test &amp; PDI"/>
    <d v="2026-01-29T00:00:00"/>
    <d v="2026-01-31T00:00:00"/>
    <m/>
    <m/>
    <d v="1899-12-30T08:30:00"/>
    <d v="1899-12-30T17:30:00"/>
    <n v="8.9999999999999982"/>
    <s v="Ongoing"/>
    <m/>
  </r>
  <r>
    <s v="Electrical"/>
    <x v="50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0"/>
    <x v="33"/>
    <s v="Generator"/>
    <s v="GENJ250-040"/>
    <s v="Copper cable removing."/>
    <d v="2026-01-30T00:00:00"/>
    <d v="2026-01-31T00:00:00"/>
    <m/>
    <m/>
    <d v="1899-12-30T08:30:00"/>
    <d v="1899-12-30T17:30:00"/>
    <n v="8.9999999999999982"/>
    <s v="Ongoing"/>
    <m/>
  </r>
  <r>
    <s v="Electrical"/>
    <x v="50"/>
    <x v="12"/>
    <m/>
    <m/>
    <m/>
    <m/>
    <m/>
    <m/>
    <m/>
    <d v="1899-12-30T08:30:00"/>
    <d v="1899-12-30T17:30:00"/>
    <n v="8.9999999999999982"/>
    <m/>
    <m/>
  </r>
  <r>
    <s v="Electrical"/>
    <x v="50"/>
    <x v="43"/>
    <s v="Submersible pump"/>
    <s v="SSD22-002"/>
    <s v="Pump assembling"/>
    <d v="2026-01-29T00:00:00"/>
    <d v="2026-01-30T00:00:00"/>
    <m/>
    <m/>
    <d v="1899-12-30T06:30:00"/>
    <d v="1899-12-30T09:30:00"/>
    <n v="3"/>
    <s v="Ongoing"/>
    <m/>
  </r>
  <r>
    <s v="Electrical"/>
    <x v="50"/>
    <x v="13"/>
    <s v="Other"/>
    <s v="LB-004"/>
    <s v="Inspection &amp; repair"/>
    <d v="2026-01-30T00:00:00"/>
    <d v="2026-01-30T00:00:00"/>
    <m/>
    <m/>
    <d v="1899-12-30T06:30:00"/>
    <d v="1899-12-30T10:00:00"/>
    <n v="3.5000000000000009"/>
    <s v="Completed"/>
    <m/>
  </r>
  <r>
    <s v="Electrical"/>
    <x v="50"/>
    <x v="24"/>
    <s v="Borehole pump"/>
    <s v="Old B:H pump"/>
    <s v="15nos pumps inspection &amp; repair, 4nos pump water testing, 4nos pump cable joint"/>
    <d v="2026-01-30T00:00:00"/>
    <d v="2026-01-30T00:00:00"/>
    <m/>
    <m/>
    <d v="1899-12-30T08:30:00"/>
    <d v="1899-12-30T17:30:00"/>
    <n v="8.9999999999999982"/>
    <s v="Completed"/>
    <m/>
  </r>
  <r>
    <s v="Electrical"/>
    <x v="50"/>
    <x v="15"/>
    <m/>
    <m/>
    <m/>
    <m/>
    <m/>
    <m/>
    <m/>
    <d v="1899-12-30T08:30:00"/>
    <d v="1899-12-30T17:30:00"/>
    <n v="8.9999999999999982"/>
    <m/>
    <m/>
  </r>
  <r>
    <s v="Electrical"/>
    <x v="50"/>
    <x v="14"/>
    <s v="Submersible pump"/>
    <s v="SWD60H-003"/>
    <s v="Rotor repairing &amp; assemble"/>
    <d v="2026-01-30T00:00:00"/>
    <d v="2026-01-31T00:00:00"/>
    <m/>
    <m/>
    <d v="1899-12-30T06:30:00"/>
    <d v="1899-12-30T15:30:00"/>
    <n v="9.0000000000000018"/>
    <s v="Ongoing"/>
    <m/>
  </r>
  <r>
    <s v="Electrical"/>
    <x v="50"/>
    <x v="17"/>
    <s v="Borehole pump"/>
    <s v="SWD40N-004"/>
    <s v="Rewinding"/>
    <d v="2026-01-30T00:00:00"/>
    <d v="2026-01-31T00:00:00"/>
    <m/>
    <m/>
    <d v="1899-12-30T06:30:00"/>
    <d v="1899-12-30T15:30:00"/>
    <n v="9.0000000000000018"/>
    <s v="Ongoing"/>
    <m/>
  </r>
  <r>
    <s v="Bay 6 -_x000a_Generator"/>
    <x v="50"/>
    <x v="7"/>
    <s v="Generator"/>
    <s v="GEN150-037"/>
    <s v="Engine assembling"/>
    <d v="2026-01-27T00:00:00"/>
    <d v="2026-01-30T00:00:00"/>
    <m/>
    <m/>
    <d v="1899-12-30T08:30:00"/>
    <d v="1899-12-30T15:30:00"/>
    <n v="7"/>
    <s v="Ongoing"/>
    <m/>
  </r>
  <r>
    <s v="Bay 6 -_x000a_Generator"/>
    <x v="50"/>
    <x v="23"/>
    <s v="Generator"/>
    <s v="GENJ100-009"/>
    <s v="Canopy&amp; radiator removing"/>
    <d v="2026-01-30T00:00:00"/>
    <d v="2026-01-30T00:00:00"/>
    <m/>
    <m/>
    <d v="1899-12-30T08:30:00"/>
    <d v="1899-12-30T13:30:00"/>
    <n v="5"/>
    <s v="Completed"/>
    <m/>
  </r>
  <r>
    <s v="Bay 6 -_x000a_Generator"/>
    <x v="50"/>
    <x v="32"/>
    <m/>
    <m/>
    <m/>
    <m/>
    <m/>
    <m/>
    <m/>
    <d v="1899-12-30T08:30:00"/>
    <d v="1899-12-30T13:30:00"/>
    <n v="5"/>
    <m/>
    <m/>
  </r>
  <r>
    <s v="Bay 4&amp;5 - _x000a_Pumps"/>
    <x v="50"/>
    <x v="47"/>
    <s v="Diesel Driven CP Pump"/>
    <s v="CP1818-020"/>
    <s v="Radiator change"/>
    <d v="2026-01-30T00:00:00"/>
    <d v="2026-02-02T00:00:00"/>
    <m/>
    <m/>
    <d v="1899-12-30T06:30:00"/>
    <d v="1899-12-30T17:30:00"/>
    <n v="11"/>
    <s v="Completed"/>
    <m/>
  </r>
  <r>
    <s v="Bay 4&amp;5 - _x000a_Pumps"/>
    <x v="50"/>
    <x v="37"/>
    <m/>
    <m/>
    <m/>
    <m/>
    <m/>
    <m/>
    <m/>
    <d v="1899-12-30T06:30:00"/>
    <d v="1899-12-30T15:30:00"/>
    <n v="9.0000000000000018"/>
    <m/>
    <m/>
  </r>
  <r>
    <s v="Bay 4&amp;5 - _x000a_Pumps"/>
    <x v="50"/>
    <x v="19"/>
    <s v="Diesel Driven CP Pump"/>
    <s v="CP1212-001"/>
    <s v="General repair"/>
    <d v="2026-01-30T00:00:00"/>
    <d v="2026-02-01T00:00:00"/>
    <m/>
    <m/>
    <d v="1899-12-30T08:30:00"/>
    <d v="1899-12-30T17:30:00"/>
    <n v="8.9999999999999982"/>
    <s v="Completed"/>
    <m/>
  </r>
  <r>
    <s v="Bay 4&amp;5 - _x000a_Pumps"/>
    <x v="50"/>
    <x v="20"/>
    <m/>
    <m/>
    <m/>
    <m/>
    <m/>
    <m/>
    <m/>
    <d v="1899-12-30T08:30:00"/>
    <d v="1899-12-30T17:30:00"/>
    <n v="8.9999999999999982"/>
    <m/>
    <m/>
  </r>
  <r>
    <s v="Bay 4&amp;5 - _x000a_Pumps"/>
    <x v="50"/>
    <x v="28"/>
    <s v="Contractor dewatering Pump"/>
    <s v="CP150"/>
    <s v="1XVaccum Pump repair."/>
    <d v="2026-01-30T00:00:00"/>
    <d v="2026-01-30T00:00:00"/>
    <m/>
    <m/>
    <d v="1899-12-30T06:30:00"/>
    <d v="1899-12-30T09:30:00"/>
    <n v="3"/>
    <s v="Completed"/>
    <m/>
  </r>
  <r>
    <s v="Bay 4&amp;5 - _x000a_Pumps"/>
    <x v="50"/>
    <x v="48"/>
    <s v="Contractor dewatering Pump"/>
    <s v="PT175XMozambique"/>
    <s v="Frame &amp; panel board removing &amp; refitting ongoing"/>
    <d v="2026-01-24T00:00:00"/>
    <d v="2026-01-30T00:00:00"/>
    <m/>
    <m/>
    <d v="1899-12-30T06:30:00"/>
    <d v="1899-12-30T15:30:00"/>
    <n v="9.0000000000000018"/>
    <s v="Completed"/>
    <m/>
  </r>
  <r>
    <s v="Bay 4&amp;5 - _x000a_Pumps"/>
    <x v="50"/>
    <x v="4"/>
    <m/>
    <m/>
    <m/>
    <m/>
    <m/>
    <m/>
    <m/>
    <d v="1899-12-30T08:30:00"/>
    <d v="1899-12-30T17:30:00"/>
    <n v="8.9999999999999982"/>
    <m/>
    <m/>
  </r>
  <r>
    <s v="Bay 4&amp;5 - _x000a_Pumps"/>
    <x v="50"/>
    <x v="3"/>
    <s v="Contractor dewatering Pump"/>
    <s v="CP150-539"/>
    <s v="Pump assembling ongoing"/>
    <d v="2026-01-22T00:00:00"/>
    <d v="2026-01-30T00:00:00"/>
    <m/>
    <m/>
    <d v="1899-12-30T06:30:00"/>
    <d v="1899-12-30T15:30:00"/>
    <n v="9.0000000000000018"/>
    <s v="Ongoing"/>
    <m/>
  </r>
  <r>
    <s v="Bay 4&amp;5 - _x000a_Pumps"/>
    <x v="50"/>
    <x v="28"/>
    <s v="Contractor dewatering Pump"/>
    <s v="PT175-552"/>
    <s v="Pump prepare for assembling &amp; gearbox assembling"/>
    <d v="2026-01-27T00:00:00"/>
    <d v="2026-01-30T00:00:00"/>
    <m/>
    <m/>
    <d v="1899-12-30T09:30:00"/>
    <d v="1899-12-30T15:30:00"/>
    <n v="6.0000000000000018"/>
    <s v="Ongoing"/>
    <m/>
  </r>
  <r>
    <s v="Bay 4&amp;5 - _x000a_Pumps"/>
    <x v="50"/>
    <x v="5"/>
    <s v="Contractor dewatering Pump"/>
    <s v="BL150-088"/>
    <s v="pump assemble"/>
    <d v="2026-01-27T00:00:00"/>
    <d v="2026-01-30T00:00:00"/>
    <m/>
    <m/>
    <d v="1899-12-30T06:30:00"/>
    <d v="1899-12-30T15:30:00"/>
    <n v="9.0000000000000018"/>
    <s v="Completed"/>
    <m/>
  </r>
  <r>
    <s v="Bay 4&amp;5 - _x000a_Pumps"/>
    <x v="50"/>
    <x v="2"/>
    <m/>
    <m/>
    <m/>
    <m/>
    <m/>
    <m/>
    <m/>
    <d v="1899-12-30T13:00:00"/>
    <d v="1899-12-30T14:00:00"/>
    <n v="1.0000000000000018"/>
    <m/>
    <m/>
  </r>
  <r>
    <s v="Bay 4&amp;5 - _x000a_Pumps"/>
    <x v="50"/>
    <x v="1"/>
    <s v="Contractor dewatering Pump"/>
    <s v="PT175-550"/>
    <s v="Pump end repair"/>
    <d v="2026-01-27T00:00:00"/>
    <d v="2026-01-30T00:00:00"/>
    <m/>
    <m/>
    <d v="1899-12-30T06:30:00"/>
    <d v="1899-12-30T15:30:00"/>
    <n v="9.0000000000000018"/>
    <s v="Completed"/>
    <m/>
  </r>
  <r>
    <s v="Bay 4&amp;5 - _x000a_Pumps"/>
    <x v="50"/>
    <x v="2"/>
    <m/>
    <m/>
    <m/>
    <m/>
    <m/>
    <m/>
    <m/>
    <d v="1899-12-30T10:30:00"/>
    <d v="1899-12-30T12:00:00"/>
    <n v="1.5"/>
    <m/>
    <m/>
  </r>
  <r>
    <s v="Electrical"/>
    <x v="51"/>
    <x v="8"/>
    <s v="Panel"/>
    <s v="CPB1.1-002"/>
    <s v="Wiring power &amp; control"/>
    <d v="2026-01-26T00:00:00"/>
    <d v="2026-01-30T00:00:00"/>
    <m/>
    <m/>
    <d v="1899-12-30T06:30:00"/>
    <d v="1899-12-30T15:30:00"/>
    <n v="9.0000000000000018"/>
    <s v="Ongoing"/>
    <m/>
  </r>
  <r>
    <s v="Electrical"/>
    <x v="51"/>
    <x v="8"/>
    <s v="Panel"/>
    <s v="SPB95-002"/>
    <s v="FFD Dismantling for Testing"/>
    <d v="2026-01-31T00:00:00"/>
    <d v="2026-01-31T00:00:00"/>
    <m/>
    <m/>
    <d v="1899-12-30T06:30:00"/>
    <d v="1899-12-30T15:30:00"/>
    <n v="9.0000000000000018"/>
    <s v="Ongoing"/>
    <m/>
  </r>
  <r>
    <s v="Electrical"/>
    <x v="51"/>
    <x v="50"/>
    <s v="Submersible pump"/>
    <s v="SM530-134"/>
    <s v="Re Winding"/>
    <d v="2026-01-31T00:00:00"/>
    <d v="2026-01-31T00:00:00"/>
    <m/>
    <m/>
    <d v="1899-12-30T06:30:00"/>
    <d v="1899-12-30T15:30:00"/>
    <n v="9.0000000000000018"/>
    <s v="Ongoing"/>
    <m/>
  </r>
  <r>
    <s v="Electrical"/>
    <x v="51"/>
    <x v="9"/>
    <s v="Panel"/>
    <s v="SPB7.5-023"/>
    <s v="Repair, test &amp; PDI"/>
    <d v="2026-01-29T00:00:00"/>
    <d v="2026-01-31T00:00:00"/>
    <m/>
    <m/>
    <d v="1899-12-30T08:30:00"/>
    <d v="1899-12-30T17:30:00"/>
    <n v="8.9999999999999982"/>
    <s v="Ongoing"/>
    <m/>
  </r>
  <r>
    <s v="Electrical"/>
    <x v="51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1"/>
    <x v="33"/>
    <s v="Generator"/>
    <s v="GENJ250-040"/>
    <s v="Copper cable removing."/>
    <d v="2026-01-30T00:00:00"/>
    <d v="2026-01-31T00:00:00"/>
    <m/>
    <m/>
    <d v="1899-12-30T08:30:00"/>
    <d v="1899-12-30T17:30:00"/>
    <n v="8.9999999999999982"/>
    <s v="Ongoing"/>
    <m/>
  </r>
  <r>
    <s v="Electrical"/>
    <x v="51"/>
    <x v="12"/>
    <m/>
    <m/>
    <m/>
    <m/>
    <m/>
    <m/>
    <m/>
    <d v="1899-12-30T08:30:00"/>
    <d v="1899-12-30T17:30:00"/>
    <n v="8.9999999999999982"/>
    <m/>
    <m/>
  </r>
  <r>
    <s v="Electrical"/>
    <x v="51"/>
    <x v="43"/>
    <s v="Submersible pump"/>
    <s v="SSD22-002"/>
    <s v="Pump assembling"/>
    <d v="2026-01-29T00:00:00"/>
    <d v="2026-01-31T00:00:00"/>
    <m/>
    <m/>
    <d v="1899-12-30T06:30:00"/>
    <d v="1899-12-30T09:30:00"/>
    <n v="3"/>
    <s v="Ongoing"/>
    <m/>
  </r>
  <r>
    <s v="Electrical"/>
    <x v="51"/>
    <x v="13"/>
    <s v="Submersible pump"/>
    <s v="SM530-134"/>
    <s v="Rewinding"/>
    <d v="2026-01-30T00:00:00"/>
    <d v="2026-01-31T00:00:00"/>
    <d v="2026-01-31T00:00:00"/>
    <m/>
    <d v="1899-12-30T06:30:00"/>
    <d v="1899-12-30T15:30:00"/>
    <n v="9.0000000000000018"/>
    <s v="Completed"/>
    <m/>
  </r>
  <r>
    <s v="Electrical"/>
    <x v="51"/>
    <x v="15"/>
    <m/>
    <s v="Old B:H pump"/>
    <s v="15nos scrap pump Inspection &amp; repairing"/>
    <d v="2026-01-31T00:00:00"/>
    <d v="2026-01-31T00:00:00"/>
    <d v="2026-01-31T00:00:00"/>
    <m/>
    <d v="1899-12-30T08:30:00"/>
    <d v="1899-12-30T17:30:00"/>
    <n v="8.9999999999999982"/>
    <s v="Completed"/>
    <m/>
  </r>
  <r>
    <s v="Electrical"/>
    <x v="51"/>
    <x v="24"/>
    <m/>
    <m/>
    <m/>
    <m/>
    <m/>
    <m/>
    <m/>
    <d v="1899-12-30T08:30:00"/>
    <d v="1899-12-30T17:30:00"/>
    <n v="8.9999999999999982"/>
    <m/>
    <m/>
  </r>
  <r>
    <s v="Electrical"/>
    <x v="51"/>
    <x v="14"/>
    <s v="Submersible pump"/>
    <s v="SWD60H-003"/>
    <s v="pump assemble"/>
    <d v="2026-01-30T00:00:00"/>
    <d v="2026-01-31T00:00:00"/>
    <m/>
    <m/>
    <d v="1899-12-30T06:30:00"/>
    <d v="1899-12-30T09:00:00"/>
    <n v="2.5000000000000004"/>
    <s v="Ongoing"/>
    <m/>
  </r>
  <r>
    <s v="Electrical"/>
    <x v="51"/>
    <x v="17"/>
    <s v="Borehole pump"/>
    <s v="SWD40N-004"/>
    <s v="Rewinding"/>
    <d v="2026-01-30T00:00:00"/>
    <d v="2026-01-31T00:00:00"/>
    <m/>
    <m/>
    <d v="1899-12-30T06:30:00"/>
    <d v="1899-12-30T15:30:00"/>
    <n v="9.0000000000000018"/>
    <s v="Ongoing"/>
    <m/>
  </r>
  <r>
    <s v="Bay 6 -_x000a_Generator"/>
    <x v="51"/>
    <x v="7"/>
    <s v="Generator"/>
    <s v="GEN150-037"/>
    <s v="Engine assembling"/>
    <d v="2026-01-27T00:00:00"/>
    <d v="2026-01-30T00:00:00"/>
    <m/>
    <m/>
    <d v="1899-12-30T08:30:00"/>
    <d v="1899-12-30T15:30:00"/>
    <n v="7"/>
    <s v="Ongoing"/>
    <m/>
  </r>
  <r>
    <s v="Bay 6 -_x000a_Generator"/>
    <x v="51"/>
    <x v="23"/>
    <s v="Generator"/>
    <s v="GEN250-051"/>
    <s v="Engine oil service, general repair, radiator washing,"/>
    <d v="2026-01-31T00:00:00"/>
    <d v="2026-01-31T00:00:00"/>
    <d v="2026-01-31T00:00:00"/>
    <m/>
    <d v="1899-12-30T06:30:00"/>
    <d v="1899-12-30T10:30:00"/>
    <n v="4"/>
    <s v="Completed"/>
    <m/>
  </r>
  <r>
    <s v="Bay 6 -_x000a_Generator"/>
    <x v="51"/>
    <x v="32"/>
    <m/>
    <m/>
    <m/>
    <m/>
    <m/>
    <m/>
    <m/>
    <d v="1899-12-30T08:30:00"/>
    <d v="1899-12-30T10:30:00"/>
    <n v="1.9999999999999996"/>
    <m/>
    <m/>
  </r>
  <r>
    <s v="Bay 6 -_x000a_Generator"/>
    <x v="51"/>
    <x v="23"/>
    <s v="Tank"/>
    <s v="BFT3-323/336"/>
    <s v="Return adaptor fitting, final fitting"/>
    <d v="2026-01-31T00:00:00"/>
    <d v="2026-01-31T00:00:00"/>
    <d v="2026-01-31T00:00:00"/>
    <m/>
    <d v="1899-12-30T10:30:00"/>
    <d v="1899-12-30T13:30:00"/>
    <n v="3"/>
    <s v="Completed"/>
    <m/>
  </r>
  <r>
    <s v="Bay 6 -_x000a_Generator"/>
    <x v="51"/>
    <x v="23"/>
    <s v="Generator"/>
    <s v="GEN100-40"/>
    <s v="Final fitting, breaker cover fitting"/>
    <d v="2026-01-31T00:00:00"/>
    <d v="2026-01-31T00:00:00"/>
    <d v="2026-01-31T00:00:00"/>
    <m/>
    <d v="1899-12-30T13:30:00"/>
    <d v="1899-12-30T15:30:00"/>
    <n v="2.0000000000000009"/>
    <s v="Completed"/>
    <m/>
  </r>
  <r>
    <s v="Bay 6 -_x000a_Generator"/>
    <x v="51"/>
    <x v="23"/>
    <s v="Other"/>
    <s v="General work"/>
    <s v="General work"/>
    <d v="2026-01-31T00:00:00"/>
    <d v="2026-01-31T00:00:00"/>
    <d v="2026-01-31T00:00:00"/>
    <m/>
    <d v="1899-12-30T15:30:00"/>
    <d v="1899-12-30T17:30:00"/>
    <n v="1.9999999999999982"/>
    <s v="Completed"/>
    <m/>
  </r>
  <r>
    <s v="Bay 4&amp;5 - _x000a_Pumps"/>
    <x v="51"/>
    <x v="47"/>
    <s v="Diesel Driven CP Pump"/>
    <s v="CP1818-020"/>
    <s v="Radiator change"/>
    <d v="2026-01-30T00:00:00"/>
    <d v="2026-02-02T00:00:00"/>
    <d v="2026-02-02T00:00:00"/>
    <m/>
    <d v="1899-12-30T06:30:00"/>
    <d v="1899-12-30T17:30:00"/>
    <n v="11"/>
    <s v="Completed"/>
    <m/>
  </r>
  <r>
    <s v="Bay 4&amp;5 - _x000a_Pumps"/>
    <x v="51"/>
    <x v="37"/>
    <m/>
    <m/>
    <m/>
    <m/>
    <m/>
    <m/>
    <m/>
    <d v="1899-12-30T06:30:00"/>
    <d v="1899-12-30T15:30:00"/>
    <n v="9.0000000000000018"/>
    <m/>
    <m/>
  </r>
  <r>
    <s v="Bay 4&amp;5 - _x000a_Pumps"/>
    <x v="51"/>
    <x v="19"/>
    <s v="Diesel Driven CP Pump"/>
    <s v="CP1212-001"/>
    <s v="General repair"/>
    <d v="2026-01-30T00:00:00"/>
    <d v="2026-02-01T00:00:00"/>
    <d v="2026-02-01T00:00:00"/>
    <m/>
    <d v="1899-12-30T08:30:00"/>
    <d v="1899-12-30T17:30:00"/>
    <n v="8.9999999999999982"/>
    <s v="Completed"/>
    <m/>
  </r>
  <r>
    <s v="Bay 4&amp;5 - _x000a_Pumps"/>
    <x v="51"/>
    <x v="20"/>
    <s v="Diesel Driven CP Pump"/>
    <s v="CP1818-020"/>
    <s v="General repair"/>
    <d v="2026-01-30T00:00:00"/>
    <d v="2026-02-01T00:00:00"/>
    <d v="2026-02-01T00:00:00"/>
    <m/>
    <d v="1899-12-30T08:30:00"/>
    <d v="1899-12-30T17:30:00"/>
    <n v="8.9999999999999982"/>
    <s v="Completed"/>
    <m/>
  </r>
  <r>
    <s v="Bay 4&amp;5 - _x000a_Pumps"/>
    <x v="51"/>
    <x v="4"/>
    <s v="Contractor dewatering Pump"/>
    <s v="PT-552"/>
    <s v="Engine repair"/>
    <d v="2026-01-31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48"/>
    <s v="Contractor dewatering Pump"/>
    <s v="Mozambique pump"/>
    <s v="Frame &amp; panel board removing fabrication work &amp; refitting"/>
    <d v="2026-01-31T00:00:00"/>
    <d v="2026-01-31T00:00:00"/>
    <d v="2026-01-31T00:00:00"/>
    <m/>
    <d v="1899-12-30T08:30:00"/>
    <d v="1899-12-30T17:30:00"/>
    <n v="8.9999999999999982"/>
    <s v="Completed"/>
    <m/>
  </r>
  <r>
    <s v="Bay 4&amp;5 - _x000a_Pumps"/>
    <x v="51"/>
    <x v="3"/>
    <s v="Contractor dewatering Pump"/>
    <s v="CP150-539"/>
    <s v="Pump assembling ongoing"/>
    <d v="2026-01-22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28"/>
    <s v="Contractor dewatering Pump"/>
    <s v="PT175-552"/>
    <s v="Pump prepare for assembling &amp; gearbox assembling"/>
    <d v="2026-01-27T00:00:00"/>
    <d v="2026-01-31T00:00:00"/>
    <d v="2026-01-31T00:00:00"/>
    <m/>
    <d v="1899-12-30T09:30:00"/>
    <d v="1899-12-30T15:30:00"/>
    <n v="6.0000000000000018"/>
    <s v="Completed"/>
    <m/>
  </r>
  <r>
    <s v="Bay 4&amp;5 - _x000a_Pumps"/>
    <x v="51"/>
    <x v="1"/>
    <s v="Contractor dewatering Pump"/>
    <s v="CP150-250"/>
    <s v="Pump assembling ongoing"/>
    <d v="2026-01-31T00:00:00"/>
    <d v="2026-01-31T00:00:00"/>
    <d v="2026-01-31T00:00:00"/>
    <m/>
    <d v="1899-12-30T06:30:00"/>
    <d v="1899-12-30T15:30:00"/>
    <n v="9.0000000000000018"/>
    <s v="Completed"/>
    <m/>
  </r>
  <r>
    <s v="Bay 4&amp;5 - _x000a_Pumps"/>
    <x v="51"/>
    <x v="2"/>
    <m/>
    <m/>
    <m/>
    <m/>
    <m/>
    <m/>
    <m/>
    <d v="1899-12-30T10:30:00"/>
    <d v="1899-12-30T12:00:00"/>
    <n v="1.5"/>
    <m/>
    <m/>
  </r>
  <r>
    <s v="Bay 4&amp;5 - _x000a_Pumps"/>
    <x v="51"/>
    <x v="5"/>
    <s v="Contractor dewatering Pump"/>
    <s v="CP150X3"/>
    <s v="Valve casing cleaning &amp; fiber coating"/>
    <d v="2026-01-31T00:00:00"/>
    <d v="2026-01-31T00:00:00"/>
    <d v="2026-01-31T00:00:00"/>
    <m/>
    <d v="1899-12-30T06:30:00"/>
    <d v="1899-12-30T15:30:00"/>
    <n v="9.0000000000000018"/>
    <s v="Completed"/>
    <m/>
  </r>
  <r>
    <s v="Electrical"/>
    <x v="52"/>
    <x v="8"/>
    <s v="Panel"/>
    <s v="5XSCP"/>
    <s v="Inspection &amp; repair"/>
    <d v="2026-01-02T00:00:00"/>
    <d v="2026-01-02T00:00:00"/>
    <m/>
    <m/>
    <d v="1899-12-30T06:30:00"/>
    <d v="1899-12-30T15:30:00"/>
    <n v="9.0000000000000018"/>
    <s v="Ongoing"/>
    <m/>
  </r>
  <r>
    <s v="Electrical"/>
    <x v="52"/>
    <x v="9"/>
    <s v="Panel"/>
    <s v="CPB13.8/175"/>
    <s v="Repair &amp; solar fixing"/>
    <d v="2026-01-02T00:00:00"/>
    <d v="2026-01-02T00:00:00"/>
    <m/>
    <m/>
    <d v="1899-12-30T08:30:00"/>
    <d v="1899-12-30T17:30:00"/>
    <n v="8.9999999999999982"/>
    <s v="Ongoing"/>
    <m/>
  </r>
  <r>
    <s v="Electrical"/>
    <x v="52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Ongoing"/>
    <m/>
  </r>
  <r>
    <s v="Electrical"/>
    <x v="52"/>
    <x v="33"/>
    <s v="Generator"/>
    <s v="GENJ250-040"/>
    <s v="Copper cable removing."/>
    <d v="2026-02-02T00:00:00"/>
    <d v="2026-02-02T00:00:00"/>
    <d v="2026-02-02T00:00:00"/>
    <m/>
    <d v="1899-12-30T06:30:00"/>
    <d v="1899-12-30T17:30:00"/>
    <n v="11"/>
    <s v="Completed"/>
    <m/>
  </r>
  <r>
    <s v="Electrical"/>
    <x v="52"/>
    <x v="12"/>
    <m/>
    <m/>
    <m/>
    <m/>
    <m/>
    <m/>
    <m/>
    <d v="1899-12-30T06:30:00"/>
    <d v="1899-12-30T17:30:00"/>
    <n v="11"/>
    <m/>
    <m/>
  </r>
  <r>
    <s v="Electrical"/>
    <x v="52"/>
    <x v="43"/>
    <s v="Submersible pumps"/>
    <s v="SGN-006"/>
    <s v="Water testing"/>
    <d v="2026-02-02T00:00:00"/>
    <d v="2026-02-02T00:00:00"/>
    <d v="2026-02-02T00:00:00"/>
    <m/>
    <d v="1899-12-30T06:30:00"/>
    <d v="1899-12-30T10:00:00"/>
    <n v="3.5000000000000009"/>
    <s v="Completed"/>
    <m/>
  </r>
  <r>
    <s v="Electrical"/>
    <x v="52"/>
    <x v="14"/>
    <m/>
    <m/>
    <m/>
    <m/>
    <m/>
    <m/>
    <m/>
    <d v="1899-12-30T06:30:00"/>
    <d v="1899-12-30T10:00:00"/>
    <n v="3.5000000000000009"/>
    <m/>
    <m/>
  </r>
  <r>
    <s v="Electrical"/>
    <x v="52"/>
    <x v="13"/>
    <s v="Submersible pump"/>
    <s v="SM530-134"/>
    <s v="Rewinding"/>
    <d v="2026-02-02T00:00:00"/>
    <d v="2026-02-03T00:00:00"/>
    <m/>
    <m/>
    <d v="1899-12-30T06:30:00"/>
    <d v="1899-12-30T15:30:00"/>
    <n v="9.0000000000000018"/>
    <s v="Ongoing"/>
    <m/>
  </r>
  <r>
    <s v="Electrical"/>
    <x v="52"/>
    <x v="15"/>
    <s v="Borehole pump"/>
    <s v="Old B:H pump"/>
    <s v="15nos scrap pump Inspection &amp; repairing, 4nos cable joints."/>
    <d v="2026-02-02T00:00:00"/>
    <d v="2026-02-02T00:00:00"/>
    <d v="2026-02-02T00:00:00"/>
    <m/>
    <d v="1899-12-30T08:30:00"/>
    <d v="1899-12-30T17:30:00"/>
    <n v="8.9999999999999982"/>
    <s v="Completed"/>
    <m/>
  </r>
  <r>
    <s v="Electrical"/>
    <x v="52"/>
    <x v="24"/>
    <m/>
    <m/>
    <m/>
    <m/>
    <m/>
    <m/>
    <m/>
    <d v="1899-12-30T08:30:00"/>
    <d v="1899-12-30T17:30:00"/>
    <n v="8.9999999999999982"/>
    <m/>
    <m/>
  </r>
  <r>
    <s v="Electrical"/>
    <x v="52"/>
    <x v="17"/>
    <s v="Borehole pump"/>
    <s v="SWD40N-004"/>
    <s v="Rewinding"/>
    <d v="2026-02-02T00:00:00"/>
    <d v="2026-02-02T00:00:00"/>
    <d v="2026-02-02T00:00:00"/>
    <m/>
    <d v="1899-12-30T06:30:00"/>
    <d v="1899-12-30T15:30:00"/>
    <n v="9.0000000000000018"/>
    <s v="Completed"/>
    <m/>
  </r>
  <r>
    <s v="Bay 6 -_x000a_Generator"/>
    <x v="52"/>
    <x v="7"/>
    <s v="Generator"/>
    <s v="GEN150-037"/>
    <s v="Engine assembling"/>
    <d v="2026-01-27T00:00:00"/>
    <d v="2026-02-02T00:00:00"/>
    <d v="2026-02-02T00:00:00"/>
    <m/>
    <d v="1899-12-30T08:30:00"/>
    <d v="1899-12-30T15:30:00"/>
    <n v="7"/>
    <s v="Completed"/>
    <m/>
  </r>
  <r>
    <s v="Bay 6 -_x000a_Generator"/>
    <x v="52"/>
    <x v="23"/>
    <s v="Generator"/>
    <s v="GEN200-004"/>
    <s v="Engine dismantling."/>
    <d v="2026-02-02T00:00:00"/>
    <d v="2026-02-02T00:00:00"/>
    <m/>
    <m/>
    <d v="1899-12-30T08:30:00"/>
    <d v="1899-12-30T17:30:00"/>
    <n v="8.9999999999999982"/>
    <s v="Hold"/>
    <m/>
  </r>
  <r>
    <s v="Bay 6 -_x000a_Generator"/>
    <x v="52"/>
    <x v="51"/>
    <m/>
    <m/>
    <m/>
    <m/>
    <m/>
    <m/>
    <m/>
    <d v="1899-12-30T08:30:00"/>
    <d v="1899-12-30T17:30:00"/>
    <n v="8.9999999999999982"/>
    <m/>
    <m/>
  </r>
  <r>
    <s v="Bay 6 -_x000a_Generator"/>
    <x v="52"/>
    <x v="23"/>
    <s v="Generator"/>
    <s v="GEN150-037"/>
    <s v="Foam sheet fixing"/>
    <d v="2026-02-02T00:00:00"/>
    <d v="2026-02-02T00:00:00"/>
    <d v="2026-02-02T00:00:00"/>
    <m/>
    <d v="1899-12-30T04:30:00"/>
    <d v="1899-12-30T17:30:00"/>
    <n v="13"/>
    <s v="Completed"/>
    <m/>
  </r>
  <r>
    <s v="Bay 4&amp;5 - _x000a_Pumps"/>
    <x v="52"/>
    <x v="47"/>
    <s v="Diesel Driven CP Pump"/>
    <s v="CP1818-020"/>
    <s v="Vaccum test, final fitting &amp; PDI 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37"/>
    <m/>
    <m/>
    <m/>
    <m/>
    <m/>
    <m/>
    <m/>
    <d v="1899-12-30T06:30:00"/>
    <d v="1899-12-30T15:30:00"/>
    <n v="9.0000000000000018"/>
    <m/>
    <m/>
  </r>
  <r>
    <s v="Bay 4&amp;5 - _x000a_Pumps"/>
    <x v="52"/>
    <x v="19"/>
    <s v="Diesel Driven CP Pump"/>
    <s v="CP1212-026"/>
    <s v="Pump  overhauling"/>
    <d v="2026-02-02T00:00:00"/>
    <d v="2026-02-02T00:00:00"/>
    <d v="2026-02-02T00:00:00"/>
    <m/>
    <d v="1899-12-30T08:30:00"/>
    <d v="1899-12-30T17:30:00"/>
    <n v="8.9999999999999982"/>
    <s v="Completed"/>
    <m/>
  </r>
  <r>
    <s v="Bay 4&amp;5 - _x000a_Pumps"/>
    <x v="52"/>
    <x v="20"/>
    <s v="Diesel Driven CP Pump"/>
    <m/>
    <m/>
    <m/>
    <m/>
    <m/>
    <m/>
    <d v="1899-12-30T08:30:00"/>
    <d v="1899-12-30T17:30:00"/>
    <n v="8.9999999999999982"/>
    <m/>
    <m/>
  </r>
  <r>
    <s v="Bay 4&amp;5 - _x000a_Pumps"/>
    <x v="52"/>
    <x v="4"/>
    <s v="Contractor dewatering Pump"/>
    <s v="ZD900-033"/>
    <s v="Engine repair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48"/>
    <s v="Contractor dewatering Pump"/>
    <s v="CP150-507"/>
    <s v="pump dismantling"/>
    <d v="2026-02-02T00:00:00"/>
    <d v="2026-02-02T00:00:00"/>
    <d v="2026-02-02T00:00:00"/>
    <m/>
    <d v="1899-12-30T08:30:00"/>
    <d v="1899-12-30T17:30:00"/>
    <n v="8.9999999999999982"/>
    <s v="Completed"/>
    <m/>
  </r>
  <r>
    <s v="Bay 4&amp;5 - _x000a_Pumps"/>
    <x v="52"/>
    <x v="3"/>
    <s v="Contractor dewatering Pump"/>
    <s v="CP150-507"/>
    <s v="Engine dismantling."/>
    <d v="2026-02-02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28"/>
    <s v="Contractor dewatering Pump"/>
    <s v="PT175-552"/>
    <s v="Pump assembling "/>
    <d v="2026-01-29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1"/>
    <s v="Contractor dewatering Pump"/>
    <s v="CP150-250"/>
    <s v="Pump assembling ongoing"/>
    <d v="2026-01-31T00:00:00"/>
    <d v="2026-02-02T00:00:00"/>
    <d v="2026-02-02T00:00:00"/>
    <m/>
    <d v="1899-12-30T06:30:00"/>
    <d v="1899-12-30T15:30:00"/>
    <n v="9.0000000000000018"/>
    <s v="Completed"/>
    <m/>
  </r>
  <r>
    <s v="Bay 4&amp;5 - _x000a_Pumps"/>
    <x v="52"/>
    <x v="2"/>
    <m/>
    <m/>
    <m/>
    <m/>
    <m/>
    <m/>
    <m/>
    <d v="1899-12-30T06:30:00"/>
    <d v="1899-12-30T15:30:00"/>
    <n v="9.0000000000000018"/>
    <m/>
    <m/>
  </r>
  <r>
    <s v="Bay 4&amp;5 - _x000a_Pumps"/>
    <x v="52"/>
    <x v="5"/>
    <s v="Contractor dewatering Pump"/>
    <s v="ZD900-033"/>
    <s v="Pump dismantling"/>
    <d v="2026-02-02T00:00:00"/>
    <d v="2026-02-02T00:00:00"/>
    <d v="2026-02-02T00:00:00"/>
    <m/>
    <d v="1899-12-30T06:30:00"/>
    <d v="1899-12-30T15:30:00"/>
    <n v="9.0000000000000018"/>
    <s v="Completed"/>
    <m/>
  </r>
  <r>
    <s v="Electrical"/>
    <x v="53"/>
    <x v="8"/>
    <s v="Panel"/>
    <s v="SPB3.7-169"/>
    <s v="Repair, test &amp; PDI"/>
    <d v="2026-01-03T00:00:00"/>
    <d v="2026-01-03T00:00:00"/>
    <m/>
    <m/>
    <d v="1899-12-30T06:30:00"/>
    <d v="1899-12-30T15:30:00"/>
    <n v="9.0000000000000018"/>
    <s v="Completed"/>
    <m/>
  </r>
  <r>
    <s v="Electrical"/>
    <x v="53"/>
    <x v="9"/>
    <s v="Panel"/>
    <s v="CPB3.7-171"/>
    <s v="Repair &amp; solar fixing"/>
    <d v="2026-01-03T00:00:00"/>
    <d v="2026-01-03T00:00:00"/>
    <m/>
    <m/>
    <d v="1899-12-30T08:30:00"/>
    <d v="1899-12-30T17:30:00"/>
    <n v="8.9999999999999982"/>
    <s v="Completed"/>
    <m/>
  </r>
  <r>
    <s v="Electrical"/>
    <x v="53"/>
    <x v="34"/>
    <s v="Panel"/>
    <s v="SPB7.5-085"/>
    <s v="Modification, adding, ELCB safety glass &amp; rewiring."/>
    <d v="2026-01-29T00:00:00"/>
    <d v="2026-02-03T00:00:00"/>
    <m/>
    <m/>
    <d v="1899-12-30T08:30:00"/>
    <d v="1899-12-30T17:30:00"/>
    <n v="8.9999999999999982"/>
    <s v="Completed"/>
    <m/>
  </r>
  <r>
    <s v="Electrical"/>
    <x v="53"/>
    <x v="33"/>
    <s v="Other"/>
    <s v="FM200X4/300X4"/>
    <s v="Inspection, power &amp; PDI"/>
    <d v="2026-02-03T00:00:00"/>
    <d v="2026-02-03T00:00:00"/>
    <m/>
    <m/>
    <d v="1899-12-30T06:30:00"/>
    <d v="1899-12-30T15:30:00"/>
    <n v="9.0000000000000018"/>
    <s v="Completed"/>
    <m/>
  </r>
  <r>
    <s v="Electrical"/>
    <x v="53"/>
    <x v="12"/>
    <s v="Other"/>
    <s v="FM150X4/300X4"/>
    <s v="Inspection, power &amp; PDI"/>
    <d v="2026-02-03T00:00:00"/>
    <d v="2026-02-03T00:00:00"/>
    <m/>
    <m/>
    <d v="1899-12-30T08:30:00"/>
    <d v="1899-12-30T17:30:00"/>
    <n v="8.9999999999999982"/>
    <s v="Completed"/>
    <m/>
  </r>
  <r>
    <s v="Electrical"/>
    <x v="53"/>
    <x v="43"/>
    <s v="Submersible pumps"/>
    <s v="SM1002-273/SSD22-002"/>
    <s v="Water testing"/>
    <d v="2026-02-03T00:00:00"/>
    <d v="2026-02-03T00:00:00"/>
    <m/>
    <m/>
    <d v="1899-12-30T06:30:00"/>
    <d v="1899-12-30T10:00:00"/>
    <n v="3.5000000000000009"/>
    <s v="Completed"/>
    <m/>
  </r>
  <r>
    <s v="Electrical"/>
    <x v="53"/>
    <x v="14"/>
    <m/>
    <m/>
    <m/>
    <m/>
    <m/>
    <m/>
    <m/>
    <d v="1899-12-30T06:30:00"/>
    <d v="1899-12-30T10:00:00"/>
    <n v="3.5000000000000009"/>
    <m/>
    <m/>
  </r>
  <r>
    <s v="Electrical"/>
    <x v="53"/>
    <x v="15"/>
    <s v="Borehole pump"/>
    <s v="Old B:H pump"/>
    <s v="9nos pump Inspection &amp; water tesring"/>
    <d v="2026-02-03T00:00:00"/>
    <d v="2026-02-03T00:00:00"/>
    <m/>
    <m/>
    <d v="1899-12-30T08:30:00"/>
    <d v="1899-12-30T17:30:00"/>
    <n v="8.9999999999999982"/>
    <s v="Completed"/>
    <m/>
  </r>
  <r>
    <s v="Electrical"/>
    <x v="53"/>
    <x v="24"/>
    <m/>
    <m/>
    <m/>
    <m/>
    <m/>
    <m/>
    <m/>
    <d v="1899-12-30T08:30:00"/>
    <d v="1899-12-30T17:30:00"/>
    <n v="8.9999999999999982"/>
    <m/>
    <m/>
  </r>
  <r>
    <s v="Electrical"/>
    <x v="53"/>
    <x v="17"/>
    <s v="Submersible pumps"/>
    <s v="SM530-134"/>
    <s v="Rewinding"/>
    <d v="2026-02-03T00:00:00"/>
    <d v="2026-02-04T00:00:00"/>
    <m/>
    <m/>
    <d v="1899-12-30T06:30:00"/>
    <d v="1899-12-30T15:30:00"/>
    <n v="9.0000000000000018"/>
    <s v="Completed"/>
    <m/>
  </r>
  <r>
    <s v="Bay 6 -_x000a_Generator"/>
    <x v="53"/>
    <x v="7"/>
    <s v="Generator"/>
    <s v="GEN150-037"/>
    <s v="Engine &amp; ac alternator fixing."/>
    <d v="2026-01-27T00:00:00"/>
    <d v="2026-02-03T00:00:00"/>
    <m/>
    <m/>
    <d v="1899-12-30T06:30:00"/>
    <d v="1899-12-30T15:30:00"/>
    <n v="9.0000000000000018"/>
    <s v="Hold"/>
    <m/>
  </r>
  <r>
    <s v="Bay 6 -_x000a_Generator"/>
    <x v="53"/>
    <x v="32"/>
    <m/>
    <m/>
    <m/>
    <m/>
    <m/>
    <m/>
    <m/>
    <d v="1899-12-30T06:30:00"/>
    <d v="1899-12-30T10:00:00"/>
    <n v="3.5000000000000009"/>
    <m/>
    <m/>
  </r>
  <r>
    <s v="Bay 6 -_x000a_Generator"/>
    <x v="53"/>
    <x v="23"/>
    <s v="Diesel Driven CP Pump"/>
    <s v="ZD900-065"/>
    <s v="pump assembling"/>
    <d v="2026-02-02T00:00:00"/>
    <d v="2026-02-03T00:00:00"/>
    <m/>
    <m/>
    <d v="1899-12-30T08:30:00"/>
    <d v="1899-12-30T17:30:00"/>
    <n v="8.9999999999999982"/>
    <s v="Completed"/>
    <m/>
  </r>
  <r>
    <s v="Bay 6 -_x000a_Generator"/>
    <x v="53"/>
    <x v="32"/>
    <m/>
    <m/>
    <m/>
    <m/>
    <m/>
    <m/>
    <m/>
    <d v="1899-12-30T10:00:00"/>
    <d v="1899-12-30T15:30:00"/>
    <n v="5.5"/>
    <m/>
    <m/>
  </r>
  <r>
    <s v="Bay 4&amp;5 - _x000a_Pumps"/>
    <x v="53"/>
    <x v="47"/>
    <s v="Diesel Driven CP Pump"/>
    <s v="CD180M-22"/>
    <s v="Inspection &amp; general repair"/>
    <d v="2026-02-03T00:00:00"/>
    <d v="2026-02-07T00:00:00"/>
    <m/>
    <m/>
    <d v="1899-12-30T06:30:00"/>
    <d v="1899-12-30T15:30:00"/>
    <n v="9.0000000000000018"/>
    <s v="Completed"/>
    <m/>
  </r>
  <r>
    <s v="Bay 4&amp;5 - _x000a_Pumps"/>
    <x v="53"/>
    <x v="37"/>
    <s v="Diesel Driven CP Pump"/>
    <s v="AC375-012"/>
    <s v="Oil Service, general checkup"/>
    <d v="2026-02-03T00:00:00"/>
    <d v="2026-02-03T00:00:00"/>
    <m/>
    <m/>
    <d v="1899-12-30T06:30:00"/>
    <d v="1899-12-30T15:30:00"/>
    <n v="9.0000000000000018"/>
    <s v="Completed"/>
    <m/>
  </r>
  <r>
    <s v="Bay 4&amp;5 - _x000a_Pumps"/>
    <x v="53"/>
    <x v="19"/>
    <s v="Diesel Driven CP Pump"/>
    <s v="CP1212-026"/>
    <s v="Pump  overhauling"/>
    <d v="2026-02-03T00:00:00"/>
    <d v="2026-02-03T00:00:00"/>
    <m/>
    <m/>
    <d v="1899-12-30T08:30:00"/>
    <d v="1899-12-30T17:30:00"/>
    <n v="8.9999999999999982"/>
    <s v="Completed"/>
    <m/>
  </r>
  <r>
    <s v="Bay 4&amp;5 - _x000a_Pumps"/>
    <x v="53"/>
    <x v="20"/>
    <s v="Diesel Driven CP Pump"/>
    <s v="CP1212S17-001"/>
    <s v="Pump  overhauling"/>
    <d v="2026-02-03T00:00:00"/>
    <d v="2026-02-03T00:00:00"/>
    <m/>
    <m/>
    <d v="1899-12-30T08:30:00"/>
    <d v="1899-12-30T17:30:00"/>
    <n v="8.9999999999999982"/>
    <s v="Completed"/>
    <m/>
  </r>
  <r>
    <s v="Bay 4&amp;5 - _x000a_Pumps"/>
    <x v="53"/>
    <x v="4"/>
    <s v="Contractor dewatering Pump"/>
    <s v="ZD900-033"/>
    <s v="Engine repair ongoing"/>
    <d v="2026-02-02T00:00:00"/>
    <d v="2026-02-03T00:00:00"/>
    <m/>
    <m/>
    <d v="1899-12-30T06:30:00"/>
    <d v="1899-12-30T15:30:00"/>
    <n v="9.0000000000000018"/>
    <s v="Completed"/>
    <m/>
  </r>
  <r>
    <s v="Bay 4&amp;5 - _x000a_Pumps"/>
    <x v="53"/>
    <x v="48"/>
    <s v="Contractor dewatering Pump"/>
    <s v="CP150-507"/>
    <s v="Pump prepare for assembling"/>
    <d v="2026-02-02T00:00:00"/>
    <d v="2026-02-03T00:00:00"/>
    <m/>
    <m/>
    <d v="1899-12-30T08:30:00"/>
    <d v="1899-12-30T17:30:00"/>
    <n v="8.9999999999999982"/>
    <s v="Completed"/>
    <m/>
  </r>
  <r>
    <s v="Bay 4&amp;5 - _x000a_Pumps"/>
    <x v="53"/>
    <x v="3"/>
    <s v="Contractor dewatering Pump"/>
    <s v="CP150-507"/>
    <s v="Engine prepare for assembling"/>
    <d v="2026-02-02T00:00:00"/>
    <d v="2026-02-03T00:00:00"/>
    <m/>
    <m/>
    <d v="1899-12-30T06:30:00"/>
    <d v="1899-12-30T15:30:00"/>
    <n v="9.0000000000000018"/>
    <s v="Completed"/>
    <m/>
  </r>
  <r>
    <s v="Bay 4&amp;5 - _x000a_Pumps"/>
    <x v="53"/>
    <x v="28"/>
    <s v="Contractor dewatering Pump"/>
    <s v="PT175-552"/>
    <s v="Pump assembling ongoing"/>
    <d v="2026-01-29T00:00:00"/>
    <d v="2026-02-03T00:00:00"/>
    <m/>
    <m/>
    <d v="1899-12-30T09:30:00"/>
    <d v="1899-12-30T15:30:00"/>
    <n v="6.0000000000000018"/>
    <s v="Completed"/>
    <m/>
  </r>
  <r>
    <s v="Bay 4&amp;5 - _x000a_Pumps"/>
    <x v="53"/>
    <x v="28"/>
    <s v="Contractor dewatering Pump"/>
    <s v="CP150-882"/>
    <s v="Final fitting &amp; minor repair"/>
    <d v="2026-02-03T00:00:00"/>
    <d v="2026-02-03T00:00:00"/>
    <m/>
    <m/>
    <d v="1899-12-30T06:30:00"/>
    <d v="1899-12-30T08:00:00"/>
    <n v="1.5"/>
    <s v="Completed"/>
    <m/>
  </r>
  <r>
    <s v="Bay 4&amp;5 - _x000a_Pumps"/>
    <x v="53"/>
    <x v="28"/>
    <s v="Contractor dewatering Pump"/>
    <s v="CP150-259"/>
    <s v="Final fitting &amp; minor repair"/>
    <d v="2026-02-03T00:00:00"/>
    <d v="2026-02-03T00:00:00"/>
    <m/>
    <m/>
    <d v="1899-12-30T08:00:00"/>
    <d v="1899-12-30T09:30:00"/>
    <n v="1.5"/>
    <s v="Completed"/>
    <m/>
  </r>
  <r>
    <s v="Bay 4&amp;5 - _x000a_Pumps"/>
    <x v="53"/>
    <x v="1"/>
    <s v="Contractor dewatering Pump"/>
    <s v="CP150-250"/>
    <s v="Pump assembling ongoing"/>
    <d v="2026-01-31T00:00:00"/>
    <d v="2026-02-03T00:00:00"/>
    <m/>
    <m/>
    <d v="1899-12-30T06:30:00"/>
    <d v="1899-12-30T15:30:00"/>
    <n v="9.0000000000000018"/>
    <s v="Completed"/>
    <m/>
  </r>
  <r>
    <s v="Bay 4&amp;5 - _x000a_Pumps"/>
    <x v="53"/>
    <x v="2"/>
    <m/>
    <m/>
    <m/>
    <m/>
    <m/>
    <m/>
    <m/>
    <d v="1899-12-30T06:30:00"/>
    <d v="1899-12-30T15:30:00"/>
    <n v="9.0000000000000018"/>
    <m/>
    <m/>
  </r>
  <r>
    <s v="Bay 4&amp;5 - _x000a_Pumps"/>
    <x v="53"/>
    <x v="5"/>
    <s v="Contractor dewatering Pump"/>
    <s v="ZD900-033"/>
    <s v="Pump prepare for assembling"/>
    <d v="2026-02-02T00:00:00"/>
    <d v="2026-02-03T00:00:00"/>
    <m/>
    <m/>
    <d v="1899-12-30T06:30:00"/>
    <d v="1899-12-30T15:30:00"/>
    <n v="9.0000000000000018"/>
    <s v="Completed"/>
    <m/>
  </r>
  <r>
    <s v="Electrical"/>
    <x v="54"/>
    <x v="8"/>
    <s v="Panel"/>
    <s v="SPB3.7-021"/>
    <s v="Repair, test &amp; PDI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49"/>
    <s v="Panel"/>
    <s v="SPB3.7-054"/>
    <s v="Repair, test &amp; PDI"/>
    <d v="2026-01-04T00:00:00"/>
    <d v="2026-01-04T00:00:00"/>
    <d v="2026-01-04T00:00:00"/>
    <m/>
    <d v="1899-12-30T08:30:00"/>
    <d v="1899-12-30T17:30:00"/>
    <n v="8.9999999999999982"/>
    <s v="Completed"/>
    <m/>
  </r>
  <r>
    <s v="Electrical"/>
    <x v="54"/>
    <x v="34"/>
    <s v="Panel"/>
    <s v="DB299/059"/>
    <s v="Repair, test &amp; PDI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33"/>
    <s v="Other"/>
    <s v="FM-150/200/300"/>
    <s v="8nos flowmeter inspection &amp; PDI"/>
    <d v="2026-02-03T00:00:00"/>
    <d v="2026-02-04T00:00:00"/>
    <m/>
    <m/>
    <d v="1899-12-30T08:30:00"/>
    <d v="1899-12-30T17:30:00"/>
    <n v="8.9999999999999982"/>
    <s v="Ongoing"/>
    <m/>
  </r>
  <r>
    <s v="Electrical"/>
    <x v="54"/>
    <x v="12"/>
    <m/>
    <m/>
    <m/>
    <m/>
    <m/>
    <m/>
    <m/>
    <d v="1899-12-30T08:30:00"/>
    <d v="1899-12-30T17:30:00"/>
    <n v="8.9999999999999982"/>
    <m/>
    <m/>
  </r>
  <r>
    <s v="Electrical"/>
    <x v="54"/>
    <x v="13"/>
    <s v="Submersible pump"/>
    <s v="SM530"/>
    <s v="Rewinding"/>
    <d v="2026-01-04T00:00:00"/>
    <d v="2026-01-04T00:00:00"/>
    <m/>
    <m/>
    <d v="1899-12-30T06:30:00"/>
    <d v="1899-12-30T15:30:00"/>
    <n v="9.0000000000000018"/>
    <s v="Ongoing"/>
    <m/>
  </r>
  <r>
    <s v="Electrical"/>
    <x v="54"/>
    <x v="43"/>
    <s v="Submersible pumps"/>
    <s v="SSD18-002"/>
    <s v="inspection &amp; dismantling"/>
    <d v="2026-01-04T00:00:00"/>
    <d v="2026-01-04T00:00:00"/>
    <d v="2026-01-04T00:00:00"/>
    <m/>
    <d v="1899-12-30T06:30:00"/>
    <d v="1899-12-30T15:30:00"/>
    <n v="9.0000000000000018"/>
    <s v="Completed"/>
    <m/>
  </r>
  <r>
    <s v="Electrical"/>
    <x v="54"/>
    <x v="14"/>
    <s v="Borehole pump"/>
    <s v="SWD60H-003"/>
    <s v="Pump aassembling"/>
    <d v="2026-01-04T00:00:00"/>
    <d v="2026-01-04T00:00:00"/>
    <m/>
    <m/>
    <d v="1899-12-30T06:30:00"/>
    <d v="1899-12-30T15:30:00"/>
    <n v="9.0000000000000018"/>
    <s v="Ongoing"/>
    <m/>
  </r>
  <r>
    <s v="Electrical"/>
    <x v="54"/>
    <x v="15"/>
    <s v="Borehole pump"/>
    <s v="Old B:H pump"/>
    <s v="15nos pump Inspection &amp; scrap/ 4nos pump cable joint"/>
    <d v="2026-02-04T00:00:00"/>
    <d v="2026-02-04T00:00:00"/>
    <d v="2026-02-04T00:00:00"/>
    <m/>
    <d v="1899-12-30T08:30:00"/>
    <d v="1899-12-30T17:30:00"/>
    <n v="8.9999999999999982"/>
    <s v="Completed"/>
    <m/>
  </r>
  <r>
    <s v="Electrical"/>
    <x v="54"/>
    <x v="24"/>
    <m/>
    <m/>
    <m/>
    <m/>
    <m/>
    <m/>
    <m/>
    <d v="1899-12-30T08:30:00"/>
    <d v="1899-12-30T17:30:00"/>
    <n v="8.9999999999999982"/>
    <m/>
    <m/>
  </r>
  <r>
    <s v="Electrical"/>
    <x v="54"/>
    <x v="17"/>
    <s v="Submersible pump"/>
    <s v="SM1002"/>
    <s v="Rewinding"/>
    <d v="2026-02-04T00:00:00"/>
    <d v="2026-02-07T00:00:00"/>
    <m/>
    <m/>
    <d v="1899-12-30T06:30:00"/>
    <d v="1899-12-30T15:30:00"/>
    <n v="9.0000000000000018"/>
    <s v="Ongoing"/>
    <m/>
  </r>
  <r>
    <s v="Bay 6 -_x000a_Generator"/>
    <x v="54"/>
    <x v="7"/>
    <s v="Generator"/>
    <s v="GEN150-037"/>
    <s v="Engine &amp; ac alternator fixing, canopy fixing"/>
    <d v="2026-01-27T00:00:00"/>
    <d v="2026-01-04T00:00:00"/>
    <d v="2026-01-04T00:00:00"/>
    <m/>
    <d v="1899-12-30T06:30:00"/>
    <d v="1899-12-30T15:30:00"/>
    <n v="9.0000000000000018"/>
    <s v="Completed"/>
    <m/>
  </r>
  <r>
    <s v="Bay 6 -_x000a_Generator"/>
    <x v="54"/>
    <x v="23"/>
    <s v="Generator"/>
    <s v="GEN60-80/63/077/065"/>
    <s v="Water washing, general repair &amp; load test"/>
    <d v="2026-02-04T00:00:00"/>
    <d v="2026-02-04T00:00:00"/>
    <d v="2026-02-04T00:00:00"/>
    <m/>
    <d v="1899-12-30T08:30:00"/>
    <d v="1899-12-30T17:30:00"/>
    <n v="8.9999999999999982"/>
    <s v="Completed"/>
    <m/>
  </r>
  <r>
    <s v="Bay 6 -_x000a_Generator"/>
    <x v="54"/>
    <x v="32"/>
    <m/>
    <m/>
    <m/>
    <m/>
    <m/>
    <m/>
    <m/>
    <d v="1899-12-30T06:30:00"/>
    <d v="1899-12-30T15:30:00"/>
    <n v="9.0000000000000018"/>
    <m/>
    <m/>
  </r>
  <r>
    <s v="Bay 6 -_x000a_Generator"/>
    <x v="54"/>
    <x v="23"/>
    <s v="Generator"/>
    <s v="GEN100-013"/>
    <s v="Final fitting"/>
    <d v="2026-02-04T00:00:00"/>
    <d v="2026-02-04T00:00:00"/>
    <d v="2026-02-04T00:00:00"/>
    <m/>
    <d v="1899-12-30T15:30:00"/>
    <d v="1899-12-30T17:30:00"/>
    <n v="1.9999999999999982"/>
    <s v="Completed"/>
    <m/>
  </r>
  <r>
    <s v="Bay 4&amp;5 - _x000a_Pumps"/>
    <x v="54"/>
    <x v="47"/>
    <s v="Diesel Driven CP Pump"/>
    <s v="CD180M-22"/>
    <s v="Muffler change &amp; general repair work."/>
    <d v="2026-02-04T00:00:00"/>
    <d v="2026-02-07T00:00:00"/>
    <d v="2026-02-07T00:00:00"/>
    <m/>
    <d v="1899-12-30T06:30:00"/>
    <d v="1899-12-30T15:30:00"/>
    <n v="9.0000000000000018"/>
    <s v="Completed"/>
    <m/>
  </r>
  <r>
    <s v="Bay 4&amp;5 - _x000a_Pumps"/>
    <x v="54"/>
    <x v="37"/>
    <s v="Diesel Driven CP Pump"/>
    <s v="CD300M-015"/>
    <s v="Inspection &amp; overhauling"/>
    <d v="2026-02-04T00:00:00"/>
    <d v="2026-02-08T00:00:00"/>
    <d v="2026-02-08T00:00:00"/>
    <m/>
    <d v="1899-12-30T06:30:00"/>
    <d v="1899-12-30T15:30:00"/>
    <n v="9.0000000000000018"/>
    <s v="Completed"/>
    <m/>
  </r>
  <r>
    <s v="Bay 4&amp;5 - _x000a_Pumps"/>
    <x v="54"/>
    <x v="20"/>
    <s v="Diesel Driven CP Pump"/>
    <s v="CP1212S17-001"/>
    <s v="Pump  assembling"/>
    <d v="2026-02-04T00:00:00"/>
    <d v="2026-02-06T00:00:00"/>
    <d v="2026-02-06T00:00:00"/>
    <m/>
    <d v="1899-12-30T08:30:00"/>
    <d v="1899-12-30T17:30:00"/>
    <n v="8.9999999999999982"/>
    <s v="Completed"/>
    <m/>
  </r>
  <r>
    <s v="Bay 4&amp;5 - _x000a_Pumps"/>
    <x v="54"/>
    <x v="4"/>
    <s v="Contractor dewatering Pump"/>
    <s v="ZD900-033"/>
    <s v="Engine repair ongoing"/>
    <d v="2026-02-02T00:00:00"/>
    <d v="2026-02-04T00:00:00"/>
    <d v="2026-02-04T00:00:00"/>
    <m/>
    <d v="1899-12-30T06:30:00"/>
    <d v="1899-12-30T10:30:00"/>
    <n v="4"/>
    <s v="Completed"/>
    <m/>
  </r>
  <r>
    <s v="Bay 4&amp;5 - _x000a_Pumps"/>
    <x v="54"/>
    <x v="48"/>
    <s v="Contractor dewatering Pump"/>
    <s v="CP150-507"/>
    <s v="Pump prepare for assembling"/>
    <d v="2026-02-02T00:00:00"/>
    <d v="2026-02-03T00:00:00"/>
    <d v="2026-02-03T00:00:00"/>
    <m/>
    <d v="1899-12-30T08:30:00"/>
    <d v="1899-12-30T17:30:00"/>
    <n v="8.9999999999999982"/>
    <s v="Completed"/>
    <m/>
  </r>
  <r>
    <s v="Bay 4&amp;5 - _x000a_Pumps"/>
    <x v="54"/>
    <x v="3"/>
    <s v="Contractor dewatering Pump"/>
    <s v="CP150-507"/>
    <s v="Engine assembling"/>
    <d v="2026-02-02T00:00:00"/>
    <d v="2026-02-04T00:00:00"/>
    <d v="2026-02-04T00:00:00"/>
    <m/>
    <d v="1899-12-30T06:30:00"/>
    <d v="1899-12-30T15:30:00"/>
    <n v="9.0000000000000018"/>
    <s v="Completed"/>
    <m/>
  </r>
  <r>
    <s v="Bay 4&amp;5 - _x000a_Pumps"/>
    <x v="54"/>
    <x v="48"/>
    <s v="Contractor dewatering Pump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s v="Completed"/>
    <m/>
  </r>
  <r>
    <s v="Bay 4&amp;5 - _x000a_Pumps"/>
    <x v="54"/>
    <x v="28"/>
    <s v="Contractor dewatering Pump"/>
    <s v="PT175-552"/>
    <s v="Pump assembling, water testing &amp; engine repair"/>
    <d v="2026-01-29T00:00:00"/>
    <d v="2026-02-04T00:00:00"/>
    <d v="2026-02-04T00:00:00"/>
    <m/>
    <d v="1899-12-30T06:30:00"/>
    <d v="1899-12-30T12:30:00"/>
    <n v="6.0000000000000018"/>
    <s v="Completed"/>
    <m/>
  </r>
  <r>
    <s v="Bay 4&amp;5 - _x000a_Pumps"/>
    <x v="54"/>
    <x v="4"/>
    <m/>
    <m/>
    <m/>
    <m/>
    <m/>
    <m/>
    <m/>
    <d v="1899-12-30T10:30:00"/>
    <d v="1899-12-30T12:30:00"/>
    <n v="2.0000000000000009"/>
    <m/>
    <m/>
  </r>
  <r>
    <s v="Bay 4&amp;5 - _x000a_Pumps"/>
    <x v="54"/>
    <x v="28"/>
    <s v="Contractor dewatering Pump"/>
    <s v="CP150V-015"/>
    <s v="Pump repair &amp; water test"/>
    <d v="2026-02-04T00:00:00"/>
    <d v="2026-02-04T00:00:00"/>
    <d v="2026-02-04T00:00:00"/>
    <m/>
    <d v="1899-12-30T12:30:00"/>
    <d v="1899-12-30T15:30:00"/>
    <n v="3"/>
    <s v="Completed"/>
    <m/>
  </r>
  <r>
    <s v="Bay 4&amp;5 - _x000a_Pumps"/>
    <x v="54"/>
    <x v="4"/>
    <s v="Other"/>
    <s v="SCRLFT19-001"/>
    <s v="hydraulic hose repair"/>
    <d v="2026-02-04T00:00:00"/>
    <d v="2026-02-04T00:00:00"/>
    <d v="2026-02-04T00:00:00"/>
    <m/>
    <d v="1899-12-30T13:30:00"/>
    <d v="1899-12-30T14:00:00"/>
    <n v="0.50000000000000089"/>
    <s v="Completed"/>
    <m/>
  </r>
  <r>
    <s v="Bay 4&amp;5 - _x000a_Pumps"/>
    <x v="54"/>
    <x v="1"/>
    <s v="Contractor dewatering Pump"/>
    <s v="CP150-250"/>
    <s v="Pump assembling ongoing"/>
    <d v="2026-01-31T00:00:00"/>
    <d v="2026-02-04T00:00:00"/>
    <d v="2026-02-04T00:00:00"/>
    <m/>
    <d v="1899-12-30T06:30:00"/>
    <d v="1899-12-30T15:30:00"/>
    <n v="9.0000000000000018"/>
    <s v="Completed"/>
    <m/>
  </r>
  <r>
    <s v="Bay 4&amp;5 - _x000a_Pumps"/>
    <x v="54"/>
    <x v="2"/>
    <m/>
    <m/>
    <m/>
    <m/>
    <m/>
    <m/>
    <m/>
    <d v="1899-12-30T06:30:00"/>
    <d v="1899-12-30T15:30:00"/>
    <n v="9.0000000000000018"/>
    <m/>
    <m/>
  </r>
  <r>
    <s v="Bay 4&amp;5 - _x000a_Pumps"/>
    <x v="54"/>
    <x v="1"/>
    <s v="Contractor dewatering Pump"/>
    <s v="CP150V-062"/>
    <s v="Engine &amp; pump repair ongoing"/>
    <d v="2026-02-02T00:00:00"/>
    <d v="2026-02-04T00:00:00"/>
    <d v="2026-02-04T00:00:00"/>
    <m/>
    <d v="1899-12-30T14:00:00"/>
    <d v="1899-12-30T17:30:00"/>
    <n v="3.4999999999999982"/>
    <s v="Completed"/>
    <m/>
  </r>
  <r>
    <s v="Bay 4&amp;5 - _x000a_Pumps"/>
    <x v="54"/>
    <x v="4"/>
    <m/>
    <m/>
    <m/>
    <m/>
    <m/>
    <m/>
    <m/>
    <d v="1899-12-30T12:30:00"/>
    <d v="1899-12-30T15:30:00"/>
    <n v="3"/>
    <m/>
    <m/>
  </r>
  <r>
    <s v="Bay 4&amp;5 - _x000a_Pumps"/>
    <x v="54"/>
    <x v="5"/>
    <s v="Contractor dewatering Pump"/>
    <s v="ZD900-033"/>
    <s v="Pump assembling"/>
    <d v="2026-02-02T00:00:00"/>
    <d v="2026-02-04T00:00:00"/>
    <d v="2026-02-04T00:00:00"/>
    <m/>
    <d v="1899-12-30T06:30:00"/>
    <d v="1899-12-30T15:30:00"/>
    <n v="9.0000000000000018"/>
    <s v="Completed"/>
    <m/>
  </r>
  <r>
    <s v="Electrical"/>
    <x v="55"/>
    <x v="8"/>
    <s v="Panel"/>
    <s v="SPB2.2-020"/>
    <s v="Repair, test &amp; PDI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49"/>
    <s v="Panel"/>
    <s v="SPB7.5-025/003"/>
    <s v="Repair, test &amp; PDI"/>
    <d v="2026-01-05T00:00:00"/>
    <d v="2026-01-05T00:00:00"/>
    <d v="2026-01-05T00:00:00"/>
    <m/>
    <d v="1899-12-30T08:30:00"/>
    <d v="1899-12-30T17:30:00"/>
    <n v="8.9999999999999982"/>
    <s v="Completed"/>
    <m/>
  </r>
  <r>
    <s v="Electrical"/>
    <x v="55"/>
    <x v="34"/>
    <s v="Panel"/>
    <s v="SPB2.2-034"/>
    <s v="Repair, test &amp; PDI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33"/>
    <s v="Other"/>
    <s v="FM-150/200/300"/>
    <s v="Inspection &amp; PDI"/>
    <d v="2026-02-05T00:00:00"/>
    <d v="2026-02-05T00:00:00"/>
    <m/>
    <m/>
    <d v="1899-12-30T08:30:00"/>
    <d v="1899-12-30T12:00:00"/>
    <n v="3.4999999999999996"/>
    <s v="Ongoing"/>
    <m/>
  </r>
  <r>
    <s v="Electrical"/>
    <x v="55"/>
    <x v="12"/>
    <m/>
    <m/>
    <m/>
    <m/>
    <m/>
    <m/>
    <m/>
    <d v="1899-12-30T08:30:00"/>
    <d v="1899-12-30T12:00:00"/>
    <n v="3.4999999999999996"/>
    <m/>
    <m/>
  </r>
  <r>
    <s v="Electrical"/>
    <x v="55"/>
    <x v="33"/>
    <s v="Generator"/>
    <s v="GENJ250-040"/>
    <s v="Cleaning &amp; paper instenciling"/>
    <d v="2026-02-05T00:00:00"/>
    <d v="2026-02-05T00:00:00"/>
    <m/>
    <m/>
    <d v="1899-12-30T12:00:00"/>
    <d v="1899-12-30T17:30:00"/>
    <n v="5.4999999999999991"/>
    <s v="Ongoing"/>
    <m/>
  </r>
  <r>
    <s v="Electrical"/>
    <x v="55"/>
    <x v="12"/>
    <m/>
    <m/>
    <m/>
    <m/>
    <m/>
    <m/>
    <m/>
    <d v="1899-12-30T12:00:00"/>
    <d v="1899-12-30T17:30:00"/>
    <n v="5.4999999999999991"/>
    <m/>
    <m/>
  </r>
  <r>
    <s v="Electrical"/>
    <x v="55"/>
    <x v="13"/>
    <s v="Generator"/>
    <s v="GEN60-013/003"/>
    <s v="Pwer cable connection."/>
    <d v="2026-01-05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43"/>
    <s v="Submersible pumps"/>
    <s v="SM1002-019"/>
    <s v="inspection &amp; dismantling"/>
    <d v="2026-01-04T00:00:00"/>
    <d v="2026-01-05T00:00:00"/>
    <d v="2026-01-05T00:00:00"/>
    <m/>
    <d v="1899-12-30T06:30:00"/>
    <d v="1899-12-30T15:30:00"/>
    <n v="9.0000000000000018"/>
    <s v="Completed"/>
    <m/>
  </r>
  <r>
    <s v="Electrical"/>
    <x v="55"/>
    <x v="14"/>
    <s v="Submersible pumps"/>
    <s v="SWD60N-003"/>
    <s v="Pump aassembling"/>
    <d v="2026-01-04T00:00:00"/>
    <d v="2026-01-05T00:00:00"/>
    <d v="2026-01-05T00:00:00"/>
    <m/>
    <d v="1899-12-30T06:30:00"/>
    <d v="1899-12-30T12:00:00"/>
    <n v="5.5"/>
    <s v="Completed"/>
    <m/>
  </r>
  <r>
    <s v="Electrical"/>
    <x v="55"/>
    <x v="14"/>
    <s v="Submersible pumps"/>
    <s v="SM530/419"/>
    <s v="Inspection &amp; dismantle"/>
    <d v="2026-01-05T00:00:00"/>
    <d v="2026-01-05T00:00:00"/>
    <d v="2026-01-05T00:00:00"/>
    <m/>
    <d v="1899-12-30T12:00:00"/>
    <d v="1899-12-30T15:30:00"/>
    <n v="3.5000000000000009"/>
    <s v="Completed"/>
    <m/>
  </r>
  <r>
    <s v="Electrical"/>
    <x v="55"/>
    <x v="24"/>
    <s v="Borehole pump"/>
    <s v="Old B:H pump"/>
    <s v="15nos pump inspection &amp; prepare for scrap."/>
    <d v="2026-01-05T00:00:00"/>
    <d v="2026-01-05T00:00:00"/>
    <d v="2026-01-05T00:00:00"/>
    <m/>
    <d v="1899-12-30T08:30:00"/>
    <d v="1899-12-30T17:30:00"/>
    <n v="8.9999999999999982"/>
    <s v="Completed"/>
    <m/>
  </r>
  <r>
    <s v="Electrical"/>
    <x v="55"/>
    <x v="17"/>
    <s v="Submersible pump"/>
    <s v="SM1002-179"/>
    <s v="Rewinding"/>
    <d v="2026-02-04T00:00:00"/>
    <d v="2026-01-05T00:00:00"/>
    <m/>
    <m/>
    <d v="1899-12-30T06:30:00"/>
    <d v="1899-12-30T15:30:00"/>
    <n v="9.0000000000000018"/>
    <s v="Ongoing"/>
    <m/>
  </r>
  <r>
    <s v="Bay 6 -_x000a_Generator"/>
    <x v="55"/>
    <x v="23"/>
    <s v="Generator"/>
    <s v="GEN60-41"/>
    <s v="Coolant connection, pipe fitting, starting &amp; voltage setting, load test"/>
    <d v="2026-02-05T00:00:00"/>
    <d v="2026-02-05T00:00:00"/>
    <m/>
    <m/>
    <d v="1899-12-30T08:30:00"/>
    <d v="1899-12-30T11:30:00"/>
    <n v="3"/>
    <s v="Ongoing"/>
    <m/>
  </r>
  <r>
    <s v="Bay 6 -_x000a_Generator"/>
    <x v="55"/>
    <x v="32"/>
    <m/>
    <m/>
    <m/>
    <m/>
    <m/>
    <m/>
    <m/>
    <d v="1899-12-30T08:30:00"/>
    <d v="1899-12-30T11:30:00"/>
    <n v="3"/>
    <m/>
    <m/>
  </r>
  <r>
    <s v="Bay 6 -_x000a_Generator"/>
    <x v="55"/>
    <x v="23"/>
    <s v="Generator"/>
    <s v="GEN60-27"/>
    <s v="Final fitting"/>
    <d v="2026-01-05T00:00:00"/>
    <d v="2026-01-05T00:00:00"/>
    <d v="2026-01-05T00:00:00"/>
    <m/>
    <d v="1899-12-30T15:30:00"/>
    <d v="1899-12-30T16:30:00"/>
    <n v="0.99999999999999911"/>
    <s v="Completed"/>
    <m/>
  </r>
  <r>
    <s v="Bay 6 -_x000a_Generator"/>
    <x v="55"/>
    <x v="23"/>
    <s v="Other"/>
    <s v="General work"/>
    <s v="General work"/>
    <d v="2026-01-05T00:00:00"/>
    <d v="2026-01-05T00:00:00"/>
    <d v="2026-01-05T00:00:00"/>
    <m/>
    <d v="1899-12-30T16:30:00"/>
    <d v="1899-12-30T17:30:00"/>
    <n v="0.99999999999999911"/>
    <s v="Completed"/>
    <m/>
  </r>
  <r>
    <s v="Bay 6 -_x000a_Generator"/>
    <x v="55"/>
    <x v="32"/>
    <s v="Generator"/>
    <s v="GENG100-009"/>
    <s v="radiator fixed"/>
    <d v="2026-01-05T00:00:00"/>
    <d v="2026-01-05T00:00:00"/>
    <d v="2026-01-05T00:00:00"/>
    <m/>
    <d v="1899-12-30T11:30:00"/>
    <d v="1899-12-30T15:30:00"/>
    <n v="4"/>
    <s v="Completed"/>
    <m/>
  </r>
  <r>
    <s v="Bay 6 -_x000a_Generator"/>
    <x v="55"/>
    <x v="51"/>
    <s v="Diesel Driven CP Pump"/>
    <s v="CD180M-22"/>
    <s v="Installation on test bay for water test."/>
    <d v="2026-02-05T00:00:00"/>
    <d v="2026-02-07T00:00:00"/>
    <d v="2026-02-07T00:00:00"/>
    <m/>
    <d v="1899-12-30T06:30:00"/>
    <d v="1899-12-30T15:30:00"/>
    <n v="9.0000000000000018"/>
    <s v="Completed"/>
    <m/>
  </r>
  <r>
    <s v="Bay 6 -_x000a_Generator"/>
    <x v="55"/>
    <x v="32"/>
    <m/>
    <m/>
    <m/>
    <m/>
    <m/>
    <m/>
    <m/>
    <d v="1899-12-30T08:30:00"/>
    <d v="1899-12-30T17:30:00"/>
    <n v="8.9999999999999982"/>
    <m/>
    <m/>
  </r>
  <r>
    <s v="Bay 4&amp;5 - _x000a_Pumps"/>
    <x v="55"/>
    <x v="47"/>
    <s v="Diesel Driven CP Pump"/>
    <s v="CP1212S17-001"/>
    <s v="Pump assembling"/>
    <d v="2026-02-05T00:00:00"/>
    <d v="2026-02-06T00:00:00"/>
    <d v="2026-02-06T00:00:00"/>
    <m/>
    <d v="1899-12-30T08:30:00"/>
    <d v="1899-12-30T17:30:00"/>
    <n v="8.9999999999999982"/>
    <s v="Completed"/>
    <m/>
  </r>
  <r>
    <s v="Bay 4&amp;5 - _x000a_Pumps"/>
    <x v="55"/>
    <x v="20"/>
    <m/>
    <m/>
    <m/>
    <m/>
    <m/>
    <m/>
    <m/>
    <d v="1899-12-30T06:30:00"/>
    <d v="1899-12-30T15:30:00"/>
    <n v="9.0000000000000018"/>
    <m/>
    <m/>
  </r>
  <r>
    <s v="Bay 4&amp;5 - _x000a_Pumps"/>
    <x v="55"/>
    <x v="37"/>
    <s v="Diesel Driven CP Pump"/>
    <s v="CP1212S17-026"/>
    <s v="Seramle coating"/>
    <d v="2026-02-05T00:00:00"/>
    <d v="2026-02-06T00:00:00"/>
    <d v="2026-02-06T00:00:00"/>
    <m/>
    <d v="1899-12-30T06:30:00"/>
    <d v="1899-12-30T15:30:00"/>
    <n v="9.0000000000000018"/>
    <s v="Completed"/>
    <m/>
  </r>
  <r>
    <s v="Bay 4&amp;5 - _x000a_Pumps"/>
    <x v="55"/>
    <x v="19"/>
    <s v="Diesel Driven CP Pump"/>
    <s v="CD300M-015"/>
    <s v="Mechanical seal change"/>
    <d v="2026-02-05T00:00:00"/>
    <d v="2026-02-08T00:00:00"/>
    <d v="2026-02-08T00:00:00"/>
    <m/>
    <d v="1899-12-30T06:30:00"/>
    <d v="1899-12-30T15:30:00"/>
    <n v="9.0000000000000018"/>
    <s v="Completed"/>
    <m/>
  </r>
  <r>
    <s v="Bay 4&amp;5 - _x000a_Pumps"/>
    <x v="55"/>
    <x v="4"/>
    <s v="Contractor dewatering Pump"/>
    <s v="CP150V-062"/>
    <s v="Engine &amp; pump repair ongoing"/>
    <d v="2026-02-02T00:00:00"/>
    <d v="2026-02-05T00:00:00"/>
    <d v="2026-02-05T00:00:00"/>
    <m/>
    <d v="1899-12-30T14:30:00"/>
    <d v="1899-12-30T17:30:00"/>
    <n v="3"/>
    <s v="Completed"/>
    <m/>
  </r>
  <r>
    <s v="Bay 4&amp;5 - _x000a_Pumps"/>
    <x v="55"/>
    <x v="48"/>
    <s v="Contractor dewatering Pump"/>
    <s v="CP150V-073"/>
    <s v="Pump repair &amp; water test"/>
    <d v="2026-02-05T00:00:00"/>
    <d v="2026-02-05T00:00:00"/>
    <d v="2026-02-05T00:00:00"/>
    <m/>
    <d v="1899-12-30T08:30:00"/>
    <d v="1899-12-30T17:30:00"/>
    <n v="8.9999999999999982"/>
    <s v="Completed"/>
    <m/>
  </r>
  <r>
    <s v="Bay 4&amp;5 - _x000a_Pumps"/>
    <x v="55"/>
    <x v="3"/>
    <s v="Contractor dewatering Pump"/>
    <s v="CP150-507"/>
    <s v="Engine assembling"/>
    <d v="2026-02-02T00:00:00"/>
    <d v="2026-02-05T00:00:00"/>
    <d v="2026-02-05T00:00:00"/>
    <m/>
    <d v="1899-12-30T06:30:00"/>
    <d v="1899-12-30T15:30:00"/>
    <n v="9.0000000000000018"/>
    <s v="Completed"/>
    <m/>
  </r>
  <r>
    <s v="Bay 4&amp;5 - _x000a_Pumps"/>
    <x v="55"/>
    <x v="48"/>
    <s v="Contractor dewatering Pump"/>
    <s v="CP150-054"/>
    <s v="Pump repair &amp; water test"/>
    <d v="2026-02-04T00:00:00"/>
    <d v="2026-02-04T00:00:00"/>
    <d v="2026-02-04T00:00:00"/>
    <m/>
    <d v="1899-12-30T08:30:00"/>
    <d v="1899-12-30T17:30:00"/>
    <n v="8.9999999999999982"/>
    <s v="Completed"/>
    <m/>
  </r>
  <r>
    <s v="Bay 4&amp;5 - _x000a_Pumps"/>
    <x v="55"/>
    <x v="28"/>
    <s v="Contractor dewatering Pump"/>
    <s v="CP150-309"/>
    <s v="Pump dismantling"/>
    <d v="2026-02-05T00:00:00"/>
    <d v="2026-02-05T00:00:00"/>
    <d v="2026-02-05T00:00:00"/>
    <m/>
    <d v="1899-12-30T08:30:00"/>
    <d v="1899-12-30T15:30:00"/>
    <n v="7"/>
    <s v="Completed"/>
    <m/>
  </r>
  <r>
    <s v="Bay 4&amp;5 - _x000a_Pumps"/>
    <x v="55"/>
    <x v="28"/>
    <s v="Contractor dewatering Pump"/>
    <s v="CP150-692"/>
    <s v="final fitting"/>
    <d v="2026-02-05T00:00:00"/>
    <d v="2026-02-05T00:00:00"/>
    <d v="2026-02-05T00:00:00"/>
    <m/>
    <d v="1899-12-30T06:30:00"/>
    <d v="1899-12-30T08:30:00"/>
    <n v="2.0000000000000009"/>
    <s v="Completed"/>
    <m/>
  </r>
  <r>
    <s v="Bay 4&amp;5 - _x000a_Pumps"/>
    <x v="55"/>
    <x v="28"/>
    <s v="Contractor dewatering Pump"/>
    <s v="CP150V-015"/>
    <s v="Pump repair &amp; water test"/>
    <d v="2026-02-04T00:00:00"/>
    <d v="2026-02-04T00:00:00"/>
    <d v="2026-02-04T00:00:00"/>
    <m/>
    <d v="1899-12-30T12:30:00"/>
    <d v="1899-12-30T15:30:00"/>
    <n v="3"/>
    <s v="Completed"/>
    <m/>
  </r>
  <r>
    <s v="Bay 4&amp;5 - _x000a_Pumps"/>
    <x v="55"/>
    <x v="1"/>
    <s v="Contractor dewatering Pump"/>
    <s v="CP150-250"/>
    <s v="Pump water test &amp; repair"/>
    <d v="2026-01-31T00:00:00"/>
    <d v="2026-02-05T00:00:00"/>
    <d v="2026-02-05T00:00:00"/>
    <m/>
    <d v="1899-12-30T06:30:00"/>
    <d v="1899-12-30T12:30:00"/>
    <n v="6.0000000000000018"/>
    <s v="Completed"/>
    <m/>
  </r>
  <r>
    <s v="Bay 4&amp;5 - _x000a_Pumps"/>
    <x v="55"/>
    <x v="2"/>
    <m/>
    <m/>
    <m/>
    <m/>
    <m/>
    <m/>
    <m/>
    <d v="1899-12-30T06:30:00"/>
    <d v="1899-12-30T15:30:00"/>
    <n v="9.0000000000000018"/>
    <m/>
    <m/>
  </r>
  <r>
    <s v="Bay 4&amp;5 - _x000a_Pumps"/>
    <x v="55"/>
    <x v="5"/>
    <s v="Contractor dewatering Pump"/>
    <s v="ZD900-033"/>
    <s v="Pump assembling ongoing"/>
    <d v="2026-02-02T00:00:00"/>
    <d v="2026-02-05T00:00:00"/>
    <d v="2026-02-05T00:00:00"/>
    <m/>
    <d v="1899-12-30T06:30:00"/>
    <d v="1899-12-30T15:30:00"/>
    <n v="9.0000000000000018"/>
    <s v="Complet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E31CE-4EFC-44C6-A503-8F3A33816507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11">
  <location ref="K5:L15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de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9">
    <i>
      <x v="1"/>
    </i>
    <i>
      <x v="2"/>
    </i>
    <i>
      <x v="5"/>
    </i>
    <i>
      <x v="7"/>
    </i>
    <i>
      <x v="8"/>
    </i>
    <i>
      <x/>
    </i>
    <i>
      <x v="9"/>
    </i>
    <i>
      <x v="6"/>
    </i>
    <i t="grand">
      <x/>
    </i>
  </rowItems>
  <colFields count="1">
    <field x="13"/>
  </colFields>
  <colItems count="1">
    <i>
      <x v="3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02">
      <pivotArea type="all" dataOnly="0" outline="0" fieldPosition="0"/>
    </format>
    <format dxfId="701">
      <pivotArea outline="0" collapsedLevelsAreSubtotals="1" fieldPosition="0"/>
    </format>
    <format dxfId="700">
      <pivotArea type="origin" dataOnly="0" labelOnly="1" outline="0" fieldPosition="0"/>
    </format>
    <format dxfId="699">
      <pivotArea field="13" type="button" dataOnly="0" labelOnly="1" outline="0" axis="axisCol" fieldPosition="0"/>
    </format>
    <format dxfId="698">
      <pivotArea type="topRight" dataOnly="0" labelOnly="1" outline="0" fieldPosition="0"/>
    </format>
    <format dxfId="697">
      <pivotArea field="15" type="button" dataOnly="0" labelOnly="1" outline="0" axis="axisPage" fieldPosition="2"/>
    </format>
    <format dxfId="696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695">
      <pivotArea dataOnly="0" labelOnly="1" grandRow="1" outline="0" fieldPosition="0"/>
    </format>
    <format dxfId="694">
      <pivotArea dataOnly="0" labelOnly="1" outline="0" fieldPosition="0">
        <references count="1">
          <reference field="13" count="0"/>
        </references>
      </pivotArea>
    </format>
    <format dxfId="693">
      <pivotArea dataOnly="0" labelOnly="1" grandCol="1" outline="0" fieldPosition="0"/>
    </format>
  </format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EE6B6-6A70-479E-B497-8196FA01E1F4}" name="PivotTable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16">
  <location ref="G5:H15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de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3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h="1" x="2"/>
        <item h="1" x="3"/>
        <item x="0"/>
        <item h="1" x="4"/>
        <item t="default"/>
      </items>
    </pivotField>
    <pivotField compact="0" outline="0" showAll="0"/>
    <pivotField axis="axisPage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9">
    <i>
      <x v="1"/>
    </i>
    <i>
      <x v="2"/>
    </i>
    <i>
      <x v="5"/>
    </i>
    <i>
      <x v="7"/>
    </i>
    <i>
      <x v="8"/>
    </i>
    <i>
      <x/>
    </i>
    <i>
      <x v="9"/>
    </i>
    <i>
      <x v="6"/>
    </i>
    <i t="grand">
      <x/>
    </i>
  </rowItems>
  <colFields count="1">
    <field x="13"/>
  </colFields>
  <colItems count="1">
    <i>
      <x v="3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12">
      <pivotArea type="all" dataOnly="0" outline="0" fieldPosition="0"/>
    </format>
    <format dxfId="711">
      <pivotArea outline="0" collapsedLevelsAreSubtotals="1" fieldPosition="0"/>
    </format>
    <format dxfId="710">
      <pivotArea type="origin" dataOnly="0" labelOnly="1" outline="0" fieldPosition="0"/>
    </format>
    <format dxfId="709">
      <pivotArea field="13" type="button" dataOnly="0" labelOnly="1" outline="0" axis="axisCol" fieldPosition="0"/>
    </format>
    <format dxfId="708">
      <pivotArea type="topRight" dataOnly="0" labelOnly="1" outline="0" fieldPosition="0"/>
    </format>
    <format dxfId="707">
      <pivotArea field="15" type="button" dataOnly="0" labelOnly="1" outline="0" axis="axisPage" fieldPosition="2"/>
    </format>
    <format dxfId="706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05">
      <pivotArea dataOnly="0" labelOnly="1" grandRow="1" outline="0" fieldPosition="0"/>
    </format>
    <format dxfId="704">
      <pivotArea dataOnly="0" labelOnly="1" outline="0" fieldPosition="0">
        <references count="1">
          <reference field="13" count="0"/>
        </references>
      </pivotArea>
    </format>
    <format dxfId="703">
      <pivotArea dataOnly="0" labelOnly="1" grandCol="1" outline="0" fieldPosition="0"/>
    </format>
  </format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05C4E-C909-4A59-9E50-F179E9B52596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8">
  <location ref="A5:E17" firstHeaderRow="1" firstDataRow="2" firstDataCol="2" rowPageCount="1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h="1" x="1"/>
        <item x="0"/>
        <item x="2"/>
        <item x="3"/>
        <item h="1" x="4"/>
        <item t="default"/>
      </items>
    </pivotField>
    <pivotField compact="0" outline="0" showAll="0"/>
    <pivotField axis="axisRow" compact="0" outline="0" showAll="0" sortType="ascending">
      <items count="369">
        <item x="0"/>
        <item x="367"/>
        <item x="92"/>
        <item x="214"/>
        <item x="336"/>
        <item x="32"/>
        <item x="1"/>
        <item x="183"/>
        <item x="153"/>
        <item x="61"/>
        <item x="122"/>
        <item x="306"/>
        <item x="275"/>
        <item x="245"/>
        <item x="93"/>
        <item x="215"/>
        <item x="337"/>
        <item x="33"/>
        <item x="2"/>
        <item x="184"/>
        <item x="154"/>
        <item x="62"/>
        <item x="123"/>
        <item x="307"/>
        <item x="276"/>
        <item x="246"/>
        <item x="94"/>
        <item x="216"/>
        <item x="338"/>
        <item x="34"/>
        <item x="3"/>
        <item x="185"/>
        <item x="155"/>
        <item x="63"/>
        <item x="124"/>
        <item x="308"/>
        <item x="277"/>
        <item x="247"/>
        <item x="95"/>
        <item x="217"/>
        <item x="339"/>
        <item x="35"/>
        <item x="4"/>
        <item x="186"/>
        <item x="156"/>
        <item x="64"/>
        <item x="125"/>
        <item x="309"/>
        <item x="278"/>
        <item x="248"/>
        <item x="96"/>
        <item x="218"/>
        <item x="340"/>
        <item x="36"/>
        <item x="5"/>
        <item x="187"/>
        <item x="157"/>
        <item x="65"/>
        <item x="126"/>
        <item x="310"/>
        <item x="279"/>
        <item x="249"/>
        <item x="97"/>
        <item x="219"/>
        <item x="341"/>
        <item x="37"/>
        <item x="6"/>
        <item x="188"/>
        <item x="158"/>
        <item x="66"/>
        <item x="127"/>
        <item x="311"/>
        <item x="280"/>
        <item x="250"/>
        <item x="98"/>
        <item x="220"/>
        <item x="342"/>
        <item x="38"/>
        <item x="7"/>
        <item x="189"/>
        <item x="159"/>
        <item x="67"/>
        <item x="128"/>
        <item x="312"/>
        <item x="281"/>
        <item x="251"/>
        <item x="99"/>
        <item x="221"/>
        <item x="343"/>
        <item x="39"/>
        <item x="8"/>
        <item x="190"/>
        <item x="160"/>
        <item x="68"/>
        <item x="129"/>
        <item x="313"/>
        <item x="282"/>
        <item x="252"/>
        <item x="100"/>
        <item x="222"/>
        <item x="344"/>
        <item x="40"/>
        <item x="9"/>
        <item x="191"/>
        <item x="161"/>
        <item x="69"/>
        <item x="130"/>
        <item x="314"/>
        <item x="283"/>
        <item x="253"/>
        <item x="101"/>
        <item x="223"/>
        <item x="345"/>
        <item x="41"/>
        <item x="10"/>
        <item x="192"/>
        <item x="162"/>
        <item x="70"/>
        <item x="131"/>
        <item x="315"/>
        <item x="284"/>
        <item x="254"/>
        <item x="102"/>
        <item x="224"/>
        <item x="346"/>
        <item x="42"/>
        <item x="11"/>
        <item x="193"/>
        <item x="163"/>
        <item x="71"/>
        <item x="132"/>
        <item x="316"/>
        <item x="285"/>
        <item x="255"/>
        <item x="103"/>
        <item x="225"/>
        <item x="347"/>
        <item x="43"/>
        <item x="12"/>
        <item x="194"/>
        <item x="164"/>
        <item x="72"/>
        <item x="133"/>
        <item x="317"/>
        <item x="286"/>
        <item x="256"/>
        <item x="104"/>
        <item x="226"/>
        <item x="348"/>
        <item x="44"/>
        <item x="13"/>
        <item x="195"/>
        <item x="165"/>
        <item x="73"/>
        <item x="134"/>
        <item x="318"/>
        <item x="287"/>
        <item x="257"/>
        <item x="105"/>
        <item x="227"/>
        <item x="349"/>
        <item x="45"/>
        <item x="14"/>
        <item x="196"/>
        <item x="166"/>
        <item x="74"/>
        <item x="135"/>
        <item x="319"/>
        <item x="288"/>
        <item x="258"/>
        <item x="106"/>
        <item x="228"/>
        <item x="350"/>
        <item x="46"/>
        <item x="15"/>
        <item x="197"/>
        <item x="167"/>
        <item x="75"/>
        <item x="136"/>
        <item x="320"/>
        <item x="289"/>
        <item x="259"/>
        <item x="107"/>
        <item x="229"/>
        <item x="351"/>
        <item x="47"/>
        <item x="16"/>
        <item x="198"/>
        <item x="168"/>
        <item x="76"/>
        <item x="137"/>
        <item x="321"/>
        <item x="290"/>
        <item x="260"/>
        <item x="108"/>
        <item x="230"/>
        <item x="352"/>
        <item x="48"/>
        <item x="17"/>
        <item x="199"/>
        <item x="169"/>
        <item x="77"/>
        <item x="138"/>
        <item x="322"/>
        <item x="291"/>
        <item x="261"/>
        <item x="109"/>
        <item x="231"/>
        <item x="353"/>
        <item x="49"/>
        <item x="18"/>
        <item x="200"/>
        <item x="170"/>
        <item x="78"/>
        <item x="139"/>
        <item x="323"/>
        <item x="292"/>
        <item x="262"/>
        <item x="110"/>
        <item x="232"/>
        <item x="354"/>
        <item x="50"/>
        <item x="19"/>
        <item x="201"/>
        <item x="171"/>
        <item x="79"/>
        <item x="140"/>
        <item x="324"/>
        <item x="293"/>
        <item x="263"/>
        <item x="111"/>
        <item x="233"/>
        <item x="355"/>
        <item x="51"/>
        <item x="20"/>
        <item x="202"/>
        <item x="172"/>
        <item x="80"/>
        <item x="141"/>
        <item x="325"/>
        <item x="294"/>
        <item x="264"/>
        <item x="112"/>
        <item x="234"/>
        <item x="356"/>
        <item x="52"/>
        <item x="21"/>
        <item x="203"/>
        <item x="173"/>
        <item x="81"/>
        <item x="142"/>
        <item x="326"/>
        <item x="295"/>
        <item x="265"/>
        <item x="113"/>
        <item x="235"/>
        <item x="357"/>
        <item x="53"/>
        <item x="22"/>
        <item x="204"/>
        <item x="174"/>
        <item x="82"/>
        <item x="143"/>
        <item x="327"/>
        <item x="296"/>
        <item x="266"/>
        <item x="114"/>
        <item x="236"/>
        <item x="358"/>
        <item x="54"/>
        <item x="23"/>
        <item x="205"/>
        <item x="175"/>
        <item x="83"/>
        <item x="144"/>
        <item x="328"/>
        <item x="297"/>
        <item x="267"/>
        <item x="115"/>
        <item x="237"/>
        <item x="359"/>
        <item x="55"/>
        <item x="24"/>
        <item x="206"/>
        <item x="176"/>
        <item x="84"/>
        <item x="145"/>
        <item x="329"/>
        <item x="298"/>
        <item x="268"/>
        <item x="116"/>
        <item x="238"/>
        <item x="360"/>
        <item x="56"/>
        <item x="25"/>
        <item x="207"/>
        <item x="177"/>
        <item x="85"/>
        <item x="146"/>
        <item x="330"/>
        <item x="299"/>
        <item x="269"/>
        <item x="117"/>
        <item x="239"/>
        <item x="361"/>
        <item x="57"/>
        <item x="26"/>
        <item x="208"/>
        <item x="178"/>
        <item x="86"/>
        <item x="147"/>
        <item x="331"/>
        <item x="300"/>
        <item x="270"/>
        <item x="118"/>
        <item x="240"/>
        <item x="362"/>
        <item x="58"/>
        <item x="27"/>
        <item x="209"/>
        <item x="179"/>
        <item x="87"/>
        <item x="148"/>
        <item x="332"/>
        <item x="301"/>
        <item x="271"/>
        <item x="119"/>
        <item x="241"/>
        <item x="363"/>
        <item x="59"/>
        <item x="28"/>
        <item x="210"/>
        <item x="180"/>
        <item x="88"/>
        <item x="149"/>
        <item x="333"/>
        <item x="302"/>
        <item x="272"/>
        <item x="120"/>
        <item x="242"/>
        <item x="364"/>
        <item x="60"/>
        <item x="29"/>
        <item x="211"/>
        <item x="181"/>
        <item x="89"/>
        <item x="150"/>
        <item x="334"/>
        <item x="303"/>
        <item x="273"/>
        <item x="121"/>
        <item x="243"/>
        <item x="365"/>
        <item x="30"/>
        <item x="212"/>
        <item x="182"/>
        <item x="90"/>
        <item x="151"/>
        <item x="335"/>
        <item x="304"/>
        <item x="274"/>
        <item x="244"/>
        <item x="366"/>
        <item x="31"/>
        <item x="213"/>
        <item x="91"/>
        <item x="152"/>
        <item x="305"/>
        <item t="default"/>
      </items>
    </pivotField>
    <pivotField axis="axisRow" compact="0" outline="0" multipleItemSelectionAllowed="1" showAll="0" defaultSubtotal="0">
      <items count="14">
        <item h="1"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2">
    <field x="16"/>
    <field x="15"/>
  </rowFields>
  <rowItems count="11">
    <i>
      <x v="2"/>
      <x v="17"/>
    </i>
    <i r="1">
      <x v="29"/>
    </i>
    <i r="1">
      <x v="41"/>
    </i>
    <i r="1">
      <x v="53"/>
    </i>
    <i r="1">
      <x v="65"/>
    </i>
    <i r="1">
      <x v="77"/>
    </i>
    <i r="1">
      <x v="101"/>
    </i>
    <i r="1">
      <x v="113"/>
    </i>
    <i r="1">
      <x v="125"/>
    </i>
    <i r="1">
      <x v="137"/>
    </i>
    <i t="grand">
      <x/>
    </i>
  </rowItems>
  <colFields count="1">
    <field x="13"/>
  </colFields>
  <colItems count="3">
    <i>
      <x v="1"/>
    </i>
    <i>
      <x v="2"/>
    </i>
    <i>
      <x v="3"/>
    </i>
  </colItems>
  <pageFields count="1">
    <pageField fld="17" hier="-1"/>
  </pageFields>
  <dataFields count="1">
    <dataField name="Count of Current Status" fld="13" subtotal="count" baseField="0" baseItem="0"/>
  </dataFields>
  <formats count="10">
    <format dxfId="722">
      <pivotArea type="all" dataOnly="0" outline="0" fieldPosition="0"/>
    </format>
    <format dxfId="721">
      <pivotArea outline="0" collapsedLevelsAreSubtotals="1" fieldPosition="0"/>
    </format>
    <format dxfId="720">
      <pivotArea type="origin" dataOnly="0" labelOnly="1" outline="0" fieldPosition="0"/>
    </format>
    <format dxfId="719">
      <pivotArea field="13" type="button" dataOnly="0" labelOnly="1" outline="0" axis="axisCol" fieldPosition="0"/>
    </format>
    <format dxfId="718">
      <pivotArea type="topRight" dataOnly="0" labelOnly="1" outline="0" fieldPosition="0"/>
    </format>
    <format dxfId="717">
      <pivotArea field="15" type="button" dataOnly="0" labelOnly="1" outline="0" axis="axisRow" fieldPosition="1"/>
    </format>
    <format dxfId="716">
      <pivotArea dataOnly="0" labelOnly="1" outline="0" fieldPosition="0">
        <references count="1">
          <reference field="15" count="32">
            <x v="17"/>
            <x v="18"/>
            <x v="29"/>
            <x v="30"/>
            <x v="41"/>
            <x v="53"/>
            <x v="54"/>
            <x v="65"/>
            <x v="66"/>
            <x v="77"/>
            <x v="78"/>
            <x v="90"/>
            <x v="102"/>
            <x v="114"/>
            <x v="138"/>
            <x v="150"/>
            <x v="162"/>
            <x v="174"/>
            <x v="186"/>
            <x v="198"/>
            <x v="222"/>
            <x v="234"/>
            <x v="246"/>
            <x v="258"/>
            <x v="270"/>
            <x v="282"/>
            <x v="306"/>
            <x v="318"/>
            <x v="330"/>
            <x v="342"/>
            <x v="353"/>
            <x v="363"/>
          </reference>
        </references>
      </pivotArea>
    </format>
    <format dxfId="715">
      <pivotArea dataOnly="0" labelOnly="1" grandRow="1" outline="0" fieldPosition="0"/>
    </format>
    <format dxfId="714">
      <pivotArea dataOnly="0" labelOnly="1" outline="0" fieldPosition="0">
        <references count="1">
          <reference field="13" count="0"/>
        </references>
      </pivotArea>
    </format>
    <format dxfId="713">
      <pivotArea dataOnly="0" labelOnly="1" grandCol="1" outline="0" fieldPosition="0"/>
    </format>
  </formats>
  <chartFormats count="3"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F639F-6BC6-4063-9196-DA720B8CB3C1}" name="PivotTable7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2">
  <location ref="T5:U10" firstHeaderRow="2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 sortType="ascending"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6">
        <item h="1" x="1"/>
        <item x="2"/>
        <item x="3"/>
        <item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0">
    <format dxfId="732">
      <pivotArea type="all" dataOnly="0" outline="0" fieldPosition="0"/>
    </format>
    <format dxfId="731">
      <pivotArea outline="0" collapsedLevelsAreSubtotals="1" fieldPosition="0"/>
    </format>
    <format dxfId="730">
      <pivotArea type="origin" dataOnly="0" labelOnly="1" outline="0" fieldPosition="0"/>
    </format>
    <format dxfId="729">
      <pivotArea field="13" type="button" dataOnly="0" labelOnly="1" outline="0" axis="axisRow" fieldPosition="0"/>
    </format>
    <format dxfId="728">
      <pivotArea type="topRight" dataOnly="0" labelOnly="1" outline="0" fieldPosition="0"/>
    </format>
    <format dxfId="727">
      <pivotArea field="15" type="button" dataOnly="0" labelOnly="1" outline="0" axis="axisPage" fieldPosition="2"/>
    </format>
    <format dxfId="726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25">
      <pivotArea dataOnly="0" labelOnly="1" grandRow="1" outline="0" fieldPosition="0"/>
    </format>
    <format dxfId="724">
      <pivotArea dataOnly="0" labelOnly="1" outline="0" fieldPosition="0">
        <references count="1">
          <reference field="13" count="0"/>
        </references>
      </pivotArea>
    </format>
    <format dxfId="723">
      <pivotArea dataOnly="0" labelOnly="1" grandCol="1" outline="0" fieldPosition="0"/>
    </format>
  </formats>
  <chartFormats count="1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5F55-6839-45D0-9B7D-9B5DF0C326AC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3">
  <location ref="Q5:R9" firstHeaderRow="2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compact="0" outline="0" showAll="0" sortType="ascending"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6">
        <item h="1" x="1"/>
        <item x="2"/>
        <item x="3"/>
        <item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13"/>
  </rowFields>
  <rowItems count="3">
    <i>
      <x v="1"/>
    </i>
    <i>
      <x v="3"/>
    </i>
    <i t="grand">
      <x/>
    </i>
  </rowItems>
  <colItems count="1">
    <i/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1">
    <format dxfId="743">
      <pivotArea type="all" dataOnly="0" outline="0" fieldPosition="0"/>
    </format>
    <format dxfId="742">
      <pivotArea outline="0" collapsedLevelsAreSubtotals="1" fieldPosition="0"/>
    </format>
    <format dxfId="741">
      <pivotArea type="origin" dataOnly="0" labelOnly="1" outline="0" fieldPosition="0"/>
    </format>
    <format dxfId="740">
      <pivotArea field="13" type="button" dataOnly="0" labelOnly="1" outline="0" axis="axisRow" fieldPosition="0"/>
    </format>
    <format dxfId="739">
      <pivotArea type="topRight" dataOnly="0" labelOnly="1" outline="0" fieldPosition="0"/>
    </format>
    <format dxfId="738">
      <pivotArea field="15" type="button" dataOnly="0" labelOnly="1" outline="0" axis="axisPage" fieldPosition="2"/>
    </format>
    <format dxfId="737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36">
      <pivotArea dataOnly="0" labelOnly="1" grandRow="1" outline="0" fieldPosition="0"/>
    </format>
    <format dxfId="735">
      <pivotArea dataOnly="0" labelOnly="1" outline="0" fieldPosition="0">
        <references count="1">
          <reference field="13" count="0"/>
        </references>
      </pivotArea>
    </format>
    <format dxfId="734">
      <pivotArea dataOnly="0" labelOnly="1" grandCol="1" outline="0" fieldPosition="0"/>
    </format>
    <format dxfId="733">
      <pivotArea dataOnly="0" labelOnly="1" outline="0" fieldPosition="0">
        <references count="1">
          <reference field="15" count="0"/>
        </references>
      </pivotArea>
    </format>
  </format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F74D8-670E-4DFA-B85C-BC25E3E72990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25">
  <location ref="N5:O14" firstHeaderRow="1" firstDataRow="2" firstDataCol="1" rowPageCount="3" colPageCount="1"/>
  <pivotFields count="18">
    <pivotField compact="0" outline="0" showAll="0"/>
    <pivotField compact="0" outline="0" showAll="0">
      <items count="63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2"/>
        <item x="58"/>
        <item x="59"/>
        <item x="60"/>
        <item x="61"/>
        <item t="default"/>
      </items>
    </pivotField>
    <pivotField compact="0" outline="0" showAll="0"/>
    <pivotField axis="axisRow" compact="0" outline="0" showAll="0" sortType="ascending">
      <items count="14">
        <item x="5"/>
        <item x="0"/>
        <item x="6"/>
        <item x="9"/>
        <item x="7"/>
        <item x="2"/>
        <item x="8"/>
        <item x="3"/>
        <item x="4"/>
        <item x="11"/>
        <item x="10"/>
        <item x="1"/>
        <item x="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 sortType="descending">
      <items count="6">
        <item h="1" x="1"/>
        <item x="2"/>
        <item h="1" x="3"/>
        <item h="1" x="0"/>
        <item h="1" x="4"/>
        <item t="default"/>
      </items>
    </pivotField>
    <pivotField compact="0" outline="0" showAll="0"/>
    <pivotField axis="axisPage" compact="0" outline="0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compact="0" outline="0" multipleItemSelectionAllowed="1" showAll="0" defaultSubtotal="0">
      <items count="14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axis="axisPage" compact="0" outline="0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3"/>
  </rowFields>
  <rowItems count="8">
    <i>
      <x/>
    </i>
    <i>
      <x v="5"/>
    </i>
    <i>
      <x v="6"/>
    </i>
    <i>
      <x v="7"/>
    </i>
    <i>
      <x v="1"/>
    </i>
    <i>
      <x v="8"/>
    </i>
    <i>
      <x v="2"/>
    </i>
    <i t="grand">
      <x/>
    </i>
  </rowItems>
  <colFields count="1">
    <field x="13"/>
  </colFields>
  <colItems count="1">
    <i>
      <x v="1"/>
    </i>
  </colItems>
  <pageFields count="3">
    <pageField fld="17" hier="-1"/>
    <pageField fld="16" hier="-1"/>
    <pageField fld="15" hier="-1"/>
  </pageFields>
  <dataFields count="1">
    <dataField name="Count of Current Status" fld="13" subtotal="count" baseField="0" baseItem="0"/>
  </dataFields>
  <formats count="11">
    <format dxfId="754">
      <pivotArea type="all" dataOnly="0" outline="0" fieldPosition="0"/>
    </format>
    <format dxfId="753">
      <pivotArea outline="0" collapsedLevelsAreSubtotals="1" fieldPosition="0"/>
    </format>
    <format dxfId="752">
      <pivotArea type="origin" dataOnly="0" labelOnly="1" outline="0" fieldPosition="0"/>
    </format>
    <format dxfId="751">
      <pivotArea field="13" type="button" dataOnly="0" labelOnly="1" outline="0" axis="axisCol" fieldPosition="0"/>
    </format>
    <format dxfId="750">
      <pivotArea type="topRight" dataOnly="0" labelOnly="1" outline="0" fieldPosition="0"/>
    </format>
    <format dxfId="749">
      <pivotArea field="15" type="button" dataOnly="0" labelOnly="1" outline="0" axis="axisPage" fieldPosition="2"/>
    </format>
    <format dxfId="748">
      <pivotArea dataOnly="0" labelOnly="1" outline="0" fieldPosition="0">
        <references count="1">
          <reference field="15" count="32">
            <x v="2"/>
            <x v="3"/>
            <x v="5"/>
            <x v="6"/>
            <x v="7"/>
            <x v="8"/>
            <x v="9"/>
            <x v="10"/>
            <x v="12"/>
            <x v="13"/>
            <x v="14"/>
            <x v="15"/>
            <x v="16"/>
            <x v="17"/>
            <x v="19"/>
            <x v="20"/>
            <x v="21"/>
            <x v="22"/>
            <x v="23"/>
            <x v="24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</reference>
        </references>
      </pivotArea>
    </format>
    <format dxfId="747">
      <pivotArea dataOnly="0" labelOnly="1" grandRow="1" outline="0" fieldPosition="0"/>
    </format>
    <format dxfId="746">
      <pivotArea dataOnly="0" labelOnly="1" outline="0" fieldPosition="0">
        <references count="1">
          <reference field="13" count="0"/>
        </references>
      </pivotArea>
    </format>
    <format dxfId="745">
      <pivotArea dataOnly="0" labelOnly="1" grandCol="1" outline="0" fieldPosition="0"/>
    </format>
    <format dxfId="744">
      <pivotArea dataOnly="0" labelOnly="1" outline="0" fieldPosition="0">
        <references count="1">
          <reference field="15" count="0"/>
        </references>
      </pivotArea>
    </format>
  </format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B7B95-035D-4B53-8940-2AA2B1668B4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AC10" firstHeaderRow="1" firstDataRow="2" firstDataCol="1" rowPageCount="2" colPageCount="1"/>
  <pivotFields count="18">
    <pivotField compact="0" outline="0" showAll="0"/>
    <pivotField compact="0" outline="0" showAll="0">
      <items count="59">
        <item x="0"/>
        <item x="1"/>
        <item x="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56"/>
        <item m="1" x="57"/>
        <item x="2"/>
        <item t="default"/>
      </items>
    </pivotField>
    <pivotField axis="axisCol" compact="0" outline="0" showAll="0" sortType="descending" defaultSubtotal="0">
      <items count="52">
        <item x="29"/>
        <item x="31"/>
        <item x="30"/>
        <item x="15"/>
        <item x="25"/>
        <item x="12"/>
        <item x="32"/>
        <item x="18"/>
        <item x="3"/>
        <item x="37"/>
        <item x="11"/>
        <item x="33"/>
        <item x="41"/>
        <item x="16"/>
        <item x="43"/>
        <item x="8"/>
        <item x="34"/>
        <item x="13"/>
        <item x="36"/>
        <item x="50"/>
        <item x="35"/>
        <item x="39"/>
        <item x="28"/>
        <item x="46"/>
        <item x="27"/>
        <item x="1"/>
        <item x="7"/>
        <item x="38"/>
        <item x="21"/>
        <item x="5"/>
        <item x="9"/>
        <item x="51"/>
        <item x="19"/>
        <item x="4"/>
        <item x="17"/>
        <item x="22"/>
        <item x="42"/>
        <item x="40"/>
        <item x="10"/>
        <item x="2"/>
        <item x="6"/>
        <item x="24"/>
        <item x="44"/>
        <item x="45"/>
        <item x="49"/>
        <item x="23"/>
        <item x="48"/>
        <item x="0"/>
        <item x="14"/>
        <item x="20"/>
        <item x="47"/>
        <item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compact="0" outline="0" multipleItemSelectionAllowed="1" showAll="0">
      <items count="15"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compact="0" outline="0" multipleItemSelectionAllowed="1" showAll="0">
      <items count="5">
        <item h="1" x="0"/>
        <item h="1" x="1"/>
        <item x="2"/>
        <item h="1" x="3"/>
        <item t="default"/>
      </items>
    </pivotField>
  </pivotFields>
  <rowFields count="1">
    <field x="15"/>
  </rowFields>
  <rowItems count="5">
    <i>
      <x v="33"/>
    </i>
    <i>
      <x v="34"/>
    </i>
    <i>
      <x v="35"/>
    </i>
    <i>
      <x v="36"/>
    </i>
    <i t="grand">
      <x/>
    </i>
  </rowItems>
  <colFields count="1">
    <field x="2"/>
  </colFields>
  <colItems count="28">
    <i>
      <x v="46"/>
    </i>
    <i>
      <x v="45"/>
    </i>
    <i>
      <x v="22"/>
    </i>
    <i>
      <x v="5"/>
    </i>
    <i>
      <x v="11"/>
    </i>
    <i>
      <x v="25"/>
    </i>
    <i>
      <x v="39"/>
    </i>
    <i>
      <x v="34"/>
    </i>
    <i>
      <x v="8"/>
    </i>
    <i>
      <x v="9"/>
    </i>
    <i>
      <x v="50"/>
    </i>
    <i>
      <x v="15"/>
    </i>
    <i>
      <x v="29"/>
    </i>
    <i>
      <x v="16"/>
    </i>
    <i>
      <x v="41"/>
    </i>
    <i>
      <x v="49"/>
    </i>
    <i>
      <x v="6"/>
    </i>
    <i>
      <x v="33"/>
    </i>
    <i>
      <x v="17"/>
    </i>
    <i>
      <x v="32"/>
    </i>
    <i>
      <x v="3"/>
    </i>
    <i>
      <x v="14"/>
    </i>
    <i>
      <x v="48"/>
    </i>
    <i>
      <x v="26"/>
    </i>
    <i>
      <x v="31"/>
    </i>
    <i>
      <x v="30"/>
    </i>
    <i>
      <x v="44"/>
    </i>
    <i t="grand">
      <x/>
    </i>
  </colItems>
  <pageFields count="2">
    <pageField fld="17" hier="-1"/>
    <pageField fld="16" hier="-1"/>
  </pageFields>
  <dataFields count="1">
    <dataField name="Sum of Total Hours" fld="12" baseField="0" baseItem="0"/>
  </dataFields>
  <formats count="61">
    <format dxfId="692">
      <pivotArea type="all" dataOnly="0" outline="0" fieldPosition="0"/>
    </format>
    <format dxfId="691">
      <pivotArea outline="0" collapsedLevelsAreSubtotals="1" fieldPosition="0"/>
    </format>
    <format dxfId="690">
      <pivotArea type="origin" dataOnly="0" labelOnly="1" outline="0" fieldPosition="0"/>
    </format>
    <format dxfId="689">
      <pivotArea field="2" type="button" dataOnly="0" labelOnly="1" outline="0" axis="axisCol" fieldPosition="0"/>
    </format>
    <format dxfId="688">
      <pivotArea field="16" type="button" dataOnly="0" labelOnly="1" outline="0" axis="axisPage" fieldPosition="1"/>
    </format>
    <format dxfId="687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86">
      <pivotArea dataOnly="0" labelOnly="1" outline="0" fieldPosition="0">
        <references count="1">
          <reference field="2" count="2">
            <x v="50"/>
            <x v="51"/>
          </reference>
        </references>
      </pivotArea>
    </format>
    <format dxfId="685">
      <pivotArea dataOnly="0" labelOnly="1" grandRow="1" outline="0" fieldPosition="0"/>
    </format>
    <format dxfId="684">
      <pivotArea dataOnly="0" labelOnly="1" outline="0" fieldPosition="0">
        <references count="2">
          <reference field="2" count="1" selected="0">
            <x v="0"/>
          </reference>
          <reference field="16" count="1">
            <x v="12"/>
          </reference>
        </references>
      </pivotArea>
    </format>
    <format dxfId="683">
      <pivotArea dataOnly="0" labelOnly="1" outline="0" fieldPosition="0">
        <references count="2">
          <reference field="2" count="1" selected="0">
            <x v="1"/>
          </reference>
          <reference field="16" count="1">
            <x v="12"/>
          </reference>
        </references>
      </pivotArea>
    </format>
    <format dxfId="682">
      <pivotArea dataOnly="0" labelOnly="1" outline="0" fieldPosition="0">
        <references count="2">
          <reference field="2" count="1" selected="0">
            <x v="2"/>
          </reference>
          <reference field="16" count="1">
            <x v="12"/>
          </reference>
        </references>
      </pivotArea>
    </format>
    <format dxfId="681">
      <pivotArea dataOnly="0" labelOnly="1" outline="0" fieldPosition="0">
        <references count="2">
          <reference field="2" count="1" selected="0">
            <x v="3"/>
          </reference>
          <reference field="16" count="3">
            <x v="1"/>
            <x v="2"/>
            <x v="12"/>
          </reference>
        </references>
      </pivotArea>
    </format>
    <format dxfId="680">
      <pivotArea dataOnly="0" labelOnly="1" outline="0" fieldPosition="0">
        <references count="2">
          <reference field="2" count="1" selected="0">
            <x v="4"/>
          </reference>
          <reference field="16" count="1">
            <x v="12"/>
          </reference>
        </references>
      </pivotArea>
    </format>
    <format dxfId="679">
      <pivotArea dataOnly="0" labelOnly="1" outline="0" fieldPosition="0">
        <references count="2">
          <reference field="2" count="1" selected="0">
            <x v="5"/>
          </reference>
          <reference field="16" count="4">
            <x v="0"/>
            <x v="1"/>
            <x v="2"/>
            <x v="12"/>
          </reference>
        </references>
      </pivotArea>
    </format>
    <format dxfId="678">
      <pivotArea dataOnly="0" labelOnly="1" outline="0" fieldPosition="0">
        <references count="2">
          <reference field="2" count="1" selected="0">
            <x v="6"/>
          </reference>
          <reference field="16" count="3">
            <x v="1"/>
            <x v="2"/>
            <x v="12"/>
          </reference>
        </references>
      </pivotArea>
    </format>
    <format dxfId="677">
      <pivotArea dataOnly="0" labelOnly="1" outline="0" fieldPosition="0">
        <references count="2">
          <reference field="2" count="1" selected="0">
            <x v="7"/>
          </reference>
          <reference field="16" count="2">
            <x v="1"/>
            <x v="12"/>
          </reference>
        </references>
      </pivotArea>
    </format>
    <format dxfId="676">
      <pivotArea dataOnly="0" labelOnly="1" outline="0" fieldPosition="0">
        <references count="2">
          <reference field="2" count="1" selected="0">
            <x v="8"/>
          </reference>
          <reference field="16" count="3">
            <x v="1"/>
            <x v="2"/>
            <x v="12"/>
          </reference>
        </references>
      </pivotArea>
    </format>
    <format dxfId="675">
      <pivotArea dataOnly="0" labelOnly="1" outline="0" fieldPosition="0">
        <references count="2">
          <reference field="2" count="1" selected="0">
            <x v="9"/>
          </reference>
          <reference field="16" count="3">
            <x v="1"/>
            <x v="2"/>
            <x v="12"/>
          </reference>
        </references>
      </pivotArea>
    </format>
    <format dxfId="674">
      <pivotArea dataOnly="0" labelOnly="1" outline="0" fieldPosition="0">
        <references count="2">
          <reference field="2" count="1" selected="0">
            <x v="10"/>
          </reference>
          <reference field="16" count="1">
            <x v="12"/>
          </reference>
        </references>
      </pivotArea>
    </format>
    <format dxfId="673">
      <pivotArea dataOnly="0" labelOnly="1" outline="0" fieldPosition="0">
        <references count="2">
          <reference field="2" count="1" selected="0">
            <x v="11"/>
          </reference>
          <reference field="16" count="3">
            <x v="1"/>
            <x v="2"/>
            <x v="12"/>
          </reference>
        </references>
      </pivotArea>
    </format>
    <format dxfId="672">
      <pivotArea dataOnly="0" labelOnly="1" outline="0" fieldPosition="0">
        <references count="2">
          <reference field="2" count="1" selected="0">
            <x v="12"/>
          </reference>
          <reference field="16" count="1">
            <x v="1"/>
          </reference>
        </references>
      </pivotArea>
    </format>
    <format dxfId="671">
      <pivotArea dataOnly="0" labelOnly="1" outline="0" fieldPosition="0">
        <references count="2">
          <reference field="2" count="1" selected="0">
            <x v="13"/>
          </reference>
          <reference field="16" count="1">
            <x v="12"/>
          </reference>
        </references>
      </pivotArea>
    </format>
    <format dxfId="670">
      <pivotArea dataOnly="0" labelOnly="1" outline="0" fieldPosition="0">
        <references count="2">
          <reference field="2" count="1" selected="0">
            <x v="14"/>
          </reference>
          <reference field="16" count="2">
            <x v="1"/>
            <x v="2"/>
          </reference>
        </references>
      </pivotArea>
    </format>
    <format dxfId="669">
      <pivotArea dataOnly="0" labelOnly="1" outline="0" fieldPosition="0">
        <references count="2">
          <reference field="2" count="1" selected="0">
            <x v="15"/>
          </reference>
          <reference field="16" count="3">
            <x v="1"/>
            <x v="2"/>
            <x v="12"/>
          </reference>
        </references>
      </pivotArea>
    </format>
    <format dxfId="668">
      <pivotArea dataOnly="0" labelOnly="1" outline="0" fieldPosition="0">
        <references count="2">
          <reference field="2" count="1" selected="0">
            <x v="16"/>
          </reference>
          <reference field="16" count="3">
            <x v="1"/>
            <x v="2"/>
            <x v="12"/>
          </reference>
        </references>
      </pivotArea>
    </format>
    <format dxfId="667">
      <pivotArea dataOnly="0" labelOnly="1" outline="0" fieldPosition="0">
        <references count="2">
          <reference field="2" count="1" selected="0">
            <x v="17"/>
          </reference>
          <reference field="16" count="3">
            <x v="1"/>
            <x v="2"/>
            <x v="12"/>
          </reference>
        </references>
      </pivotArea>
    </format>
    <format dxfId="666">
      <pivotArea dataOnly="0" labelOnly="1" outline="0" fieldPosition="0">
        <references count="2">
          <reference field="2" count="1" selected="0">
            <x v="18"/>
          </reference>
          <reference field="16" count="1">
            <x v="12"/>
          </reference>
        </references>
      </pivotArea>
    </format>
    <format dxfId="665">
      <pivotArea dataOnly="0" labelOnly="1" outline="0" fieldPosition="0">
        <references count="2">
          <reference field="2" count="1" selected="0">
            <x v="19"/>
          </reference>
          <reference field="16" count="1">
            <x v="1"/>
          </reference>
        </references>
      </pivotArea>
    </format>
    <format dxfId="664">
      <pivotArea dataOnly="0" labelOnly="1" outline="0" fieldPosition="0">
        <references count="2">
          <reference field="2" count="1" selected="0">
            <x v="20"/>
          </reference>
          <reference field="16" count="2">
            <x v="1"/>
            <x v="12"/>
          </reference>
        </references>
      </pivotArea>
    </format>
    <format dxfId="663">
      <pivotArea dataOnly="0" labelOnly="1" outline="0" fieldPosition="0">
        <references count="2">
          <reference field="2" count="1" selected="0">
            <x v="21"/>
          </reference>
          <reference field="16" count="1">
            <x v="12"/>
          </reference>
        </references>
      </pivotArea>
    </format>
    <format dxfId="662">
      <pivotArea dataOnly="0" labelOnly="1" outline="0" fieldPosition="0">
        <references count="2">
          <reference field="2" count="1" selected="0">
            <x v="22"/>
          </reference>
          <reference field="16" count="3">
            <x v="1"/>
            <x v="2"/>
            <x v="12"/>
          </reference>
        </references>
      </pivotArea>
    </format>
    <format dxfId="661">
      <pivotArea dataOnly="0" labelOnly="1" outline="0" fieldPosition="0">
        <references count="2">
          <reference field="2" count="1" selected="0">
            <x v="23"/>
          </reference>
          <reference field="16" count="1">
            <x v="1"/>
          </reference>
        </references>
      </pivotArea>
    </format>
    <format dxfId="660">
      <pivotArea dataOnly="0" labelOnly="1" outline="0" fieldPosition="0">
        <references count="2">
          <reference field="2" count="1" selected="0">
            <x v="24"/>
          </reference>
          <reference field="16" count="1">
            <x v="12"/>
          </reference>
        </references>
      </pivotArea>
    </format>
    <format dxfId="659">
      <pivotArea dataOnly="0" labelOnly="1" outline="0" fieldPosition="0">
        <references count="2">
          <reference field="2" count="1" selected="0">
            <x v="25"/>
          </reference>
          <reference field="16" count="3">
            <x v="1"/>
            <x v="2"/>
            <x v="12"/>
          </reference>
        </references>
      </pivotArea>
    </format>
    <format dxfId="658">
      <pivotArea dataOnly="0" labelOnly="1" outline="0" fieldPosition="0">
        <references count="2">
          <reference field="2" count="1" selected="0">
            <x v="26"/>
          </reference>
          <reference field="16" count="3">
            <x v="1"/>
            <x v="2"/>
            <x v="12"/>
          </reference>
        </references>
      </pivotArea>
    </format>
    <format dxfId="657">
      <pivotArea dataOnly="0" labelOnly="1" outline="0" fieldPosition="0">
        <references count="2">
          <reference field="2" count="1" selected="0">
            <x v="27"/>
          </reference>
          <reference field="16" count="2">
            <x v="1"/>
            <x v="12"/>
          </reference>
        </references>
      </pivotArea>
    </format>
    <format dxfId="656">
      <pivotArea dataOnly="0" labelOnly="1" outline="0" fieldPosition="0">
        <references count="2">
          <reference field="2" count="1" selected="0">
            <x v="28"/>
          </reference>
          <reference field="16" count="2">
            <x v="0"/>
            <x v="12"/>
          </reference>
        </references>
      </pivotArea>
    </format>
    <format dxfId="655">
      <pivotArea dataOnly="0" labelOnly="1" outline="0" fieldPosition="0">
        <references count="2">
          <reference field="2" count="1" selected="0">
            <x v="29"/>
          </reference>
          <reference field="16" count="3">
            <x v="1"/>
            <x v="2"/>
            <x v="12"/>
          </reference>
        </references>
      </pivotArea>
    </format>
    <format dxfId="654">
      <pivotArea dataOnly="0" labelOnly="1" outline="0" fieldPosition="0">
        <references count="2">
          <reference field="2" count="1" selected="0">
            <x v="30"/>
          </reference>
          <reference field="16" count="3">
            <x v="1"/>
            <x v="2"/>
            <x v="12"/>
          </reference>
        </references>
      </pivotArea>
    </format>
    <format dxfId="653">
      <pivotArea dataOnly="0" labelOnly="1" outline="0" fieldPosition="0">
        <references count="2">
          <reference field="2" count="1" selected="0">
            <x v="31"/>
          </reference>
          <reference field="16" count="1">
            <x v="2"/>
          </reference>
        </references>
      </pivotArea>
    </format>
    <format dxfId="652">
      <pivotArea dataOnly="0" labelOnly="1" outline="0" fieldPosition="0">
        <references count="2">
          <reference field="2" count="1" selected="0">
            <x v="32"/>
          </reference>
          <reference field="16" count="4">
            <x v="0"/>
            <x v="1"/>
            <x v="2"/>
            <x v="12"/>
          </reference>
        </references>
      </pivotArea>
    </format>
    <format dxfId="651">
      <pivotArea dataOnly="0" labelOnly="1" outline="0" fieldPosition="0">
        <references count="2">
          <reference field="2" count="1" selected="0">
            <x v="33"/>
          </reference>
          <reference field="16" count="3">
            <x v="1"/>
            <x v="2"/>
            <x v="12"/>
          </reference>
        </references>
      </pivotArea>
    </format>
    <format dxfId="650">
      <pivotArea dataOnly="0" labelOnly="1" outline="0" fieldPosition="0">
        <references count="2">
          <reference field="2" count="1" selected="0">
            <x v="34"/>
          </reference>
          <reference field="16" count="3">
            <x v="1"/>
            <x v="2"/>
            <x v="12"/>
          </reference>
        </references>
      </pivotArea>
    </format>
    <format dxfId="649">
      <pivotArea dataOnly="0" labelOnly="1" outline="0" fieldPosition="0">
        <references count="2">
          <reference field="2" count="1" selected="0">
            <x v="35"/>
          </reference>
          <reference field="16" count="1">
            <x v="0"/>
          </reference>
        </references>
      </pivotArea>
    </format>
    <format dxfId="648">
      <pivotArea dataOnly="0" labelOnly="1" outline="0" fieldPosition="0">
        <references count="2">
          <reference field="2" count="1" selected="0">
            <x v="36"/>
          </reference>
          <reference field="16" count="1">
            <x v="1"/>
          </reference>
        </references>
      </pivotArea>
    </format>
    <format dxfId="647">
      <pivotArea dataOnly="0" labelOnly="1" outline="0" fieldPosition="0">
        <references count="2">
          <reference field="2" count="1" selected="0">
            <x v="37"/>
          </reference>
          <reference field="16" count="1">
            <x v="12"/>
          </reference>
        </references>
      </pivotArea>
    </format>
    <format dxfId="646">
      <pivotArea dataOnly="0" labelOnly="1" outline="0" fieldPosition="0">
        <references count="2">
          <reference field="2" count="1" selected="0">
            <x v="38"/>
          </reference>
          <reference field="16" count="2">
            <x v="1"/>
            <x v="12"/>
          </reference>
        </references>
      </pivotArea>
    </format>
    <format dxfId="645">
      <pivotArea dataOnly="0" labelOnly="1" outline="0" fieldPosition="0">
        <references count="2">
          <reference field="2" count="1" selected="0">
            <x v="39"/>
          </reference>
          <reference field="16" count="4">
            <x v="0"/>
            <x v="1"/>
            <x v="2"/>
            <x v="12"/>
          </reference>
        </references>
      </pivotArea>
    </format>
    <format dxfId="644">
      <pivotArea dataOnly="0" labelOnly="1" outline="0" fieldPosition="0">
        <references count="2">
          <reference field="2" count="1" selected="0">
            <x v="40"/>
          </reference>
          <reference field="16" count="2">
            <x v="1"/>
            <x v="12"/>
          </reference>
        </references>
      </pivotArea>
    </format>
    <format dxfId="643">
      <pivotArea dataOnly="0" labelOnly="1" outline="0" fieldPosition="0">
        <references count="2">
          <reference field="2" count="1" selected="0">
            <x v="41"/>
          </reference>
          <reference field="16" count="4">
            <x v="0"/>
            <x v="1"/>
            <x v="2"/>
            <x v="12"/>
          </reference>
        </references>
      </pivotArea>
    </format>
    <format dxfId="642">
      <pivotArea dataOnly="0" labelOnly="1" outline="0" fieldPosition="0">
        <references count="2">
          <reference field="2" count="1" selected="0">
            <x v="42"/>
          </reference>
          <reference field="16" count="1">
            <x v="1"/>
          </reference>
        </references>
      </pivotArea>
    </format>
    <format dxfId="641">
      <pivotArea dataOnly="0" labelOnly="1" outline="0" fieldPosition="0">
        <references count="2">
          <reference field="2" count="1" selected="0">
            <x v="43"/>
          </reference>
          <reference field="16" count="1">
            <x v="1"/>
          </reference>
        </references>
      </pivotArea>
    </format>
    <format dxfId="640">
      <pivotArea dataOnly="0" labelOnly="1" outline="0" fieldPosition="0">
        <references count="2">
          <reference field="2" count="1" selected="0">
            <x v="44"/>
          </reference>
          <reference field="16" count="2">
            <x v="1"/>
            <x v="2"/>
          </reference>
        </references>
      </pivotArea>
    </format>
    <format dxfId="639">
      <pivotArea dataOnly="0" labelOnly="1" outline="0" fieldPosition="0">
        <references count="2">
          <reference field="2" count="1" selected="0">
            <x v="45"/>
          </reference>
          <reference field="16" count="4">
            <x v="0"/>
            <x v="1"/>
            <x v="2"/>
            <x v="12"/>
          </reference>
        </references>
      </pivotArea>
    </format>
    <format dxfId="638">
      <pivotArea dataOnly="0" labelOnly="1" outline="0" fieldPosition="0">
        <references count="2">
          <reference field="2" count="1" selected="0">
            <x v="46"/>
          </reference>
          <reference field="16" count="2">
            <x v="1"/>
            <x v="2"/>
          </reference>
        </references>
      </pivotArea>
    </format>
    <format dxfId="637">
      <pivotArea dataOnly="0" labelOnly="1" outline="0" fieldPosition="0">
        <references count="2">
          <reference field="2" count="1" selected="0">
            <x v="47"/>
          </reference>
          <reference field="16" count="2">
            <x v="1"/>
            <x v="12"/>
          </reference>
        </references>
      </pivotArea>
    </format>
    <format dxfId="636">
      <pivotArea dataOnly="0" labelOnly="1" outline="0" fieldPosition="0">
        <references count="2">
          <reference field="2" count="1" selected="0">
            <x v="48"/>
          </reference>
          <reference field="16" count="3">
            <x v="1"/>
            <x v="2"/>
            <x v="12"/>
          </reference>
        </references>
      </pivotArea>
    </format>
    <format dxfId="635">
      <pivotArea dataOnly="0" labelOnly="1" outline="0" fieldPosition="0">
        <references count="2">
          <reference field="2" count="1" selected="0">
            <x v="49"/>
          </reference>
          <reference field="16" count="3">
            <x v="1"/>
            <x v="2"/>
            <x v="12"/>
          </reference>
        </references>
      </pivotArea>
    </format>
    <format dxfId="634">
      <pivotArea dataOnly="0" labelOnly="1" outline="0" fieldPosition="0">
        <references count="2">
          <reference field="2" count="1" selected="0">
            <x v="50"/>
          </reference>
          <reference field="16" count="2">
            <x v="1"/>
            <x v="2"/>
          </reference>
        </references>
      </pivotArea>
    </format>
    <format dxfId="633">
      <pivotArea dataOnly="0" labelOnly="1" outline="0" fieldPosition="0">
        <references count="2">
          <reference field="2" count="1" selected="0">
            <x v="51"/>
          </reference>
          <reference field="16" count="2">
            <x v="0"/>
            <x v="12"/>
          </reference>
        </references>
      </pivotArea>
    </format>
    <format dxfId="632">
      <pivotArea type="topRight" dataOnly="0" labelOnly="1" outline="0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7A3E-829F-469A-9658-A3E13CA49D9D}">
  <dimension ref="A1:X43"/>
  <sheetViews>
    <sheetView topLeftCell="N1" zoomScale="90" workbookViewId="0">
      <selection activeCell="Q17" sqref="Q17"/>
    </sheetView>
  </sheetViews>
  <sheetFormatPr defaultColWidth="8.77734375" defaultRowHeight="14.4" x14ac:dyDescent="0.3"/>
  <cols>
    <col min="1" max="1" width="21.21875" style="4" hidden="1" customWidth="1"/>
    <col min="2" max="2" width="16.109375" style="4" hidden="1" customWidth="1"/>
    <col min="3" max="3" width="18.6640625" style="4" hidden="1" customWidth="1"/>
    <col min="4" max="4" width="8.33203125" style="4" hidden="1" customWidth="1"/>
    <col min="5" max="5" width="5.21875" style="4" hidden="1" customWidth="1"/>
    <col min="6" max="6" width="4.88671875" style="4" hidden="1" customWidth="1"/>
    <col min="7" max="7" width="26.44140625" style="4" hidden="1" customWidth="1"/>
    <col min="8" max="8" width="18.6640625" style="4" hidden="1" customWidth="1"/>
    <col min="9" max="9" width="4.77734375" style="4" hidden="1" customWidth="1"/>
    <col min="10" max="10" width="7.77734375" style="4" hidden="1" customWidth="1"/>
    <col min="11" max="11" width="26.44140625" style="4" hidden="1" customWidth="1"/>
    <col min="12" max="12" width="18.6640625" style="4" hidden="1" customWidth="1"/>
    <col min="13" max="13" width="8.77734375" style="4" hidden="1" customWidth="1"/>
    <col min="14" max="14" width="26.44140625" style="4" bestFit="1" customWidth="1"/>
    <col min="15" max="15" width="18.6640625" style="4" bestFit="1" customWidth="1"/>
    <col min="16" max="16" width="8.77734375" style="4"/>
    <col min="17" max="17" width="21.88671875" style="4" bestFit="1" customWidth="1"/>
    <col min="18" max="18" width="12" style="4" bestFit="1" customWidth="1"/>
    <col min="19" max="19" width="10" style="4" bestFit="1" customWidth="1"/>
    <col min="20" max="20" width="21.88671875" style="4" bestFit="1" customWidth="1"/>
    <col min="21" max="21" width="10.44140625" style="4" bestFit="1" customWidth="1"/>
    <col min="22" max="23" width="8.77734375" style="4" customWidth="1"/>
    <col min="24" max="16384" width="8.77734375" style="4"/>
  </cols>
  <sheetData>
    <row r="1" spans="1:24" x14ac:dyDescent="0.3">
      <c r="A1"/>
      <c r="B1"/>
      <c r="G1" s="5" t="s">
        <v>1202</v>
      </c>
      <c r="H1" s="4" t="s">
        <v>1204</v>
      </c>
      <c r="K1" s="5" t="s">
        <v>1202</v>
      </c>
      <c r="L1" s="4" t="s">
        <v>1204</v>
      </c>
      <c r="N1" s="5" t="s">
        <v>1202</v>
      </c>
      <c r="O1" s="4" t="s">
        <v>1204</v>
      </c>
      <c r="Q1" s="5" t="s">
        <v>1202</v>
      </c>
      <c r="R1" s="4" t="s">
        <v>1204</v>
      </c>
      <c r="T1" s="5" t="s">
        <v>1202</v>
      </c>
      <c r="U1" s="4" t="s">
        <v>1204</v>
      </c>
    </row>
    <row r="2" spans="1:24" x14ac:dyDescent="0.3">
      <c r="A2"/>
      <c r="B2"/>
      <c r="G2" s="5" t="s">
        <v>1203</v>
      </c>
      <c r="H2" s="4" t="s">
        <v>1212</v>
      </c>
      <c r="K2" s="5" t="s">
        <v>1203</v>
      </c>
      <c r="L2" s="4" t="s">
        <v>1212</v>
      </c>
      <c r="N2" s="5" t="s">
        <v>1203</v>
      </c>
      <c r="O2" s="4" t="s">
        <v>1212</v>
      </c>
      <c r="Q2" s="5" t="s">
        <v>1203</v>
      </c>
      <c r="R2" s="4" t="s">
        <v>1212</v>
      </c>
      <c r="T2" s="5" t="s">
        <v>1203</v>
      </c>
      <c r="U2" s="4" t="s">
        <v>1212</v>
      </c>
    </row>
    <row r="3" spans="1:24" x14ac:dyDescent="0.3">
      <c r="A3" s="5" t="s">
        <v>1202</v>
      </c>
      <c r="B3" s="4" t="s">
        <v>1204</v>
      </c>
      <c r="G3" s="5" t="s">
        <v>1205</v>
      </c>
      <c r="H3" s="4" t="s">
        <v>1213</v>
      </c>
      <c r="K3" s="5" t="s">
        <v>1205</v>
      </c>
      <c r="L3" s="4" t="s">
        <v>1213</v>
      </c>
      <c r="N3" s="5" t="s">
        <v>1205</v>
      </c>
      <c r="O3" s="206" t="s">
        <v>1357</v>
      </c>
      <c r="Q3" s="5" t="s">
        <v>1205</v>
      </c>
      <c r="R3" s="206" t="s">
        <v>1357</v>
      </c>
      <c r="T3" s="5" t="s">
        <v>1205</v>
      </c>
      <c r="U3" s="4" t="s">
        <v>1213</v>
      </c>
    </row>
    <row r="4" spans="1:24" x14ac:dyDescent="0.3">
      <c r="A4"/>
      <c r="B4"/>
      <c r="C4"/>
      <c r="D4"/>
      <c r="E4"/>
      <c r="F4"/>
      <c r="G4"/>
      <c r="H4"/>
      <c r="I4"/>
      <c r="J4"/>
      <c r="K4"/>
      <c r="L4"/>
      <c r="N4"/>
      <c r="O4"/>
      <c r="Q4"/>
      <c r="R4"/>
      <c r="T4"/>
      <c r="U4"/>
    </row>
    <row r="5" spans="1:24" x14ac:dyDescent="0.3">
      <c r="A5" s="5" t="s">
        <v>1214</v>
      </c>
      <c r="C5" s="5" t="s">
        <v>11</v>
      </c>
      <c r="G5" s="5" t="s">
        <v>1214</v>
      </c>
      <c r="H5" s="5" t="s">
        <v>11</v>
      </c>
      <c r="I5"/>
      <c r="J5"/>
      <c r="K5" s="5" t="s">
        <v>1214</v>
      </c>
      <c r="L5" s="5" t="s">
        <v>11</v>
      </c>
      <c r="N5" s="5" t="s">
        <v>1214</v>
      </c>
      <c r="O5" s="5" t="s">
        <v>11</v>
      </c>
      <c r="Q5" s="5" t="s">
        <v>1214</v>
      </c>
      <c r="S5"/>
      <c r="T5" s="5" t="s">
        <v>1214</v>
      </c>
      <c r="W5"/>
      <c r="X5"/>
    </row>
    <row r="6" spans="1:24" x14ac:dyDescent="0.3">
      <c r="A6" s="5" t="s">
        <v>1203</v>
      </c>
      <c r="B6" s="5" t="s">
        <v>1205</v>
      </c>
      <c r="C6" s="4" t="s">
        <v>0</v>
      </c>
      <c r="D6" s="4" t="s">
        <v>1</v>
      </c>
      <c r="E6" s="4" t="s">
        <v>30</v>
      </c>
      <c r="G6" s="5" t="s">
        <v>24</v>
      </c>
      <c r="H6" s="4" t="s">
        <v>0</v>
      </c>
      <c r="I6"/>
      <c r="J6"/>
      <c r="K6" s="5" t="s">
        <v>24</v>
      </c>
      <c r="L6" s="4" t="s">
        <v>0</v>
      </c>
      <c r="N6" s="5" t="s">
        <v>24</v>
      </c>
      <c r="O6" s="4" t="s">
        <v>1</v>
      </c>
      <c r="Q6" s="5" t="s">
        <v>11</v>
      </c>
      <c r="R6" s="4" t="s">
        <v>1215</v>
      </c>
      <c r="S6"/>
      <c r="T6" s="5" t="s">
        <v>11</v>
      </c>
      <c r="U6" s="4" t="s">
        <v>1215</v>
      </c>
      <c r="W6"/>
      <c r="X6"/>
    </row>
    <row r="7" spans="1:24" x14ac:dyDescent="0.3">
      <c r="A7" s="4" t="s">
        <v>1212</v>
      </c>
      <c r="B7" s="4" t="s">
        <v>1206</v>
      </c>
      <c r="C7" s="4">
        <v>14</v>
      </c>
      <c r="D7" s="4">
        <v>4</v>
      </c>
      <c r="E7" s="4">
        <v>1</v>
      </c>
      <c r="G7" s="4" t="s">
        <v>65</v>
      </c>
      <c r="H7" s="4">
        <v>59</v>
      </c>
      <c r="I7"/>
      <c r="J7"/>
      <c r="K7" s="4" t="s">
        <v>65</v>
      </c>
      <c r="L7" s="4">
        <v>59</v>
      </c>
      <c r="N7" s="4" t="s">
        <v>54</v>
      </c>
      <c r="O7" s="4">
        <v>1</v>
      </c>
      <c r="Q7" s="4" t="s">
        <v>1</v>
      </c>
      <c r="R7" s="4">
        <v>18</v>
      </c>
      <c r="S7"/>
      <c r="T7" s="4" t="s">
        <v>1</v>
      </c>
      <c r="U7" s="4">
        <v>82</v>
      </c>
      <c r="W7"/>
      <c r="X7"/>
    </row>
    <row r="8" spans="1:24" x14ac:dyDescent="0.3">
      <c r="B8" s="4" t="s">
        <v>1207</v>
      </c>
      <c r="C8" s="4">
        <v>21</v>
      </c>
      <c r="E8" s="4">
        <v>1</v>
      </c>
      <c r="G8" s="4" t="s">
        <v>44</v>
      </c>
      <c r="H8" s="4">
        <v>32</v>
      </c>
      <c r="I8"/>
      <c r="J8"/>
      <c r="K8" s="4" t="s">
        <v>44</v>
      </c>
      <c r="L8" s="4">
        <v>32</v>
      </c>
      <c r="N8" s="4" t="s">
        <v>8</v>
      </c>
      <c r="O8" s="4">
        <v>2</v>
      </c>
      <c r="Q8" s="4" t="s">
        <v>0</v>
      </c>
      <c r="R8" s="4">
        <v>7</v>
      </c>
      <c r="S8"/>
      <c r="T8" s="4" t="s">
        <v>30</v>
      </c>
      <c r="U8" s="4">
        <v>5</v>
      </c>
      <c r="W8"/>
      <c r="X8"/>
    </row>
    <row r="9" spans="1:24" x14ac:dyDescent="0.3">
      <c r="B9" s="4" t="s">
        <v>1208</v>
      </c>
      <c r="C9" s="4">
        <v>21</v>
      </c>
      <c r="D9" s="4">
        <v>4</v>
      </c>
      <c r="G9" s="4" t="s">
        <v>8</v>
      </c>
      <c r="H9" s="4">
        <v>31</v>
      </c>
      <c r="I9"/>
      <c r="J9"/>
      <c r="K9" s="4" t="s">
        <v>8</v>
      </c>
      <c r="L9" s="4">
        <v>31</v>
      </c>
      <c r="N9" s="4" t="s">
        <v>27</v>
      </c>
      <c r="O9" s="4">
        <v>2</v>
      </c>
      <c r="Q9" s="4" t="s">
        <v>1201</v>
      </c>
      <c r="R9" s="4">
        <v>25</v>
      </c>
      <c r="S9"/>
      <c r="T9" s="4" t="s">
        <v>0</v>
      </c>
      <c r="U9" s="4">
        <v>173</v>
      </c>
      <c r="W9"/>
      <c r="X9"/>
    </row>
    <row r="10" spans="1:24" x14ac:dyDescent="0.3">
      <c r="B10" s="4" t="s">
        <v>1209</v>
      </c>
      <c r="C10" s="4">
        <v>24</v>
      </c>
      <c r="D10" s="4">
        <v>4</v>
      </c>
      <c r="G10" s="4" t="s">
        <v>24</v>
      </c>
      <c r="H10" s="4">
        <v>20</v>
      </c>
      <c r="I10"/>
      <c r="J10"/>
      <c r="K10" s="4" t="s">
        <v>24</v>
      </c>
      <c r="L10" s="4">
        <v>20</v>
      </c>
      <c r="N10" s="4" t="s">
        <v>24</v>
      </c>
      <c r="O10" s="4">
        <v>2</v>
      </c>
      <c r="Q10"/>
      <c r="R10"/>
      <c r="S10"/>
      <c r="T10" s="4" t="s">
        <v>1201</v>
      </c>
      <c r="U10" s="4">
        <v>260</v>
      </c>
      <c r="W10"/>
      <c r="X10"/>
    </row>
    <row r="11" spans="1:24" x14ac:dyDescent="0.3">
      <c r="B11" s="4" t="s">
        <v>1210</v>
      </c>
      <c r="C11" s="4">
        <v>13</v>
      </c>
      <c r="D11" s="4">
        <v>15</v>
      </c>
      <c r="E11" s="4">
        <v>2</v>
      </c>
      <c r="G11" s="4" t="s">
        <v>43</v>
      </c>
      <c r="H11" s="4">
        <v>9</v>
      </c>
      <c r="I11"/>
      <c r="J11"/>
      <c r="K11" s="4" t="s">
        <v>43</v>
      </c>
      <c r="L11" s="4">
        <v>9</v>
      </c>
      <c r="N11" s="4" t="s">
        <v>65</v>
      </c>
      <c r="O11" s="4">
        <v>3</v>
      </c>
      <c r="Q11"/>
      <c r="R11"/>
      <c r="S11"/>
      <c r="T11"/>
      <c r="U11"/>
      <c r="W11"/>
      <c r="X11"/>
    </row>
    <row r="12" spans="1:24" x14ac:dyDescent="0.3">
      <c r="B12" s="4" t="s">
        <v>1211</v>
      </c>
      <c r="C12" s="4">
        <v>22</v>
      </c>
      <c r="D12" s="4">
        <v>9</v>
      </c>
      <c r="G12" s="4" t="s">
        <v>54</v>
      </c>
      <c r="H12" s="4">
        <v>8</v>
      </c>
      <c r="I12"/>
      <c r="J12"/>
      <c r="K12" s="4" t="s">
        <v>54</v>
      </c>
      <c r="L12" s="4">
        <v>8</v>
      </c>
      <c r="N12" s="4" t="s">
        <v>43</v>
      </c>
      <c r="O12" s="4">
        <v>3</v>
      </c>
      <c r="Q12"/>
      <c r="R12"/>
      <c r="S12"/>
      <c r="T12"/>
      <c r="U12"/>
      <c r="W12"/>
      <c r="X12"/>
    </row>
    <row r="13" spans="1:24" x14ac:dyDescent="0.3">
      <c r="B13" s="4" t="s">
        <v>1241</v>
      </c>
      <c r="C13" s="4">
        <v>14</v>
      </c>
      <c r="D13" s="4">
        <v>14</v>
      </c>
      <c r="G13" s="4" t="s">
        <v>42</v>
      </c>
      <c r="H13" s="4">
        <v>7</v>
      </c>
      <c r="I13"/>
      <c r="J13"/>
      <c r="K13" s="4" t="s">
        <v>42</v>
      </c>
      <c r="L13" s="4">
        <v>7</v>
      </c>
      <c r="N13" s="4" t="s">
        <v>44</v>
      </c>
      <c r="O13" s="4">
        <v>5</v>
      </c>
      <c r="Q13"/>
      <c r="R13"/>
      <c r="S13"/>
      <c r="W13"/>
      <c r="X13"/>
    </row>
    <row r="14" spans="1:24" x14ac:dyDescent="0.3">
      <c r="B14" s="4" t="s">
        <v>1320</v>
      </c>
      <c r="C14" s="4">
        <v>18</v>
      </c>
      <c r="D14" s="4">
        <v>7</v>
      </c>
      <c r="E14" s="4">
        <v>1</v>
      </c>
      <c r="G14" s="4" t="s">
        <v>27</v>
      </c>
      <c r="H14" s="4">
        <v>7</v>
      </c>
      <c r="I14"/>
      <c r="J14"/>
      <c r="K14" s="4" t="s">
        <v>27</v>
      </c>
      <c r="L14" s="4">
        <v>7</v>
      </c>
      <c r="N14" s="4" t="s">
        <v>1201</v>
      </c>
      <c r="O14" s="4">
        <v>18</v>
      </c>
      <c r="Q14"/>
      <c r="R14"/>
      <c r="S14"/>
      <c r="W14"/>
      <c r="X14"/>
    </row>
    <row r="15" spans="1:24" x14ac:dyDescent="0.3">
      <c r="B15" s="4" t="s">
        <v>1324</v>
      </c>
      <c r="C15" s="4">
        <v>19</v>
      </c>
      <c r="D15" s="4">
        <v>7</v>
      </c>
      <c r="G15" s="4" t="s">
        <v>1201</v>
      </c>
      <c r="H15" s="4">
        <v>173</v>
      </c>
      <c r="I15"/>
      <c r="J15"/>
      <c r="K15" s="4" t="s">
        <v>1201</v>
      </c>
      <c r="L15" s="4">
        <v>173</v>
      </c>
      <c r="N15"/>
      <c r="O15"/>
      <c r="W15"/>
      <c r="X15"/>
    </row>
    <row r="16" spans="1:24" x14ac:dyDescent="0.3">
      <c r="B16" s="4" t="s">
        <v>1357</v>
      </c>
      <c r="C16" s="4">
        <v>7</v>
      </c>
      <c r="D16" s="4">
        <v>18</v>
      </c>
      <c r="G16"/>
      <c r="H16"/>
      <c r="I16"/>
      <c r="J16"/>
      <c r="W16"/>
      <c r="X16"/>
    </row>
    <row r="17" spans="1:24" x14ac:dyDescent="0.3">
      <c r="A17" s="4" t="s">
        <v>1201</v>
      </c>
      <c r="C17" s="4">
        <v>173</v>
      </c>
      <c r="D17" s="4">
        <v>82</v>
      </c>
      <c r="E17" s="4">
        <v>5</v>
      </c>
      <c r="G17"/>
      <c r="H17"/>
      <c r="I17"/>
      <c r="J17"/>
      <c r="W17"/>
      <c r="X17"/>
    </row>
    <row r="18" spans="1:24" x14ac:dyDescent="0.3">
      <c r="A18"/>
      <c r="B18"/>
      <c r="C18"/>
      <c r="D18"/>
      <c r="E18"/>
      <c r="G18"/>
      <c r="H18"/>
      <c r="I18"/>
      <c r="J18"/>
      <c r="W18"/>
      <c r="X18"/>
    </row>
    <row r="19" spans="1:24" x14ac:dyDescent="0.3">
      <c r="A19"/>
      <c r="B19"/>
      <c r="C19"/>
      <c r="D19"/>
      <c r="E19"/>
      <c r="G19"/>
      <c r="H19"/>
      <c r="I19"/>
      <c r="J19"/>
      <c r="W19"/>
      <c r="X19"/>
    </row>
    <row r="20" spans="1:24" x14ac:dyDescent="0.3">
      <c r="A20"/>
      <c r="B20"/>
      <c r="C20"/>
      <c r="D20"/>
      <c r="E20"/>
      <c r="G20"/>
      <c r="H20"/>
      <c r="I20"/>
      <c r="J20"/>
      <c r="W20"/>
      <c r="X20"/>
    </row>
    <row r="21" spans="1:24" x14ac:dyDescent="0.3">
      <c r="A21"/>
      <c r="B21"/>
      <c r="C21"/>
      <c r="D21"/>
      <c r="E21"/>
      <c r="G21"/>
      <c r="H21"/>
      <c r="I21"/>
      <c r="J21"/>
      <c r="W21"/>
      <c r="X21"/>
    </row>
    <row r="22" spans="1:24" x14ac:dyDescent="0.3">
      <c r="A22"/>
      <c r="B22"/>
      <c r="C22"/>
      <c r="D22"/>
      <c r="E22"/>
      <c r="G22"/>
      <c r="H22"/>
      <c r="I22"/>
      <c r="J22"/>
      <c r="W22"/>
      <c r="X22"/>
    </row>
    <row r="23" spans="1:24" x14ac:dyDescent="0.3">
      <c r="A23"/>
      <c r="B23"/>
      <c r="C23"/>
      <c r="D23"/>
      <c r="E23"/>
      <c r="G23"/>
      <c r="H23"/>
      <c r="I23"/>
      <c r="J23"/>
      <c r="W23"/>
      <c r="X23"/>
    </row>
    <row r="24" spans="1:24" x14ac:dyDescent="0.3">
      <c r="A24"/>
      <c r="B24"/>
      <c r="C24"/>
      <c r="D24"/>
      <c r="E24"/>
      <c r="G24"/>
      <c r="H24"/>
      <c r="I24"/>
      <c r="J24"/>
      <c r="W24"/>
      <c r="X24"/>
    </row>
    <row r="25" spans="1:24" x14ac:dyDescent="0.3">
      <c r="A25"/>
      <c r="B25"/>
      <c r="C25"/>
      <c r="D25"/>
      <c r="E25"/>
      <c r="G25"/>
      <c r="H25"/>
      <c r="I25"/>
      <c r="J25"/>
      <c r="W25"/>
      <c r="X25"/>
    </row>
    <row r="26" spans="1:24" x14ac:dyDescent="0.3">
      <c r="A26"/>
      <c r="B26"/>
      <c r="C26"/>
      <c r="D26"/>
      <c r="E26"/>
      <c r="G26"/>
      <c r="H26"/>
      <c r="I26"/>
      <c r="J26"/>
      <c r="W26"/>
      <c r="X26"/>
    </row>
    <row r="27" spans="1:24" x14ac:dyDescent="0.3">
      <c r="A27"/>
      <c r="B27"/>
      <c r="C27"/>
      <c r="D27"/>
      <c r="E27"/>
      <c r="G27"/>
      <c r="H27"/>
      <c r="I27"/>
      <c r="J27"/>
      <c r="W27"/>
      <c r="X27"/>
    </row>
    <row r="28" spans="1:24" x14ac:dyDescent="0.3">
      <c r="A28"/>
      <c r="B28"/>
      <c r="C28"/>
      <c r="D28"/>
      <c r="E28"/>
      <c r="G28"/>
      <c r="H28"/>
      <c r="I28"/>
      <c r="J28"/>
      <c r="W28"/>
      <c r="X28"/>
    </row>
    <row r="29" spans="1:24" x14ac:dyDescent="0.3">
      <c r="A29"/>
      <c r="B29"/>
      <c r="C29"/>
      <c r="D29"/>
      <c r="E29"/>
      <c r="G29"/>
      <c r="H29"/>
      <c r="I29"/>
      <c r="J29"/>
      <c r="W29"/>
      <c r="X29"/>
    </row>
    <row r="30" spans="1:24" x14ac:dyDescent="0.3">
      <c r="A30"/>
      <c r="B30"/>
      <c r="C30"/>
      <c r="D30"/>
      <c r="E30"/>
      <c r="G30"/>
      <c r="H30"/>
      <c r="I30"/>
      <c r="J30"/>
      <c r="W30"/>
      <c r="X30"/>
    </row>
    <row r="31" spans="1:24" x14ac:dyDescent="0.3">
      <c r="A31"/>
      <c r="B31"/>
      <c r="C31"/>
      <c r="D31"/>
      <c r="E31"/>
      <c r="G31"/>
      <c r="H31"/>
      <c r="I31"/>
      <c r="J31"/>
      <c r="W31"/>
      <c r="X31"/>
    </row>
    <row r="32" spans="1:24" x14ac:dyDescent="0.3">
      <c r="A32"/>
      <c r="B32"/>
      <c r="C32"/>
      <c r="D32"/>
      <c r="E32"/>
      <c r="G32"/>
      <c r="H32"/>
      <c r="I32"/>
      <c r="J32"/>
      <c r="W32"/>
      <c r="X32"/>
    </row>
    <row r="33" spans="1:24" x14ac:dyDescent="0.3">
      <c r="A33"/>
      <c r="B33"/>
      <c r="C33"/>
      <c r="D33"/>
      <c r="E33"/>
      <c r="G33"/>
      <c r="H33"/>
      <c r="I33"/>
      <c r="J33"/>
      <c r="W33"/>
      <c r="X33"/>
    </row>
    <row r="34" spans="1:24" x14ac:dyDescent="0.3">
      <c r="A34"/>
      <c r="B34"/>
      <c r="C34"/>
      <c r="D34"/>
      <c r="E34"/>
      <c r="G34"/>
      <c r="H34"/>
      <c r="I34"/>
      <c r="J34"/>
      <c r="W34"/>
      <c r="X34"/>
    </row>
    <row r="35" spans="1:24" x14ac:dyDescent="0.3">
      <c r="A35"/>
      <c r="B35"/>
      <c r="C35"/>
      <c r="D35"/>
      <c r="E35"/>
      <c r="G35"/>
      <c r="H35"/>
      <c r="I35"/>
      <c r="J35"/>
    </row>
    <row r="36" spans="1:24" x14ac:dyDescent="0.3">
      <c r="A36"/>
      <c r="B36"/>
      <c r="C36"/>
      <c r="D36"/>
      <c r="E36"/>
      <c r="G36"/>
      <c r="H36"/>
      <c r="I36"/>
      <c r="J36"/>
    </row>
    <row r="37" spans="1:24" x14ac:dyDescent="0.3">
      <c r="A37"/>
      <c r="B37"/>
      <c r="C37"/>
      <c r="D37"/>
      <c r="E37"/>
      <c r="G37"/>
      <c r="H37"/>
      <c r="I37"/>
      <c r="J37"/>
    </row>
    <row r="38" spans="1:24" x14ac:dyDescent="0.3">
      <c r="A38"/>
      <c r="B38"/>
      <c r="C38"/>
      <c r="D38"/>
      <c r="E38"/>
      <c r="G38"/>
      <c r="H38"/>
      <c r="I38"/>
      <c r="J38"/>
    </row>
    <row r="39" spans="1:24" x14ac:dyDescent="0.3">
      <c r="A39"/>
      <c r="B39"/>
      <c r="C39"/>
      <c r="D39"/>
      <c r="E39"/>
    </row>
    <row r="40" spans="1:24" x14ac:dyDescent="0.3">
      <c r="A40"/>
      <c r="B40"/>
      <c r="C40"/>
      <c r="D40"/>
      <c r="E40"/>
    </row>
    <row r="41" spans="1:24" x14ac:dyDescent="0.3">
      <c r="A41"/>
      <c r="B41"/>
      <c r="C41"/>
      <c r="D41"/>
      <c r="E41"/>
    </row>
    <row r="42" spans="1:24" x14ac:dyDescent="0.3">
      <c r="A42"/>
      <c r="B42"/>
      <c r="C42"/>
      <c r="D42"/>
      <c r="E42"/>
    </row>
    <row r="43" spans="1:24" x14ac:dyDescent="0.3">
      <c r="A43"/>
      <c r="B43"/>
      <c r="C43"/>
      <c r="D43"/>
      <c r="E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0FB9-6B6A-45FF-BCD5-4C75214AB253}">
  <dimension ref="B6:B10"/>
  <sheetViews>
    <sheetView topLeftCell="A5" zoomScale="68" zoomScaleNormal="68" workbookViewId="0">
      <selection activeCellId="1" sqref="A47:V47 A1:W46"/>
    </sheetView>
  </sheetViews>
  <sheetFormatPr defaultRowHeight="14.4" x14ac:dyDescent="0.3"/>
  <cols>
    <col min="8" max="8" width="8.77734375" customWidth="1"/>
  </cols>
  <sheetData>
    <row r="6" spans="2:2" ht="28.8" x14ac:dyDescent="0.55000000000000004">
      <c r="B6" s="6"/>
    </row>
    <row r="8" spans="2:2" hidden="1" x14ac:dyDescent="0.3"/>
    <row r="9" spans="2:2" hidden="1" x14ac:dyDescent="0.3"/>
    <row r="10" spans="2:2" hidden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BF77-A181-4BC6-A04A-A609FBF3FA74}">
  <sheetPr>
    <tabColor rgb="FF92D050"/>
  </sheetPr>
  <dimension ref="A1:AC1516"/>
  <sheetViews>
    <sheetView workbookViewId="0">
      <selection activeCell="G18" sqref="G18"/>
    </sheetView>
  </sheetViews>
  <sheetFormatPr defaultColWidth="8.77734375" defaultRowHeight="14.4" x14ac:dyDescent="0.3"/>
  <cols>
    <col min="1" max="1" width="17.21875" style="4" bestFit="1" customWidth="1"/>
    <col min="2" max="28" width="19.33203125" style="4" bestFit="1" customWidth="1"/>
    <col min="29" max="29" width="10.77734375" style="4" bestFit="1" customWidth="1"/>
    <col min="30" max="33" width="6.44140625" style="4" bestFit="1" customWidth="1"/>
    <col min="34" max="58" width="6.5546875" style="4" bestFit="1" customWidth="1"/>
    <col min="59" max="60" width="10.77734375" style="4" bestFit="1" customWidth="1"/>
    <col min="61" max="16384" width="8.77734375" style="4"/>
  </cols>
  <sheetData>
    <row r="1" spans="1:29" x14ac:dyDescent="0.3">
      <c r="A1" s="5" t="s">
        <v>1202</v>
      </c>
      <c r="B1" s="4" t="s">
        <v>1204</v>
      </c>
    </row>
    <row r="2" spans="1:29" x14ac:dyDescent="0.3">
      <c r="A2" s="5" t="s">
        <v>1203</v>
      </c>
      <c r="B2" s="4" t="s">
        <v>1212</v>
      </c>
    </row>
    <row r="4" spans="1:29" x14ac:dyDescent="0.3">
      <c r="A4" s="5" t="s">
        <v>1216</v>
      </c>
      <c r="B4" s="5" t="s">
        <v>4</v>
      </c>
    </row>
    <row r="5" spans="1:29" x14ac:dyDescent="0.3">
      <c r="A5" s="5" t="s">
        <v>1205</v>
      </c>
      <c r="B5" s="4" t="s">
        <v>1023</v>
      </c>
      <c r="C5" s="4" t="s">
        <v>9</v>
      </c>
      <c r="D5" s="4" t="s">
        <v>167</v>
      </c>
      <c r="E5" s="4" t="s">
        <v>18</v>
      </c>
      <c r="F5" s="4" t="s">
        <v>274</v>
      </c>
      <c r="G5" s="4" t="s">
        <v>16</v>
      </c>
      <c r="H5" s="4" t="s">
        <v>31</v>
      </c>
      <c r="I5" s="4" t="s">
        <v>55</v>
      </c>
      <c r="J5" s="4" t="s">
        <v>17</v>
      </c>
      <c r="K5" s="4" t="s">
        <v>421</v>
      </c>
      <c r="L5" s="4" t="s">
        <v>1003</v>
      </c>
      <c r="M5" s="4" t="s">
        <v>26</v>
      </c>
      <c r="N5" s="4" t="s">
        <v>15</v>
      </c>
      <c r="O5" s="4" t="s">
        <v>37</v>
      </c>
      <c r="P5" s="4" t="s">
        <v>118</v>
      </c>
      <c r="Q5" s="4" t="s">
        <v>33</v>
      </c>
      <c r="R5" s="4" t="s">
        <v>208</v>
      </c>
      <c r="S5" s="4" t="s">
        <v>47</v>
      </c>
      <c r="T5" s="4" t="s">
        <v>56</v>
      </c>
      <c r="U5" s="4" t="s">
        <v>14</v>
      </c>
      <c r="V5" s="4" t="s">
        <v>34</v>
      </c>
      <c r="W5" s="4" t="s">
        <v>771</v>
      </c>
      <c r="X5" s="4" t="s">
        <v>25</v>
      </c>
      <c r="Y5" s="4" t="s">
        <v>7</v>
      </c>
      <c r="Z5" s="4" t="s">
        <v>1111</v>
      </c>
      <c r="AA5" s="4" t="s">
        <v>50</v>
      </c>
      <c r="AB5" s="4" t="s">
        <v>23</v>
      </c>
      <c r="AC5" s="4" t="s">
        <v>1201</v>
      </c>
    </row>
    <row r="6" spans="1:29" x14ac:dyDescent="0.3">
      <c r="A6" s="4" t="s">
        <v>1206</v>
      </c>
      <c r="B6" s="4">
        <v>8.9999999999999982</v>
      </c>
      <c r="C6" s="4">
        <v>22</v>
      </c>
      <c r="D6" s="4">
        <v>9.0000000000000018</v>
      </c>
      <c r="E6" s="4">
        <v>11</v>
      </c>
      <c r="F6" s="4">
        <v>11</v>
      </c>
      <c r="G6" s="4">
        <v>9.0000000000000018</v>
      </c>
      <c r="H6" s="4">
        <v>9.0000000000000018</v>
      </c>
      <c r="I6" s="4">
        <v>9.0000000000000018</v>
      </c>
      <c r="J6" s="4">
        <v>9.0000000000000018</v>
      </c>
      <c r="K6" s="4">
        <v>9.0000000000000018</v>
      </c>
      <c r="L6" s="4">
        <v>9.0000000000000018</v>
      </c>
      <c r="M6" s="4">
        <v>9.0000000000000018</v>
      </c>
      <c r="N6" s="4">
        <v>9.0000000000000018</v>
      </c>
      <c r="O6" s="4">
        <v>8.9999999999999982</v>
      </c>
      <c r="P6" s="4">
        <v>8.9999999999999982</v>
      </c>
      <c r="Q6" s="4">
        <v>8.9999999999999982</v>
      </c>
      <c r="S6" s="4">
        <v>9.0000000000000018</v>
      </c>
      <c r="T6" s="4">
        <v>9.0000000000000018</v>
      </c>
      <c r="U6" s="4">
        <v>8.9999999999999982</v>
      </c>
      <c r="V6" s="4">
        <v>8.9999999999999982</v>
      </c>
      <c r="W6" s="4">
        <v>3.5000000000000009</v>
      </c>
      <c r="X6" s="4">
        <v>3.5000000000000009</v>
      </c>
      <c r="Y6" s="4">
        <v>7</v>
      </c>
      <c r="Z6" s="4">
        <v>8.9999999999999982</v>
      </c>
      <c r="AA6" s="4">
        <v>8.9999999999999982</v>
      </c>
      <c r="AC6" s="4">
        <v>229</v>
      </c>
    </row>
    <row r="7" spans="1:29" x14ac:dyDescent="0.3">
      <c r="A7" s="4" t="s">
        <v>1207</v>
      </c>
      <c r="B7" s="4">
        <v>8.9999999999999982</v>
      </c>
      <c r="C7" s="4">
        <v>8.9999999999999982</v>
      </c>
      <c r="D7" s="4">
        <v>9.0000000000000018</v>
      </c>
      <c r="E7" s="4">
        <v>8.9999999999999982</v>
      </c>
      <c r="F7" s="4">
        <v>9.0000000000000018</v>
      </c>
      <c r="G7" s="4">
        <v>9.0000000000000018</v>
      </c>
      <c r="H7" s="4">
        <v>9.0000000000000018</v>
      </c>
      <c r="I7" s="4">
        <v>9.0000000000000018</v>
      </c>
      <c r="J7" s="4">
        <v>9.0000000000000018</v>
      </c>
      <c r="K7" s="4">
        <v>9.0000000000000018</v>
      </c>
      <c r="L7" s="4">
        <v>9.0000000000000018</v>
      </c>
      <c r="M7" s="4">
        <v>9.0000000000000018</v>
      </c>
      <c r="N7" s="4">
        <v>9.0000000000000018</v>
      </c>
      <c r="O7" s="4">
        <v>8.9999999999999982</v>
      </c>
      <c r="P7" s="4">
        <v>8.9999999999999982</v>
      </c>
      <c r="Q7" s="4">
        <v>8.9999999999999982</v>
      </c>
      <c r="R7" s="4">
        <v>9</v>
      </c>
      <c r="S7" s="4">
        <v>9.0000000000000018</v>
      </c>
      <c r="U7" s="4">
        <v>8.9999999999999982</v>
      </c>
      <c r="V7" s="4">
        <v>8.9999999999999982</v>
      </c>
      <c r="W7" s="4">
        <v>3.5000000000000009</v>
      </c>
      <c r="X7" s="4">
        <v>3.5000000000000009</v>
      </c>
      <c r="Y7" s="4">
        <v>9.0000000000000018</v>
      </c>
      <c r="AA7" s="4">
        <v>8.9999999999999982</v>
      </c>
      <c r="AC7" s="4">
        <v>205</v>
      </c>
    </row>
    <row r="8" spans="1:29" x14ac:dyDescent="0.3">
      <c r="A8" s="4" t="s">
        <v>1208</v>
      </c>
      <c r="B8" s="4">
        <v>17.999999999999996</v>
      </c>
      <c r="C8" s="4">
        <v>10.999999999999996</v>
      </c>
      <c r="D8" s="4">
        <v>9.0000000000000018</v>
      </c>
      <c r="E8" s="4">
        <v>8.9999999999999982</v>
      </c>
      <c r="F8" s="4">
        <v>8.9999999999999982</v>
      </c>
      <c r="G8" s="4">
        <v>12.5</v>
      </c>
      <c r="H8" s="4">
        <v>9.0000000000000018</v>
      </c>
      <c r="I8" s="4">
        <v>9.0000000000000018</v>
      </c>
      <c r="J8" s="4">
        <v>9.0000000000000018</v>
      </c>
      <c r="K8" s="4">
        <v>9.0000000000000018</v>
      </c>
      <c r="L8" s="4">
        <v>9.0000000000000018</v>
      </c>
      <c r="M8" s="4">
        <v>9.0000000000000018</v>
      </c>
      <c r="N8" s="4">
        <v>9.0000000000000018</v>
      </c>
      <c r="O8" s="4">
        <v>9.0000000000000018</v>
      </c>
      <c r="P8" s="4">
        <v>8.9999999999999982</v>
      </c>
      <c r="Q8" s="4">
        <v>8.9999999999999982</v>
      </c>
      <c r="R8" s="4">
        <v>9.0000000000000018</v>
      </c>
      <c r="S8" s="4">
        <v>9.5000000000000018</v>
      </c>
      <c r="T8" s="4">
        <v>9.0000000000000018</v>
      </c>
      <c r="V8" s="4">
        <v>8.9999999999999982</v>
      </c>
      <c r="W8" s="4">
        <v>9.0000000000000018</v>
      </c>
      <c r="X8" s="4">
        <v>9.0000000000000018</v>
      </c>
      <c r="Y8" s="4">
        <v>9.0000000000000018</v>
      </c>
      <c r="AB8" s="4">
        <v>8.9999999999999982</v>
      </c>
      <c r="AC8" s="4">
        <v>231</v>
      </c>
    </row>
    <row r="9" spans="1:29" x14ac:dyDescent="0.3">
      <c r="A9" s="4" t="s">
        <v>1209</v>
      </c>
      <c r="B9" s="4">
        <v>17.999999999999996</v>
      </c>
      <c r="C9" s="4">
        <v>4.9999999999999982</v>
      </c>
      <c r="D9" s="4">
        <v>12</v>
      </c>
      <c r="E9" s="4">
        <v>8.9999999999999982</v>
      </c>
      <c r="F9" s="4">
        <v>8.9999999999999982</v>
      </c>
      <c r="G9" s="4">
        <v>6.0000000000000018</v>
      </c>
      <c r="H9" s="4">
        <v>9.0000000000000018</v>
      </c>
      <c r="I9" s="4">
        <v>9.0000000000000018</v>
      </c>
      <c r="J9" s="4">
        <v>9.0000000000000018</v>
      </c>
      <c r="K9" s="4">
        <v>9.0000000000000018</v>
      </c>
      <c r="L9" s="4">
        <v>8.9999999999999982</v>
      </c>
      <c r="M9" s="4">
        <v>9.0000000000000018</v>
      </c>
      <c r="N9" s="4">
        <v>9.0000000000000018</v>
      </c>
      <c r="O9" s="4">
        <v>9.0000000000000018</v>
      </c>
      <c r="P9" s="4">
        <v>8.9999999999999982</v>
      </c>
      <c r="Q9" s="4">
        <v>9.0000000000000018</v>
      </c>
      <c r="R9" s="4">
        <v>15.999999999999998</v>
      </c>
      <c r="S9" s="4">
        <v>3</v>
      </c>
      <c r="T9" s="4">
        <v>9.0000000000000018</v>
      </c>
      <c r="U9" s="4">
        <v>9.0000000000000018</v>
      </c>
      <c r="W9" s="4">
        <v>9.0000000000000018</v>
      </c>
      <c r="X9" s="4">
        <v>9</v>
      </c>
      <c r="Z9" s="4">
        <v>9.0000000000000018</v>
      </c>
      <c r="AB9" s="4">
        <v>8.9999999999999982</v>
      </c>
      <c r="AC9" s="4">
        <v>222</v>
      </c>
    </row>
    <row r="10" spans="1:29" x14ac:dyDescent="0.3">
      <c r="A10" s="4" t="s">
        <v>1201</v>
      </c>
      <c r="B10" s="4">
        <v>53.999999999999986</v>
      </c>
      <c r="C10" s="4">
        <v>47</v>
      </c>
      <c r="D10" s="4">
        <v>39.000000000000007</v>
      </c>
      <c r="E10" s="4">
        <v>38</v>
      </c>
      <c r="F10" s="4">
        <v>38</v>
      </c>
      <c r="G10" s="4">
        <v>36.500000000000007</v>
      </c>
      <c r="H10" s="4">
        <v>36.000000000000007</v>
      </c>
      <c r="I10" s="4">
        <v>36.000000000000007</v>
      </c>
      <c r="J10" s="4">
        <v>36.000000000000007</v>
      </c>
      <c r="K10" s="4">
        <v>36.000000000000007</v>
      </c>
      <c r="L10" s="4">
        <v>36.000000000000007</v>
      </c>
      <c r="M10" s="4">
        <v>36.000000000000007</v>
      </c>
      <c r="N10" s="4">
        <v>36.000000000000007</v>
      </c>
      <c r="O10" s="4">
        <v>36</v>
      </c>
      <c r="P10" s="4">
        <v>35.999999999999993</v>
      </c>
      <c r="Q10" s="4">
        <v>35.999999999999993</v>
      </c>
      <c r="R10" s="4">
        <v>34</v>
      </c>
      <c r="S10" s="4">
        <v>30.500000000000007</v>
      </c>
      <c r="T10" s="4">
        <v>27.000000000000007</v>
      </c>
      <c r="U10" s="4">
        <v>27</v>
      </c>
      <c r="V10" s="4">
        <v>26.999999999999993</v>
      </c>
      <c r="W10" s="4">
        <v>25.000000000000007</v>
      </c>
      <c r="X10" s="4">
        <v>25.000000000000004</v>
      </c>
      <c r="Y10" s="4">
        <v>25</v>
      </c>
      <c r="Z10" s="4">
        <v>18</v>
      </c>
      <c r="AA10" s="4">
        <v>17.999999999999996</v>
      </c>
      <c r="AB10" s="4">
        <v>17.999999999999996</v>
      </c>
      <c r="AC10" s="4">
        <v>887</v>
      </c>
    </row>
    <row r="11" spans="1:29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29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x14ac:dyDescent="0.3">
      <c r="A13"/>
      <c r="B13"/>
      <c r="C13"/>
      <c r="D13"/>
    </row>
    <row r="14" spans="1:29" x14ac:dyDescent="0.3">
      <c r="A14"/>
      <c r="B14"/>
      <c r="C14"/>
      <c r="D14"/>
    </row>
    <row r="15" spans="1:29" x14ac:dyDescent="0.3">
      <c r="A15"/>
      <c r="B15"/>
      <c r="C15"/>
      <c r="D15"/>
    </row>
    <row r="16" spans="1:29" x14ac:dyDescent="0.3">
      <c r="A16"/>
      <c r="B16"/>
      <c r="C16"/>
      <c r="D16"/>
    </row>
    <row r="17" spans="1:4" x14ac:dyDescent="0.3">
      <c r="A17"/>
      <c r="B17"/>
      <c r="C17"/>
      <c r="D17"/>
    </row>
    <row r="18" spans="1:4" x14ac:dyDescent="0.3">
      <c r="A18"/>
      <c r="B18"/>
      <c r="C18"/>
      <c r="D18"/>
    </row>
    <row r="19" spans="1:4" x14ac:dyDescent="0.3">
      <c r="A19"/>
      <c r="B19"/>
      <c r="C19"/>
      <c r="D19"/>
    </row>
    <row r="20" spans="1:4" x14ac:dyDescent="0.3">
      <c r="A20"/>
      <c r="B20"/>
      <c r="C20"/>
      <c r="D20"/>
    </row>
    <row r="21" spans="1:4" x14ac:dyDescent="0.3">
      <c r="A21"/>
      <c r="B21"/>
      <c r="C21"/>
      <c r="D21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  <row r="33" spans="1:4" x14ac:dyDescent="0.3">
      <c r="A33"/>
      <c r="B33"/>
      <c r="C33"/>
      <c r="D33"/>
    </row>
    <row r="34" spans="1:4" x14ac:dyDescent="0.3">
      <c r="A34"/>
      <c r="B34"/>
      <c r="C34"/>
      <c r="D34"/>
    </row>
    <row r="35" spans="1:4" x14ac:dyDescent="0.3">
      <c r="A35"/>
      <c r="B35"/>
      <c r="C35"/>
      <c r="D35"/>
    </row>
    <row r="36" spans="1:4" x14ac:dyDescent="0.3">
      <c r="A36"/>
      <c r="B36"/>
      <c r="C36"/>
      <c r="D36"/>
    </row>
    <row r="37" spans="1:4" x14ac:dyDescent="0.3">
      <c r="A37"/>
      <c r="B37"/>
      <c r="C37"/>
      <c r="D37"/>
    </row>
    <row r="38" spans="1:4" x14ac:dyDescent="0.3">
      <c r="A38"/>
      <c r="B38"/>
      <c r="C38"/>
      <c r="D38"/>
    </row>
    <row r="39" spans="1:4" x14ac:dyDescent="0.3">
      <c r="A39"/>
      <c r="B39"/>
      <c r="C39"/>
      <c r="D39"/>
    </row>
    <row r="40" spans="1:4" x14ac:dyDescent="0.3">
      <c r="A40"/>
      <c r="B40"/>
      <c r="C40"/>
      <c r="D40"/>
    </row>
    <row r="41" spans="1:4" x14ac:dyDescent="0.3">
      <c r="A41"/>
      <c r="B41"/>
      <c r="C41"/>
      <c r="D41"/>
    </row>
    <row r="42" spans="1:4" x14ac:dyDescent="0.3">
      <c r="A42"/>
      <c r="B42"/>
      <c r="C42"/>
      <c r="D42"/>
    </row>
    <row r="43" spans="1:4" x14ac:dyDescent="0.3">
      <c r="A43"/>
      <c r="B43"/>
      <c r="C43"/>
      <c r="D43"/>
    </row>
    <row r="44" spans="1:4" x14ac:dyDescent="0.3">
      <c r="A44"/>
      <c r="B44"/>
      <c r="C44"/>
      <c r="D44"/>
    </row>
    <row r="45" spans="1:4" x14ac:dyDescent="0.3">
      <c r="A45"/>
      <c r="B45"/>
      <c r="C45"/>
      <c r="D45"/>
    </row>
    <row r="46" spans="1:4" x14ac:dyDescent="0.3">
      <c r="A46"/>
      <c r="B46"/>
      <c r="C46"/>
      <c r="D46"/>
    </row>
    <row r="47" spans="1:4" x14ac:dyDescent="0.3">
      <c r="A47"/>
      <c r="B47"/>
      <c r="C47"/>
      <c r="D47"/>
    </row>
    <row r="48" spans="1:4" x14ac:dyDescent="0.3">
      <c r="A48"/>
      <c r="B48"/>
      <c r="C48"/>
      <c r="D48"/>
    </row>
    <row r="49" spans="1:4" x14ac:dyDescent="0.3">
      <c r="A49"/>
      <c r="B49"/>
      <c r="C49"/>
      <c r="D49"/>
    </row>
    <row r="50" spans="1:4" x14ac:dyDescent="0.3">
      <c r="A50"/>
      <c r="B50"/>
      <c r="C50"/>
      <c r="D50"/>
    </row>
    <row r="51" spans="1:4" x14ac:dyDescent="0.3">
      <c r="A51"/>
      <c r="B51"/>
      <c r="C51"/>
      <c r="D51"/>
    </row>
    <row r="52" spans="1:4" x14ac:dyDescent="0.3">
      <c r="A52"/>
      <c r="B52"/>
      <c r="C52"/>
      <c r="D52"/>
    </row>
    <row r="53" spans="1:4" x14ac:dyDescent="0.3">
      <c r="A53"/>
      <c r="B53"/>
      <c r="C53"/>
      <c r="D53"/>
    </row>
    <row r="54" spans="1:4" x14ac:dyDescent="0.3">
      <c r="A54"/>
      <c r="B54"/>
      <c r="C54"/>
      <c r="D54"/>
    </row>
    <row r="55" spans="1:4" x14ac:dyDescent="0.3">
      <c r="A55"/>
      <c r="B55"/>
      <c r="C55"/>
      <c r="D55"/>
    </row>
    <row r="56" spans="1:4" x14ac:dyDescent="0.3">
      <c r="A56"/>
      <c r="B56"/>
      <c r="C56"/>
      <c r="D56"/>
    </row>
    <row r="57" spans="1:4" x14ac:dyDescent="0.3">
      <c r="A57"/>
      <c r="B57"/>
      <c r="C57"/>
      <c r="D57"/>
    </row>
    <row r="58" spans="1:4" x14ac:dyDescent="0.3">
      <c r="A58"/>
      <c r="B58"/>
      <c r="C58"/>
      <c r="D58"/>
    </row>
    <row r="59" spans="1:4" x14ac:dyDescent="0.3">
      <c r="A59"/>
      <c r="B59"/>
      <c r="C59"/>
      <c r="D59"/>
    </row>
    <row r="60" spans="1:4" x14ac:dyDescent="0.3">
      <c r="A60"/>
      <c r="B60"/>
      <c r="C60"/>
      <c r="D60"/>
    </row>
    <row r="61" spans="1:4" x14ac:dyDescent="0.3">
      <c r="A61"/>
      <c r="B61"/>
      <c r="C61"/>
      <c r="D61"/>
    </row>
    <row r="62" spans="1:4" x14ac:dyDescent="0.3">
      <c r="A62"/>
      <c r="B62"/>
      <c r="C62"/>
      <c r="D62"/>
    </row>
    <row r="63" spans="1:4" x14ac:dyDescent="0.3">
      <c r="A63"/>
      <c r="B63"/>
      <c r="C63"/>
      <c r="D63"/>
    </row>
    <row r="64" spans="1:4" x14ac:dyDescent="0.3">
      <c r="A64"/>
      <c r="B64"/>
      <c r="C64"/>
      <c r="D64"/>
    </row>
    <row r="65" spans="1:4" x14ac:dyDescent="0.3">
      <c r="A65"/>
      <c r="B65"/>
      <c r="C65"/>
      <c r="D65"/>
    </row>
    <row r="66" spans="1:4" x14ac:dyDescent="0.3">
      <c r="A66"/>
      <c r="B66"/>
      <c r="C66"/>
      <c r="D66"/>
    </row>
    <row r="67" spans="1:4" x14ac:dyDescent="0.3">
      <c r="A67"/>
      <c r="B67"/>
      <c r="C67"/>
      <c r="D67"/>
    </row>
    <row r="68" spans="1:4" x14ac:dyDescent="0.3">
      <c r="A68"/>
      <c r="B68"/>
      <c r="C68"/>
      <c r="D68"/>
    </row>
    <row r="69" spans="1:4" x14ac:dyDescent="0.3">
      <c r="A69"/>
      <c r="B69"/>
      <c r="C69"/>
      <c r="D69"/>
    </row>
    <row r="70" spans="1:4" x14ac:dyDescent="0.3">
      <c r="A70"/>
      <c r="B70"/>
      <c r="C70"/>
      <c r="D70"/>
    </row>
    <row r="71" spans="1:4" x14ac:dyDescent="0.3">
      <c r="A71"/>
      <c r="B71"/>
      <c r="C71"/>
      <c r="D71"/>
    </row>
    <row r="72" spans="1:4" x14ac:dyDescent="0.3">
      <c r="A72"/>
      <c r="B72"/>
      <c r="C72"/>
      <c r="D72"/>
    </row>
    <row r="73" spans="1:4" x14ac:dyDescent="0.3">
      <c r="A73"/>
      <c r="B73"/>
      <c r="C73"/>
      <c r="D73"/>
    </row>
    <row r="74" spans="1:4" x14ac:dyDescent="0.3">
      <c r="A74"/>
      <c r="B74"/>
      <c r="C74"/>
      <c r="D74"/>
    </row>
    <row r="75" spans="1:4" x14ac:dyDescent="0.3">
      <c r="A75"/>
      <c r="B75"/>
      <c r="C75"/>
      <c r="D75"/>
    </row>
    <row r="76" spans="1:4" x14ac:dyDescent="0.3">
      <c r="A76"/>
      <c r="B76"/>
      <c r="C76"/>
      <c r="D76"/>
    </row>
    <row r="77" spans="1:4" x14ac:dyDescent="0.3">
      <c r="A77"/>
      <c r="B77"/>
      <c r="C77"/>
      <c r="D77"/>
    </row>
    <row r="78" spans="1:4" x14ac:dyDescent="0.3">
      <c r="A78"/>
      <c r="B78"/>
      <c r="C78"/>
      <c r="D78"/>
    </row>
    <row r="79" spans="1:4" x14ac:dyDescent="0.3">
      <c r="A79"/>
      <c r="B79"/>
      <c r="C79"/>
      <c r="D79"/>
    </row>
    <row r="80" spans="1:4" x14ac:dyDescent="0.3">
      <c r="A80"/>
      <c r="B80"/>
      <c r="C80"/>
      <c r="D80"/>
    </row>
    <row r="81" spans="1:4" x14ac:dyDescent="0.3">
      <c r="A81"/>
      <c r="B81"/>
      <c r="C81"/>
      <c r="D81"/>
    </row>
    <row r="82" spans="1:4" x14ac:dyDescent="0.3">
      <c r="A82"/>
      <c r="B82"/>
      <c r="C82"/>
      <c r="D82"/>
    </row>
    <row r="83" spans="1:4" x14ac:dyDescent="0.3">
      <c r="A83"/>
      <c r="B83"/>
      <c r="C83"/>
      <c r="D83"/>
    </row>
    <row r="84" spans="1:4" x14ac:dyDescent="0.3">
      <c r="A84"/>
      <c r="B84"/>
      <c r="C84"/>
      <c r="D84"/>
    </row>
    <row r="85" spans="1:4" x14ac:dyDescent="0.3">
      <c r="A85"/>
      <c r="B85"/>
      <c r="C85"/>
      <c r="D85"/>
    </row>
    <row r="86" spans="1:4" x14ac:dyDescent="0.3">
      <c r="A86"/>
      <c r="B86"/>
      <c r="C86"/>
      <c r="D86"/>
    </row>
    <row r="87" spans="1:4" x14ac:dyDescent="0.3">
      <c r="A87"/>
      <c r="B87"/>
      <c r="C87"/>
      <c r="D87"/>
    </row>
    <row r="88" spans="1:4" x14ac:dyDescent="0.3">
      <c r="A88"/>
      <c r="B88"/>
      <c r="C88"/>
      <c r="D88"/>
    </row>
    <row r="89" spans="1:4" x14ac:dyDescent="0.3">
      <c r="A89"/>
      <c r="B89"/>
      <c r="C89"/>
      <c r="D89"/>
    </row>
    <row r="90" spans="1:4" x14ac:dyDescent="0.3">
      <c r="A90"/>
      <c r="B90"/>
      <c r="C90"/>
      <c r="D90"/>
    </row>
    <row r="91" spans="1:4" x14ac:dyDescent="0.3">
      <c r="A91"/>
      <c r="B91"/>
      <c r="C91"/>
      <c r="D91"/>
    </row>
    <row r="92" spans="1:4" x14ac:dyDescent="0.3">
      <c r="A92"/>
      <c r="B92"/>
      <c r="C92"/>
      <c r="D92"/>
    </row>
    <row r="93" spans="1:4" x14ac:dyDescent="0.3">
      <c r="A93"/>
      <c r="B93"/>
      <c r="C93"/>
      <c r="D93"/>
    </row>
    <row r="94" spans="1:4" x14ac:dyDescent="0.3">
      <c r="A94"/>
      <c r="B94"/>
      <c r="C94"/>
      <c r="D94"/>
    </row>
    <row r="95" spans="1:4" x14ac:dyDescent="0.3">
      <c r="A95"/>
      <c r="B95"/>
      <c r="C95"/>
      <c r="D95"/>
    </row>
    <row r="96" spans="1:4" x14ac:dyDescent="0.3">
      <c r="A96"/>
      <c r="B96"/>
      <c r="C96"/>
      <c r="D96"/>
    </row>
    <row r="97" spans="1:4" x14ac:dyDescent="0.3">
      <c r="A97"/>
      <c r="B97"/>
      <c r="C97"/>
      <c r="D97"/>
    </row>
    <row r="98" spans="1:4" x14ac:dyDescent="0.3">
      <c r="A98"/>
      <c r="B98"/>
      <c r="C98"/>
      <c r="D98"/>
    </row>
    <row r="99" spans="1:4" x14ac:dyDescent="0.3">
      <c r="A99"/>
      <c r="B99"/>
      <c r="C99"/>
      <c r="D99"/>
    </row>
    <row r="100" spans="1:4" x14ac:dyDescent="0.3">
      <c r="A100"/>
      <c r="B100"/>
      <c r="C100"/>
      <c r="D100"/>
    </row>
    <row r="101" spans="1:4" x14ac:dyDescent="0.3">
      <c r="A101"/>
      <c r="B101"/>
      <c r="C101"/>
      <c r="D101"/>
    </row>
    <row r="102" spans="1:4" x14ac:dyDescent="0.3">
      <c r="A102"/>
      <c r="B102"/>
      <c r="C102"/>
      <c r="D102"/>
    </row>
    <row r="103" spans="1:4" x14ac:dyDescent="0.3">
      <c r="A103"/>
      <c r="B103"/>
      <c r="C103"/>
      <c r="D103"/>
    </row>
    <row r="104" spans="1:4" x14ac:dyDescent="0.3">
      <c r="A104"/>
      <c r="B104"/>
      <c r="C104"/>
      <c r="D104"/>
    </row>
    <row r="105" spans="1:4" x14ac:dyDescent="0.3">
      <c r="A105"/>
      <c r="B105"/>
      <c r="C105"/>
      <c r="D105"/>
    </row>
    <row r="106" spans="1:4" x14ac:dyDescent="0.3">
      <c r="A106"/>
      <c r="B106"/>
      <c r="C106"/>
      <c r="D106"/>
    </row>
    <row r="107" spans="1:4" x14ac:dyDescent="0.3">
      <c r="A107"/>
      <c r="B107"/>
      <c r="C107"/>
      <c r="D107"/>
    </row>
    <row r="108" spans="1:4" x14ac:dyDescent="0.3">
      <c r="A108"/>
      <c r="B108"/>
      <c r="C108"/>
      <c r="D108"/>
    </row>
    <row r="109" spans="1:4" x14ac:dyDescent="0.3">
      <c r="A109"/>
      <c r="B109"/>
      <c r="C109"/>
      <c r="D109"/>
    </row>
    <row r="110" spans="1:4" x14ac:dyDescent="0.3">
      <c r="A110"/>
      <c r="B110"/>
      <c r="C110"/>
      <c r="D110"/>
    </row>
    <row r="111" spans="1:4" x14ac:dyDescent="0.3">
      <c r="A111"/>
      <c r="B111"/>
      <c r="C111"/>
      <c r="D111"/>
    </row>
    <row r="112" spans="1:4" x14ac:dyDescent="0.3">
      <c r="A112"/>
      <c r="B112"/>
      <c r="C112"/>
      <c r="D112"/>
    </row>
    <row r="113" spans="1:4" x14ac:dyDescent="0.3">
      <c r="A113"/>
      <c r="B113"/>
      <c r="C113"/>
      <c r="D113"/>
    </row>
    <row r="114" spans="1:4" x14ac:dyDescent="0.3">
      <c r="A114"/>
      <c r="B114"/>
      <c r="C114"/>
      <c r="D114"/>
    </row>
    <row r="115" spans="1:4" x14ac:dyDescent="0.3">
      <c r="A115"/>
      <c r="B115"/>
      <c r="C115"/>
      <c r="D115"/>
    </row>
    <row r="116" spans="1:4" x14ac:dyDescent="0.3">
      <c r="A116"/>
      <c r="B116"/>
      <c r="C116"/>
      <c r="D116"/>
    </row>
    <row r="117" spans="1:4" x14ac:dyDescent="0.3">
      <c r="A117"/>
      <c r="B117"/>
      <c r="C117"/>
      <c r="D117"/>
    </row>
    <row r="118" spans="1:4" x14ac:dyDescent="0.3">
      <c r="A118"/>
      <c r="B118"/>
      <c r="C118"/>
      <c r="D118"/>
    </row>
    <row r="119" spans="1:4" x14ac:dyDescent="0.3">
      <c r="A119"/>
      <c r="B119"/>
      <c r="C119"/>
      <c r="D119"/>
    </row>
    <row r="120" spans="1:4" x14ac:dyDescent="0.3">
      <c r="A120"/>
      <c r="B120"/>
      <c r="C120"/>
      <c r="D120"/>
    </row>
    <row r="121" spans="1:4" x14ac:dyDescent="0.3">
      <c r="A121"/>
      <c r="B121"/>
      <c r="C121"/>
      <c r="D121"/>
    </row>
    <row r="122" spans="1:4" x14ac:dyDescent="0.3">
      <c r="A122"/>
      <c r="B122"/>
      <c r="C122"/>
      <c r="D122"/>
    </row>
    <row r="123" spans="1:4" x14ac:dyDescent="0.3">
      <c r="A123"/>
      <c r="B123"/>
      <c r="C123"/>
      <c r="D123"/>
    </row>
    <row r="124" spans="1:4" x14ac:dyDescent="0.3">
      <c r="A124"/>
      <c r="B124"/>
      <c r="C124"/>
      <c r="D124"/>
    </row>
    <row r="125" spans="1:4" x14ac:dyDescent="0.3">
      <c r="A125"/>
      <c r="B125"/>
      <c r="C125"/>
      <c r="D125"/>
    </row>
    <row r="126" spans="1:4" x14ac:dyDescent="0.3">
      <c r="A126"/>
      <c r="B126"/>
      <c r="C126"/>
      <c r="D126"/>
    </row>
    <row r="127" spans="1:4" x14ac:dyDescent="0.3">
      <c r="A127"/>
      <c r="B127"/>
      <c r="C127"/>
      <c r="D127"/>
    </row>
    <row r="128" spans="1:4" x14ac:dyDescent="0.3">
      <c r="A128"/>
      <c r="B128"/>
      <c r="C128"/>
      <c r="D128"/>
    </row>
    <row r="129" spans="1:4" x14ac:dyDescent="0.3">
      <c r="A129"/>
      <c r="B129"/>
      <c r="C129"/>
      <c r="D129"/>
    </row>
    <row r="130" spans="1:4" x14ac:dyDescent="0.3">
      <c r="A130"/>
      <c r="B130"/>
      <c r="C130"/>
      <c r="D130"/>
    </row>
    <row r="131" spans="1:4" x14ac:dyDescent="0.3">
      <c r="A131"/>
      <c r="B131"/>
      <c r="C131"/>
      <c r="D131"/>
    </row>
    <row r="132" spans="1:4" x14ac:dyDescent="0.3">
      <c r="A132"/>
      <c r="B132"/>
      <c r="C132"/>
      <c r="D132"/>
    </row>
    <row r="133" spans="1:4" x14ac:dyDescent="0.3">
      <c r="A133"/>
      <c r="B133"/>
      <c r="C133"/>
      <c r="D133"/>
    </row>
    <row r="134" spans="1:4" x14ac:dyDescent="0.3">
      <c r="A134"/>
      <c r="B134"/>
      <c r="C134"/>
      <c r="D134"/>
    </row>
    <row r="135" spans="1:4" x14ac:dyDescent="0.3">
      <c r="A135"/>
      <c r="B135"/>
      <c r="C135"/>
      <c r="D135"/>
    </row>
    <row r="136" spans="1:4" x14ac:dyDescent="0.3">
      <c r="A136"/>
      <c r="B136"/>
      <c r="C136"/>
      <c r="D136"/>
    </row>
    <row r="137" spans="1:4" x14ac:dyDescent="0.3">
      <c r="A137"/>
      <c r="B137"/>
      <c r="C137"/>
      <c r="D137"/>
    </row>
    <row r="138" spans="1:4" x14ac:dyDescent="0.3">
      <c r="A138"/>
      <c r="B138"/>
      <c r="C138"/>
      <c r="D138"/>
    </row>
    <row r="139" spans="1:4" x14ac:dyDescent="0.3">
      <c r="A139"/>
      <c r="B139"/>
      <c r="C139"/>
      <c r="D139"/>
    </row>
    <row r="140" spans="1:4" x14ac:dyDescent="0.3">
      <c r="A140"/>
      <c r="B140"/>
      <c r="C140"/>
      <c r="D140"/>
    </row>
    <row r="141" spans="1:4" x14ac:dyDescent="0.3">
      <c r="A141"/>
      <c r="B141"/>
      <c r="C141"/>
      <c r="D141"/>
    </row>
    <row r="142" spans="1:4" x14ac:dyDescent="0.3">
      <c r="A142"/>
      <c r="B142"/>
      <c r="C142"/>
      <c r="D142"/>
    </row>
    <row r="143" spans="1:4" x14ac:dyDescent="0.3">
      <c r="A143"/>
      <c r="B143"/>
      <c r="C143"/>
      <c r="D143"/>
    </row>
    <row r="144" spans="1:4" x14ac:dyDescent="0.3">
      <c r="A144"/>
      <c r="B144"/>
      <c r="C144"/>
      <c r="D144"/>
    </row>
    <row r="145" spans="1:4" x14ac:dyDescent="0.3">
      <c r="A145"/>
      <c r="B145"/>
      <c r="C145"/>
      <c r="D145"/>
    </row>
    <row r="146" spans="1:4" x14ac:dyDescent="0.3">
      <c r="A146"/>
      <c r="B146"/>
      <c r="C146"/>
      <c r="D146"/>
    </row>
    <row r="147" spans="1:4" x14ac:dyDescent="0.3">
      <c r="A147"/>
      <c r="B147"/>
      <c r="C147"/>
      <c r="D147"/>
    </row>
    <row r="148" spans="1:4" x14ac:dyDescent="0.3">
      <c r="A148"/>
      <c r="B148"/>
      <c r="C148"/>
      <c r="D148"/>
    </row>
    <row r="149" spans="1:4" x14ac:dyDescent="0.3">
      <c r="A149"/>
      <c r="B149"/>
      <c r="C149"/>
      <c r="D149"/>
    </row>
    <row r="150" spans="1:4" x14ac:dyDescent="0.3">
      <c r="A150"/>
      <c r="B150"/>
      <c r="C150"/>
      <c r="D150"/>
    </row>
    <row r="151" spans="1:4" x14ac:dyDescent="0.3">
      <c r="A151"/>
      <c r="B151"/>
      <c r="C151"/>
      <c r="D151"/>
    </row>
    <row r="152" spans="1:4" x14ac:dyDescent="0.3">
      <c r="A152"/>
      <c r="B152"/>
      <c r="C152"/>
      <c r="D152"/>
    </row>
    <row r="153" spans="1:4" x14ac:dyDescent="0.3">
      <c r="A153"/>
      <c r="B153"/>
      <c r="C153"/>
      <c r="D153"/>
    </row>
    <row r="154" spans="1:4" x14ac:dyDescent="0.3">
      <c r="A154"/>
      <c r="B154"/>
      <c r="C154"/>
      <c r="D154"/>
    </row>
    <row r="155" spans="1:4" x14ac:dyDescent="0.3">
      <c r="A155"/>
      <c r="B155"/>
      <c r="C155"/>
      <c r="D155"/>
    </row>
    <row r="156" spans="1:4" x14ac:dyDescent="0.3">
      <c r="A156"/>
      <c r="B156"/>
      <c r="C156"/>
      <c r="D156"/>
    </row>
    <row r="157" spans="1:4" x14ac:dyDescent="0.3">
      <c r="A157"/>
      <c r="B157"/>
      <c r="C157"/>
      <c r="D157"/>
    </row>
    <row r="158" spans="1:4" x14ac:dyDescent="0.3">
      <c r="A158"/>
      <c r="B158"/>
      <c r="C158"/>
      <c r="D158"/>
    </row>
    <row r="159" spans="1:4" x14ac:dyDescent="0.3">
      <c r="A159"/>
      <c r="B159"/>
      <c r="C159"/>
      <c r="D159"/>
    </row>
    <row r="160" spans="1:4" x14ac:dyDescent="0.3">
      <c r="A160"/>
      <c r="B160"/>
      <c r="C160"/>
      <c r="D160"/>
    </row>
    <row r="161" spans="1:4" x14ac:dyDescent="0.3">
      <c r="A161"/>
      <c r="B161"/>
      <c r="C161"/>
      <c r="D161"/>
    </row>
    <row r="162" spans="1:4" x14ac:dyDescent="0.3">
      <c r="A162"/>
      <c r="B162"/>
      <c r="C162"/>
      <c r="D162"/>
    </row>
    <row r="163" spans="1:4" x14ac:dyDescent="0.3">
      <c r="A163"/>
      <c r="B163"/>
      <c r="C163"/>
      <c r="D163"/>
    </row>
    <row r="164" spans="1:4" x14ac:dyDescent="0.3">
      <c r="A164"/>
      <c r="B164"/>
      <c r="C164"/>
      <c r="D164"/>
    </row>
    <row r="165" spans="1:4" x14ac:dyDescent="0.3">
      <c r="A165"/>
      <c r="B165"/>
      <c r="C165"/>
      <c r="D165"/>
    </row>
    <row r="166" spans="1:4" x14ac:dyDescent="0.3">
      <c r="A166"/>
      <c r="B166"/>
      <c r="C166"/>
      <c r="D166"/>
    </row>
    <row r="167" spans="1:4" x14ac:dyDescent="0.3">
      <c r="A167"/>
      <c r="B167"/>
      <c r="C167"/>
      <c r="D167"/>
    </row>
    <row r="168" spans="1:4" x14ac:dyDescent="0.3">
      <c r="A168"/>
      <c r="B168"/>
      <c r="C168"/>
      <c r="D168"/>
    </row>
    <row r="169" spans="1:4" x14ac:dyDescent="0.3">
      <c r="A169"/>
      <c r="B169"/>
      <c r="C169"/>
      <c r="D169"/>
    </row>
    <row r="170" spans="1:4" x14ac:dyDescent="0.3">
      <c r="A170"/>
      <c r="B170"/>
      <c r="C170"/>
      <c r="D170"/>
    </row>
    <row r="171" spans="1:4" x14ac:dyDescent="0.3">
      <c r="A171"/>
      <c r="B171"/>
      <c r="C171"/>
      <c r="D171"/>
    </row>
    <row r="172" spans="1:4" x14ac:dyDescent="0.3">
      <c r="A172"/>
      <c r="B172"/>
      <c r="C172"/>
      <c r="D172"/>
    </row>
    <row r="173" spans="1:4" x14ac:dyDescent="0.3">
      <c r="A173"/>
      <c r="B173"/>
      <c r="C173"/>
      <c r="D173"/>
    </row>
    <row r="174" spans="1:4" x14ac:dyDescent="0.3">
      <c r="A174"/>
      <c r="B174"/>
      <c r="C174"/>
      <c r="D174"/>
    </row>
    <row r="175" spans="1:4" x14ac:dyDescent="0.3">
      <c r="A175"/>
      <c r="B175"/>
      <c r="C175"/>
      <c r="D175"/>
    </row>
    <row r="176" spans="1:4" x14ac:dyDescent="0.3">
      <c r="A176"/>
      <c r="B176"/>
      <c r="C176"/>
      <c r="D176"/>
    </row>
    <row r="177" spans="1:4" x14ac:dyDescent="0.3">
      <c r="A177"/>
      <c r="B177"/>
      <c r="C177"/>
      <c r="D177"/>
    </row>
    <row r="178" spans="1:4" x14ac:dyDescent="0.3">
      <c r="A178"/>
      <c r="B178"/>
      <c r="C178"/>
      <c r="D178"/>
    </row>
    <row r="179" spans="1:4" x14ac:dyDescent="0.3">
      <c r="A179"/>
      <c r="B179"/>
      <c r="C179"/>
      <c r="D179"/>
    </row>
    <row r="180" spans="1:4" x14ac:dyDescent="0.3">
      <c r="A180"/>
      <c r="B180"/>
      <c r="C180"/>
      <c r="D180"/>
    </row>
    <row r="181" spans="1:4" x14ac:dyDescent="0.3">
      <c r="A181"/>
      <c r="B181"/>
      <c r="C181"/>
      <c r="D181"/>
    </row>
    <row r="182" spans="1:4" x14ac:dyDescent="0.3">
      <c r="A182"/>
      <c r="B182"/>
      <c r="C182"/>
      <c r="D182"/>
    </row>
    <row r="183" spans="1:4" x14ac:dyDescent="0.3">
      <c r="A183"/>
      <c r="B183"/>
      <c r="C183"/>
      <c r="D183"/>
    </row>
    <row r="184" spans="1:4" x14ac:dyDescent="0.3">
      <c r="A184"/>
      <c r="B184"/>
      <c r="C184"/>
      <c r="D184"/>
    </row>
    <row r="185" spans="1:4" x14ac:dyDescent="0.3">
      <c r="A185"/>
      <c r="B185"/>
      <c r="C185"/>
      <c r="D185"/>
    </row>
    <row r="186" spans="1:4" x14ac:dyDescent="0.3">
      <c r="A186"/>
      <c r="B186"/>
      <c r="C186"/>
      <c r="D186"/>
    </row>
    <row r="187" spans="1:4" x14ac:dyDescent="0.3">
      <c r="A187"/>
      <c r="B187"/>
      <c r="C187"/>
      <c r="D187"/>
    </row>
    <row r="188" spans="1:4" x14ac:dyDescent="0.3">
      <c r="A188"/>
      <c r="B188"/>
      <c r="C188"/>
      <c r="D188"/>
    </row>
    <row r="189" spans="1:4" x14ac:dyDescent="0.3">
      <c r="A189"/>
      <c r="B189"/>
      <c r="C189"/>
      <c r="D189"/>
    </row>
    <row r="190" spans="1:4" x14ac:dyDescent="0.3">
      <c r="A190"/>
      <c r="B190"/>
      <c r="C190"/>
      <c r="D190"/>
    </row>
    <row r="191" spans="1:4" x14ac:dyDescent="0.3">
      <c r="A191"/>
      <c r="B191"/>
      <c r="C191"/>
      <c r="D191"/>
    </row>
    <row r="192" spans="1:4" x14ac:dyDescent="0.3">
      <c r="A192"/>
      <c r="B192"/>
      <c r="C192"/>
      <c r="D192"/>
    </row>
    <row r="193" spans="1:4" x14ac:dyDescent="0.3">
      <c r="A193"/>
      <c r="B193"/>
      <c r="C193"/>
      <c r="D193"/>
    </row>
    <row r="194" spans="1:4" x14ac:dyDescent="0.3">
      <c r="A194"/>
      <c r="B194"/>
      <c r="C194"/>
      <c r="D194"/>
    </row>
    <row r="195" spans="1:4" x14ac:dyDescent="0.3">
      <c r="A195"/>
      <c r="B195"/>
      <c r="C195"/>
      <c r="D195"/>
    </row>
    <row r="196" spans="1:4" x14ac:dyDescent="0.3">
      <c r="A196"/>
      <c r="B196"/>
      <c r="C196"/>
      <c r="D196"/>
    </row>
    <row r="197" spans="1:4" x14ac:dyDescent="0.3">
      <c r="A197"/>
      <c r="B197"/>
      <c r="C197"/>
      <c r="D197"/>
    </row>
    <row r="198" spans="1:4" x14ac:dyDescent="0.3">
      <c r="A198"/>
      <c r="B198"/>
      <c r="C198"/>
      <c r="D198"/>
    </row>
    <row r="199" spans="1:4" x14ac:dyDescent="0.3">
      <c r="A199"/>
      <c r="B199"/>
      <c r="C199"/>
      <c r="D199"/>
    </row>
    <row r="200" spans="1:4" x14ac:dyDescent="0.3">
      <c r="A200"/>
      <c r="B200"/>
      <c r="C200"/>
      <c r="D200"/>
    </row>
    <row r="201" spans="1:4" x14ac:dyDescent="0.3">
      <c r="A201"/>
      <c r="B201"/>
      <c r="C201"/>
      <c r="D201"/>
    </row>
    <row r="202" spans="1:4" x14ac:dyDescent="0.3">
      <c r="A202"/>
      <c r="B202"/>
      <c r="C202"/>
      <c r="D202"/>
    </row>
    <row r="203" spans="1:4" x14ac:dyDescent="0.3">
      <c r="A203"/>
      <c r="B203"/>
      <c r="C203"/>
      <c r="D203"/>
    </row>
    <row r="204" spans="1:4" x14ac:dyDescent="0.3">
      <c r="A204"/>
      <c r="B204"/>
      <c r="C204"/>
      <c r="D204"/>
    </row>
    <row r="205" spans="1:4" x14ac:dyDescent="0.3">
      <c r="A205"/>
      <c r="B205"/>
      <c r="C205"/>
      <c r="D205"/>
    </row>
    <row r="206" spans="1:4" x14ac:dyDescent="0.3">
      <c r="A206"/>
      <c r="B206"/>
      <c r="C206"/>
      <c r="D206"/>
    </row>
    <row r="207" spans="1:4" x14ac:dyDescent="0.3">
      <c r="A207"/>
      <c r="B207"/>
      <c r="C207"/>
      <c r="D207"/>
    </row>
    <row r="208" spans="1:4" x14ac:dyDescent="0.3">
      <c r="A208"/>
      <c r="B208"/>
      <c r="C208"/>
      <c r="D208"/>
    </row>
    <row r="209" spans="1:4" x14ac:dyDescent="0.3">
      <c r="A209"/>
      <c r="B209"/>
      <c r="C209"/>
      <c r="D209"/>
    </row>
    <row r="210" spans="1:4" x14ac:dyDescent="0.3">
      <c r="A210"/>
      <c r="B210"/>
      <c r="C210"/>
      <c r="D210"/>
    </row>
    <row r="211" spans="1:4" x14ac:dyDescent="0.3">
      <c r="A211"/>
      <c r="B211"/>
      <c r="C211"/>
      <c r="D211"/>
    </row>
    <row r="212" spans="1:4" x14ac:dyDescent="0.3">
      <c r="A212"/>
      <c r="B212"/>
      <c r="C212"/>
      <c r="D212"/>
    </row>
    <row r="213" spans="1:4" x14ac:dyDescent="0.3">
      <c r="A213"/>
      <c r="B213"/>
      <c r="C213"/>
      <c r="D213"/>
    </row>
    <row r="214" spans="1:4" x14ac:dyDescent="0.3">
      <c r="A214"/>
      <c r="B214"/>
      <c r="C214"/>
      <c r="D214"/>
    </row>
    <row r="215" spans="1:4" x14ac:dyDescent="0.3">
      <c r="A215"/>
      <c r="B215"/>
      <c r="C215"/>
      <c r="D215"/>
    </row>
    <row r="216" spans="1:4" x14ac:dyDescent="0.3">
      <c r="A216"/>
      <c r="B216"/>
      <c r="C216"/>
      <c r="D216"/>
    </row>
    <row r="217" spans="1:4" x14ac:dyDescent="0.3">
      <c r="A217"/>
      <c r="B217"/>
      <c r="C217"/>
      <c r="D217"/>
    </row>
    <row r="218" spans="1:4" x14ac:dyDescent="0.3">
      <c r="A218"/>
      <c r="B218"/>
      <c r="C218"/>
      <c r="D218"/>
    </row>
    <row r="219" spans="1:4" x14ac:dyDescent="0.3">
      <c r="A219"/>
      <c r="B219"/>
      <c r="C219"/>
      <c r="D219"/>
    </row>
    <row r="220" spans="1:4" x14ac:dyDescent="0.3">
      <c r="A220"/>
      <c r="B220"/>
      <c r="C220"/>
      <c r="D220"/>
    </row>
    <row r="221" spans="1:4" x14ac:dyDescent="0.3">
      <c r="A221"/>
      <c r="B221"/>
      <c r="C221"/>
      <c r="D221"/>
    </row>
    <row r="222" spans="1:4" x14ac:dyDescent="0.3">
      <c r="A222"/>
      <c r="B222"/>
      <c r="C222"/>
      <c r="D222"/>
    </row>
    <row r="223" spans="1:4" x14ac:dyDescent="0.3">
      <c r="A223"/>
      <c r="B223"/>
      <c r="C223"/>
      <c r="D223"/>
    </row>
    <row r="224" spans="1:4" x14ac:dyDescent="0.3">
      <c r="A224"/>
      <c r="B224"/>
      <c r="C224"/>
      <c r="D224"/>
    </row>
    <row r="225" spans="1:4" x14ac:dyDescent="0.3">
      <c r="A225"/>
      <c r="B225"/>
      <c r="C225"/>
      <c r="D225"/>
    </row>
    <row r="226" spans="1:4" x14ac:dyDescent="0.3">
      <c r="A226"/>
      <c r="B226"/>
      <c r="C226"/>
      <c r="D226"/>
    </row>
    <row r="227" spans="1:4" x14ac:dyDescent="0.3">
      <c r="A227"/>
      <c r="B227"/>
      <c r="C227"/>
      <c r="D227"/>
    </row>
    <row r="228" spans="1:4" x14ac:dyDescent="0.3">
      <c r="A228"/>
      <c r="B228"/>
      <c r="C228"/>
      <c r="D228"/>
    </row>
    <row r="229" spans="1:4" x14ac:dyDescent="0.3">
      <c r="A229"/>
      <c r="B229"/>
      <c r="C229"/>
      <c r="D229"/>
    </row>
    <row r="230" spans="1:4" x14ac:dyDescent="0.3">
      <c r="A230"/>
      <c r="B230"/>
      <c r="C230"/>
      <c r="D230"/>
    </row>
    <row r="231" spans="1:4" x14ac:dyDescent="0.3">
      <c r="A231"/>
      <c r="B231"/>
      <c r="C231"/>
      <c r="D231"/>
    </row>
    <row r="232" spans="1:4" x14ac:dyDescent="0.3">
      <c r="A232"/>
      <c r="B232"/>
      <c r="C232"/>
      <c r="D232"/>
    </row>
    <row r="233" spans="1:4" x14ac:dyDescent="0.3">
      <c r="A233"/>
      <c r="B233"/>
      <c r="C233"/>
      <c r="D233"/>
    </row>
    <row r="234" spans="1:4" x14ac:dyDescent="0.3">
      <c r="A234"/>
      <c r="B234"/>
      <c r="C234"/>
      <c r="D234"/>
    </row>
    <row r="235" spans="1:4" x14ac:dyDescent="0.3">
      <c r="A235"/>
      <c r="B235"/>
      <c r="C235"/>
      <c r="D235"/>
    </row>
    <row r="236" spans="1:4" x14ac:dyDescent="0.3">
      <c r="A236"/>
      <c r="B236"/>
      <c r="C236"/>
      <c r="D236"/>
    </row>
    <row r="237" spans="1:4" x14ac:dyDescent="0.3">
      <c r="A237"/>
      <c r="B237"/>
      <c r="C237"/>
      <c r="D237"/>
    </row>
    <row r="238" spans="1:4" x14ac:dyDescent="0.3">
      <c r="A238"/>
      <c r="B238"/>
      <c r="C238"/>
      <c r="D238"/>
    </row>
    <row r="239" spans="1:4" x14ac:dyDescent="0.3">
      <c r="A239"/>
      <c r="B239"/>
      <c r="C239"/>
      <c r="D239"/>
    </row>
    <row r="240" spans="1:4" x14ac:dyDescent="0.3">
      <c r="A240"/>
      <c r="B240"/>
      <c r="C240"/>
      <c r="D240"/>
    </row>
    <row r="241" spans="1:4" x14ac:dyDescent="0.3">
      <c r="A241"/>
      <c r="B241"/>
      <c r="C241"/>
      <c r="D241"/>
    </row>
    <row r="242" spans="1:4" x14ac:dyDescent="0.3">
      <c r="A242"/>
      <c r="B242"/>
      <c r="C242"/>
      <c r="D242"/>
    </row>
    <row r="243" spans="1:4" x14ac:dyDescent="0.3">
      <c r="A243"/>
      <c r="B243"/>
      <c r="C243"/>
      <c r="D243"/>
    </row>
    <row r="244" spans="1:4" x14ac:dyDescent="0.3">
      <c r="A244"/>
      <c r="B244"/>
      <c r="C244"/>
      <c r="D244"/>
    </row>
    <row r="245" spans="1:4" x14ac:dyDescent="0.3">
      <c r="A245"/>
      <c r="B245"/>
      <c r="C245"/>
      <c r="D245"/>
    </row>
    <row r="246" spans="1:4" x14ac:dyDescent="0.3">
      <c r="A246"/>
      <c r="B246"/>
      <c r="C246"/>
      <c r="D246"/>
    </row>
    <row r="247" spans="1:4" x14ac:dyDescent="0.3">
      <c r="A247"/>
      <c r="B247"/>
      <c r="C247"/>
      <c r="D247"/>
    </row>
    <row r="248" spans="1:4" x14ac:dyDescent="0.3">
      <c r="A248"/>
      <c r="B248"/>
      <c r="C248"/>
      <c r="D248"/>
    </row>
    <row r="249" spans="1:4" x14ac:dyDescent="0.3">
      <c r="A249"/>
      <c r="B249"/>
      <c r="C249"/>
      <c r="D249"/>
    </row>
    <row r="250" spans="1:4" x14ac:dyDescent="0.3">
      <c r="A250"/>
      <c r="B250"/>
      <c r="C250"/>
      <c r="D250"/>
    </row>
    <row r="251" spans="1:4" x14ac:dyDescent="0.3">
      <c r="A251"/>
      <c r="B251"/>
      <c r="C251"/>
      <c r="D251"/>
    </row>
    <row r="252" spans="1:4" x14ac:dyDescent="0.3">
      <c r="A252"/>
      <c r="B252"/>
      <c r="C252"/>
      <c r="D252"/>
    </row>
    <row r="253" spans="1:4" x14ac:dyDescent="0.3">
      <c r="A253"/>
      <c r="B253"/>
      <c r="C253"/>
      <c r="D253"/>
    </row>
    <row r="254" spans="1:4" x14ac:dyDescent="0.3">
      <c r="A254"/>
      <c r="B254"/>
      <c r="C254"/>
      <c r="D254"/>
    </row>
    <row r="255" spans="1:4" x14ac:dyDescent="0.3">
      <c r="A255"/>
      <c r="B255"/>
      <c r="C255"/>
      <c r="D255"/>
    </row>
    <row r="256" spans="1:4" x14ac:dyDescent="0.3">
      <c r="A256"/>
      <c r="B256"/>
      <c r="C256"/>
      <c r="D256"/>
    </row>
    <row r="257" spans="1:4" x14ac:dyDescent="0.3">
      <c r="A257"/>
      <c r="B257"/>
      <c r="C257"/>
      <c r="D257"/>
    </row>
    <row r="258" spans="1:4" x14ac:dyDescent="0.3">
      <c r="A258"/>
      <c r="B258"/>
      <c r="C258"/>
      <c r="D258"/>
    </row>
    <row r="259" spans="1:4" x14ac:dyDescent="0.3">
      <c r="A259"/>
      <c r="B259"/>
      <c r="C259"/>
      <c r="D259"/>
    </row>
    <row r="260" spans="1:4" x14ac:dyDescent="0.3">
      <c r="A260"/>
      <c r="B260"/>
      <c r="C260"/>
      <c r="D260"/>
    </row>
    <row r="261" spans="1:4" x14ac:dyDescent="0.3">
      <c r="A261"/>
      <c r="B261"/>
      <c r="C261"/>
      <c r="D261"/>
    </row>
    <row r="262" spans="1:4" x14ac:dyDescent="0.3">
      <c r="A262"/>
      <c r="B262"/>
      <c r="C262"/>
      <c r="D262"/>
    </row>
    <row r="263" spans="1:4" x14ac:dyDescent="0.3">
      <c r="A263"/>
      <c r="B263"/>
      <c r="C263"/>
      <c r="D263"/>
    </row>
    <row r="264" spans="1:4" x14ac:dyDescent="0.3">
      <c r="A264"/>
      <c r="B264"/>
      <c r="C264"/>
      <c r="D264"/>
    </row>
    <row r="265" spans="1:4" x14ac:dyDescent="0.3">
      <c r="A265"/>
      <c r="B265"/>
      <c r="C265"/>
      <c r="D265"/>
    </row>
    <row r="266" spans="1:4" x14ac:dyDescent="0.3">
      <c r="A266"/>
      <c r="B266"/>
      <c r="C266"/>
      <c r="D266"/>
    </row>
    <row r="267" spans="1:4" x14ac:dyDescent="0.3">
      <c r="A267"/>
      <c r="B267"/>
      <c r="C267"/>
      <c r="D267"/>
    </row>
    <row r="268" spans="1:4" x14ac:dyDescent="0.3">
      <c r="A268"/>
      <c r="B268"/>
      <c r="C268"/>
      <c r="D268"/>
    </row>
    <row r="269" spans="1:4" x14ac:dyDescent="0.3">
      <c r="A269"/>
      <c r="B269"/>
      <c r="C269"/>
      <c r="D269"/>
    </row>
    <row r="270" spans="1:4" x14ac:dyDescent="0.3">
      <c r="A270"/>
      <c r="B270"/>
      <c r="C270"/>
      <c r="D270"/>
    </row>
    <row r="271" spans="1:4" x14ac:dyDescent="0.3">
      <c r="A271"/>
      <c r="B271"/>
      <c r="C271"/>
      <c r="D271"/>
    </row>
    <row r="272" spans="1:4" x14ac:dyDescent="0.3">
      <c r="A272"/>
      <c r="B272"/>
      <c r="C272"/>
      <c r="D272"/>
    </row>
    <row r="273" spans="1:4" x14ac:dyDescent="0.3">
      <c r="A273"/>
      <c r="B273"/>
      <c r="C273"/>
      <c r="D273"/>
    </row>
    <row r="274" spans="1:4" x14ac:dyDescent="0.3">
      <c r="A274"/>
      <c r="B274"/>
      <c r="C274"/>
      <c r="D274"/>
    </row>
    <row r="275" spans="1:4" x14ac:dyDescent="0.3">
      <c r="A275"/>
      <c r="B275"/>
      <c r="C275"/>
      <c r="D275"/>
    </row>
    <row r="276" spans="1:4" x14ac:dyDescent="0.3">
      <c r="A276"/>
      <c r="B276"/>
      <c r="C276"/>
      <c r="D276"/>
    </row>
    <row r="277" spans="1:4" x14ac:dyDescent="0.3">
      <c r="A277"/>
      <c r="B277"/>
      <c r="C277"/>
      <c r="D277"/>
    </row>
    <row r="278" spans="1:4" x14ac:dyDescent="0.3">
      <c r="A278"/>
      <c r="B278"/>
      <c r="C278"/>
      <c r="D278"/>
    </row>
    <row r="279" spans="1:4" x14ac:dyDescent="0.3">
      <c r="A279"/>
      <c r="B279"/>
      <c r="C279"/>
      <c r="D279"/>
    </row>
    <row r="280" spans="1:4" x14ac:dyDescent="0.3">
      <c r="A280"/>
      <c r="B280"/>
      <c r="C280"/>
      <c r="D280"/>
    </row>
    <row r="281" spans="1:4" x14ac:dyDescent="0.3">
      <c r="A281"/>
      <c r="B281"/>
      <c r="C281"/>
      <c r="D281"/>
    </row>
    <row r="282" spans="1:4" x14ac:dyDescent="0.3">
      <c r="A282"/>
      <c r="B282"/>
      <c r="C282"/>
      <c r="D282"/>
    </row>
    <row r="283" spans="1:4" x14ac:dyDescent="0.3">
      <c r="A283"/>
      <c r="B283"/>
      <c r="C283"/>
      <c r="D283"/>
    </row>
    <row r="284" spans="1:4" x14ac:dyDescent="0.3">
      <c r="A284"/>
      <c r="B284"/>
      <c r="C284"/>
      <c r="D284"/>
    </row>
    <row r="285" spans="1:4" x14ac:dyDescent="0.3">
      <c r="A285"/>
      <c r="B285"/>
      <c r="C285"/>
      <c r="D285"/>
    </row>
    <row r="286" spans="1:4" x14ac:dyDescent="0.3">
      <c r="A286"/>
      <c r="B286"/>
      <c r="C286"/>
      <c r="D286"/>
    </row>
    <row r="287" spans="1:4" x14ac:dyDescent="0.3">
      <c r="A287"/>
      <c r="B287"/>
      <c r="C287"/>
      <c r="D287"/>
    </row>
    <row r="288" spans="1:4" x14ac:dyDescent="0.3">
      <c r="A288"/>
      <c r="B288"/>
      <c r="C288"/>
      <c r="D288"/>
    </row>
    <row r="289" spans="1:4" x14ac:dyDescent="0.3">
      <c r="A289"/>
      <c r="B289"/>
      <c r="C289"/>
      <c r="D289"/>
    </row>
    <row r="290" spans="1:4" x14ac:dyDescent="0.3">
      <c r="A290"/>
      <c r="B290"/>
      <c r="C290"/>
      <c r="D290"/>
    </row>
    <row r="291" spans="1:4" x14ac:dyDescent="0.3">
      <c r="A291"/>
      <c r="B291"/>
      <c r="C291"/>
      <c r="D291"/>
    </row>
    <row r="292" spans="1:4" x14ac:dyDescent="0.3">
      <c r="A292"/>
      <c r="B292"/>
      <c r="C292"/>
      <c r="D292"/>
    </row>
    <row r="293" spans="1:4" x14ac:dyDescent="0.3">
      <c r="A293"/>
      <c r="B293"/>
      <c r="C293"/>
      <c r="D293"/>
    </row>
    <row r="294" spans="1:4" x14ac:dyDescent="0.3">
      <c r="A294"/>
      <c r="B294"/>
      <c r="C294"/>
      <c r="D294"/>
    </row>
    <row r="295" spans="1:4" x14ac:dyDescent="0.3">
      <c r="A295"/>
      <c r="B295"/>
      <c r="C295"/>
      <c r="D295"/>
    </row>
    <row r="296" spans="1:4" x14ac:dyDescent="0.3">
      <c r="A296"/>
      <c r="B296"/>
      <c r="C296"/>
      <c r="D296"/>
    </row>
    <row r="297" spans="1:4" x14ac:dyDescent="0.3">
      <c r="A297"/>
      <c r="B297"/>
      <c r="C297"/>
      <c r="D297"/>
    </row>
    <row r="298" spans="1:4" x14ac:dyDescent="0.3">
      <c r="A298"/>
      <c r="B298"/>
      <c r="C298"/>
      <c r="D298"/>
    </row>
    <row r="299" spans="1:4" x14ac:dyDescent="0.3">
      <c r="A299"/>
      <c r="B299"/>
      <c r="C299"/>
      <c r="D299"/>
    </row>
    <row r="300" spans="1:4" x14ac:dyDescent="0.3">
      <c r="A300"/>
      <c r="B300"/>
      <c r="C300"/>
      <c r="D300"/>
    </row>
    <row r="301" spans="1:4" x14ac:dyDescent="0.3">
      <c r="A301"/>
      <c r="B301"/>
      <c r="C301"/>
      <c r="D301"/>
    </row>
    <row r="302" spans="1:4" x14ac:dyDescent="0.3">
      <c r="A302"/>
      <c r="B302"/>
      <c r="C302"/>
      <c r="D302"/>
    </row>
    <row r="303" spans="1:4" x14ac:dyDescent="0.3">
      <c r="A303"/>
      <c r="B303"/>
      <c r="C303"/>
      <c r="D303"/>
    </row>
    <row r="304" spans="1:4" x14ac:dyDescent="0.3">
      <c r="A304"/>
      <c r="B304"/>
      <c r="C304"/>
      <c r="D304"/>
    </row>
    <row r="305" spans="1:4" x14ac:dyDescent="0.3">
      <c r="A305"/>
      <c r="B305"/>
      <c r="C305"/>
      <c r="D305"/>
    </row>
    <row r="306" spans="1:4" x14ac:dyDescent="0.3">
      <c r="A306"/>
      <c r="B306"/>
      <c r="C306"/>
      <c r="D306"/>
    </row>
    <row r="307" spans="1:4" x14ac:dyDescent="0.3">
      <c r="A307"/>
      <c r="B307"/>
      <c r="C307"/>
      <c r="D307"/>
    </row>
    <row r="308" spans="1:4" x14ac:dyDescent="0.3">
      <c r="A308"/>
      <c r="B308"/>
      <c r="C308"/>
      <c r="D308"/>
    </row>
    <row r="309" spans="1:4" x14ac:dyDescent="0.3">
      <c r="A309"/>
      <c r="B309"/>
      <c r="C309"/>
      <c r="D309"/>
    </row>
    <row r="310" spans="1:4" x14ac:dyDescent="0.3">
      <c r="A310"/>
      <c r="B310"/>
      <c r="C310"/>
      <c r="D310"/>
    </row>
    <row r="311" spans="1:4" x14ac:dyDescent="0.3">
      <c r="A311"/>
      <c r="B311"/>
      <c r="C311"/>
      <c r="D311"/>
    </row>
    <row r="312" spans="1:4" x14ac:dyDescent="0.3">
      <c r="A312"/>
      <c r="B312"/>
      <c r="C312"/>
      <c r="D312"/>
    </row>
    <row r="313" spans="1:4" x14ac:dyDescent="0.3">
      <c r="A313"/>
      <c r="B313"/>
      <c r="C313"/>
      <c r="D313"/>
    </row>
    <row r="314" spans="1:4" x14ac:dyDescent="0.3">
      <c r="A314"/>
      <c r="B314"/>
      <c r="C314"/>
      <c r="D314"/>
    </row>
    <row r="315" spans="1:4" x14ac:dyDescent="0.3">
      <c r="A315"/>
      <c r="B315"/>
      <c r="C315"/>
      <c r="D315"/>
    </row>
    <row r="316" spans="1:4" x14ac:dyDescent="0.3">
      <c r="A316"/>
      <c r="B316"/>
      <c r="C316"/>
      <c r="D316"/>
    </row>
    <row r="317" spans="1:4" x14ac:dyDescent="0.3">
      <c r="A317"/>
      <c r="B317"/>
      <c r="C317"/>
      <c r="D317"/>
    </row>
    <row r="318" spans="1:4" x14ac:dyDescent="0.3">
      <c r="A318"/>
      <c r="B318"/>
      <c r="C318"/>
      <c r="D318"/>
    </row>
    <row r="319" spans="1:4" x14ac:dyDescent="0.3">
      <c r="A319"/>
      <c r="B319"/>
      <c r="C319"/>
      <c r="D319"/>
    </row>
    <row r="320" spans="1:4" x14ac:dyDescent="0.3">
      <c r="A320"/>
      <c r="B320"/>
      <c r="C320"/>
      <c r="D320"/>
    </row>
    <row r="321" spans="1:4" x14ac:dyDescent="0.3">
      <c r="A321"/>
      <c r="B321"/>
      <c r="C321"/>
      <c r="D321"/>
    </row>
    <row r="322" spans="1:4" x14ac:dyDescent="0.3">
      <c r="A322"/>
      <c r="B322"/>
      <c r="C322"/>
      <c r="D322"/>
    </row>
    <row r="323" spans="1:4" x14ac:dyDescent="0.3">
      <c r="A323"/>
      <c r="B323"/>
      <c r="C323"/>
      <c r="D323"/>
    </row>
    <row r="324" spans="1:4" x14ac:dyDescent="0.3">
      <c r="A324"/>
      <c r="B324"/>
      <c r="C324"/>
      <c r="D324"/>
    </row>
    <row r="325" spans="1:4" x14ac:dyDescent="0.3">
      <c r="A325"/>
      <c r="B325"/>
      <c r="C325"/>
      <c r="D325"/>
    </row>
    <row r="326" spans="1:4" x14ac:dyDescent="0.3">
      <c r="A326"/>
      <c r="B326"/>
      <c r="C326"/>
      <c r="D326"/>
    </row>
    <row r="327" spans="1:4" x14ac:dyDescent="0.3">
      <c r="A327"/>
      <c r="B327"/>
      <c r="C327"/>
      <c r="D327"/>
    </row>
    <row r="328" spans="1:4" x14ac:dyDescent="0.3">
      <c r="A328"/>
      <c r="B328"/>
      <c r="C328"/>
      <c r="D328"/>
    </row>
    <row r="329" spans="1:4" x14ac:dyDescent="0.3">
      <c r="A329"/>
      <c r="B329"/>
      <c r="C329"/>
      <c r="D329"/>
    </row>
    <row r="330" spans="1:4" x14ac:dyDescent="0.3">
      <c r="A330"/>
      <c r="B330"/>
      <c r="C330"/>
      <c r="D330"/>
    </row>
    <row r="331" spans="1:4" x14ac:dyDescent="0.3">
      <c r="A331"/>
      <c r="B331"/>
      <c r="C331"/>
      <c r="D331"/>
    </row>
    <row r="332" spans="1:4" x14ac:dyDescent="0.3">
      <c r="A332"/>
      <c r="B332"/>
      <c r="C332"/>
      <c r="D332"/>
    </row>
    <row r="333" spans="1:4" x14ac:dyDescent="0.3">
      <c r="A333"/>
      <c r="B333"/>
      <c r="C333"/>
      <c r="D333"/>
    </row>
    <row r="334" spans="1:4" x14ac:dyDescent="0.3">
      <c r="A334"/>
      <c r="B334"/>
      <c r="C334"/>
      <c r="D334"/>
    </row>
    <row r="335" spans="1:4" x14ac:dyDescent="0.3">
      <c r="A335"/>
      <c r="B335"/>
      <c r="C335"/>
      <c r="D335"/>
    </row>
    <row r="336" spans="1:4" x14ac:dyDescent="0.3">
      <c r="A336"/>
      <c r="B336"/>
      <c r="C336"/>
      <c r="D336"/>
    </row>
    <row r="337" spans="1:4" x14ac:dyDescent="0.3">
      <c r="A337"/>
      <c r="B337"/>
      <c r="C337"/>
      <c r="D337"/>
    </row>
    <row r="338" spans="1:4" x14ac:dyDescent="0.3">
      <c r="A338"/>
      <c r="B338"/>
      <c r="C338"/>
      <c r="D338"/>
    </row>
    <row r="339" spans="1:4" x14ac:dyDescent="0.3">
      <c r="A339"/>
      <c r="B339"/>
      <c r="C339"/>
      <c r="D339"/>
    </row>
    <row r="340" spans="1:4" x14ac:dyDescent="0.3">
      <c r="A340"/>
      <c r="B340"/>
      <c r="C340"/>
      <c r="D340"/>
    </row>
    <row r="341" spans="1:4" x14ac:dyDescent="0.3">
      <c r="A341"/>
      <c r="B341"/>
      <c r="C341"/>
      <c r="D341"/>
    </row>
    <row r="342" spans="1:4" x14ac:dyDescent="0.3">
      <c r="A342"/>
      <c r="B342"/>
      <c r="C342"/>
      <c r="D342"/>
    </row>
    <row r="343" spans="1:4" x14ac:dyDescent="0.3">
      <c r="A343"/>
      <c r="B343"/>
      <c r="C343"/>
      <c r="D343"/>
    </row>
    <row r="344" spans="1:4" x14ac:dyDescent="0.3">
      <c r="A344"/>
      <c r="B344"/>
      <c r="C344"/>
      <c r="D344"/>
    </row>
    <row r="345" spans="1:4" x14ac:dyDescent="0.3">
      <c r="A345"/>
      <c r="B345"/>
      <c r="C345"/>
      <c r="D345"/>
    </row>
    <row r="346" spans="1:4" x14ac:dyDescent="0.3">
      <c r="A346"/>
      <c r="B346"/>
      <c r="C346"/>
      <c r="D346"/>
    </row>
    <row r="347" spans="1:4" x14ac:dyDescent="0.3">
      <c r="A347"/>
      <c r="B347"/>
      <c r="C347"/>
      <c r="D347"/>
    </row>
    <row r="348" spans="1:4" x14ac:dyDescent="0.3">
      <c r="A348"/>
      <c r="B348"/>
      <c r="C348"/>
      <c r="D348"/>
    </row>
    <row r="349" spans="1:4" x14ac:dyDescent="0.3">
      <c r="A349"/>
      <c r="B349"/>
      <c r="C349"/>
      <c r="D349"/>
    </row>
    <row r="350" spans="1:4" x14ac:dyDescent="0.3">
      <c r="A350"/>
      <c r="B350"/>
      <c r="C350"/>
      <c r="D350"/>
    </row>
    <row r="351" spans="1:4" x14ac:dyDescent="0.3">
      <c r="A351"/>
      <c r="B351"/>
      <c r="C351"/>
      <c r="D351"/>
    </row>
    <row r="352" spans="1:4" x14ac:dyDescent="0.3">
      <c r="A352"/>
      <c r="B352"/>
      <c r="C352"/>
      <c r="D352"/>
    </row>
    <row r="353" spans="1:4" x14ac:dyDescent="0.3">
      <c r="A353"/>
      <c r="B353"/>
      <c r="C353"/>
      <c r="D353"/>
    </row>
    <row r="354" spans="1:4" x14ac:dyDescent="0.3">
      <c r="A354"/>
      <c r="B354"/>
      <c r="C354"/>
      <c r="D354"/>
    </row>
    <row r="355" spans="1:4" x14ac:dyDescent="0.3">
      <c r="A355"/>
      <c r="B355"/>
      <c r="C355"/>
      <c r="D355"/>
    </row>
    <row r="356" spans="1:4" x14ac:dyDescent="0.3">
      <c r="A356"/>
      <c r="B356"/>
      <c r="C356"/>
      <c r="D356"/>
    </row>
    <row r="357" spans="1:4" x14ac:dyDescent="0.3">
      <c r="A357"/>
      <c r="B357"/>
      <c r="C357"/>
      <c r="D357"/>
    </row>
    <row r="358" spans="1:4" x14ac:dyDescent="0.3">
      <c r="A358"/>
      <c r="B358"/>
      <c r="C358"/>
      <c r="D358"/>
    </row>
    <row r="359" spans="1:4" x14ac:dyDescent="0.3">
      <c r="A359"/>
      <c r="B359"/>
      <c r="C359"/>
      <c r="D359"/>
    </row>
    <row r="360" spans="1:4" x14ac:dyDescent="0.3">
      <c r="A360"/>
      <c r="B360"/>
      <c r="C360"/>
      <c r="D360"/>
    </row>
    <row r="361" spans="1:4" x14ac:dyDescent="0.3">
      <c r="A361"/>
      <c r="B361"/>
      <c r="C361"/>
      <c r="D361"/>
    </row>
    <row r="362" spans="1:4" x14ac:dyDescent="0.3">
      <c r="A362"/>
      <c r="B362"/>
      <c r="C362"/>
      <c r="D362"/>
    </row>
    <row r="363" spans="1:4" x14ac:dyDescent="0.3">
      <c r="A363"/>
      <c r="B363"/>
      <c r="C363"/>
      <c r="D363"/>
    </row>
    <row r="364" spans="1:4" x14ac:dyDescent="0.3">
      <c r="A364"/>
      <c r="B364"/>
      <c r="C364"/>
      <c r="D364"/>
    </row>
    <row r="365" spans="1:4" x14ac:dyDescent="0.3">
      <c r="A365"/>
      <c r="B365"/>
      <c r="C365"/>
      <c r="D365"/>
    </row>
    <row r="366" spans="1:4" x14ac:dyDescent="0.3">
      <c r="A366"/>
      <c r="B366"/>
      <c r="C366"/>
      <c r="D366"/>
    </row>
    <row r="367" spans="1:4" x14ac:dyDescent="0.3">
      <c r="A367"/>
      <c r="B367"/>
      <c r="C367"/>
      <c r="D367"/>
    </row>
    <row r="368" spans="1:4" x14ac:dyDescent="0.3">
      <c r="A368"/>
      <c r="B368"/>
      <c r="C368"/>
      <c r="D368"/>
    </row>
    <row r="369" spans="1:4" x14ac:dyDescent="0.3">
      <c r="A369"/>
      <c r="B369"/>
      <c r="C369"/>
      <c r="D369"/>
    </row>
    <row r="370" spans="1:4" x14ac:dyDescent="0.3">
      <c r="A370"/>
      <c r="B370"/>
      <c r="C370"/>
      <c r="D370"/>
    </row>
    <row r="371" spans="1:4" x14ac:dyDescent="0.3">
      <c r="A371"/>
      <c r="B371"/>
      <c r="C371"/>
      <c r="D371"/>
    </row>
    <row r="372" spans="1:4" x14ac:dyDescent="0.3">
      <c r="A372"/>
      <c r="B372"/>
      <c r="C372"/>
      <c r="D372"/>
    </row>
    <row r="373" spans="1:4" x14ac:dyDescent="0.3">
      <c r="A373"/>
      <c r="B373"/>
      <c r="C373"/>
      <c r="D373"/>
    </row>
    <row r="374" spans="1:4" x14ac:dyDescent="0.3">
      <c r="A374"/>
      <c r="B374"/>
      <c r="C374"/>
      <c r="D374"/>
    </row>
    <row r="375" spans="1:4" x14ac:dyDescent="0.3">
      <c r="A375"/>
      <c r="B375"/>
      <c r="C375"/>
      <c r="D375"/>
    </row>
    <row r="376" spans="1:4" x14ac:dyDescent="0.3">
      <c r="A376"/>
      <c r="B376"/>
      <c r="C376"/>
      <c r="D376"/>
    </row>
    <row r="377" spans="1:4" x14ac:dyDescent="0.3">
      <c r="A377"/>
      <c r="B377"/>
      <c r="C377"/>
      <c r="D377"/>
    </row>
    <row r="378" spans="1:4" x14ac:dyDescent="0.3">
      <c r="A378"/>
      <c r="B378"/>
      <c r="C378"/>
      <c r="D378"/>
    </row>
    <row r="379" spans="1:4" x14ac:dyDescent="0.3">
      <c r="A379"/>
      <c r="B379"/>
      <c r="C379"/>
      <c r="D379"/>
    </row>
    <row r="380" spans="1:4" x14ac:dyDescent="0.3">
      <c r="A380"/>
      <c r="B380"/>
      <c r="C380"/>
      <c r="D380"/>
    </row>
    <row r="381" spans="1:4" x14ac:dyDescent="0.3">
      <c r="A381"/>
      <c r="B381"/>
      <c r="C381"/>
      <c r="D381"/>
    </row>
    <row r="382" spans="1:4" x14ac:dyDescent="0.3">
      <c r="A382"/>
      <c r="B382"/>
      <c r="C382"/>
      <c r="D382"/>
    </row>
    <row r="383" spans="1:4" x14ac:dyDescent="0.3">
      <c r="A383"/>
      <c r="B383"/>
      <c r="C383"/>
      <c r="D383"/>
    </row>
    <row r="384" spans="1:4" x14ac:dyDescent="0.3">
      <c r="A384"/>
      <c r="B384"/>
      <c r="C384"/>
      <c r="D384"/>
    </row>
    <row r="385" spans="1:4" x14ac:dyDescent="0.3">
      <c r="A385"/>
      <c r="B385"/>
      <c r="C385"/>
      <c r="D385"/>
    </row>
    <row r="386" spans="1:4" x14ac:dyDescent="0.3">
      <c r="A386"/>
      <c r="B386"/>
      <c r="C386"/>
      <c r="D386"/>
    </row>
    <row r="387" spans="1:4" x14ac:dyDescent="0.3">
      <c r="A387"/>
      <c r="B387"/>
      <c r="C387"/>
      <c r="D387"/>
    </row>
    <row r="388" spans="1:4" x14ac:dyDescent="0.3">
      <c r="A388"/>
      <c r="B388"/>
      <c r="C388"/>
      <c r="D388"/>
    </row>
    <row r="389" spans="1:4" x14ac:dyDescent="0.3">
      <c r="A389"/>
      <c r="B389"/>
      <c r="C389"/>
      <c r="D389"/>
    </row>
    <row r="390" spans="1:4" x14ac:dyDescent="0.3">
      <c r="A390"/>
      <c r="B390"/>
      <c r="C390"/>
      <c r="D390"/>
    </row>
    <row r="391" spans="1:4" x14ac:dyDescent="0.3">
      <c r="A391"/>
      <c r="B391"/>
      <c r="C391"/>
      <c r="D391"/>
    </row>
    <row r="392" spans="1:4" x14ac:dyDescent="0.3">
      <c r="A392"/>
      <c r="B392"/>
      <c r="C392"/>
      <c r="D392"/>
    </row>
    <row r="393" spans="1:4" x14ac:dyDescent="0.3">
      <c r="A393"/>
      <c r="B393"/>
      <c r="C393"/>
      <c r="D393"/>
    </row>
    <row r="394" spans="1:4" x14ac:dyDescent="0.3">
      <c r="A394"/>
      <c r="B394"/>
      <c r="C394"/>
      <c r="D394"/>
    </row>
    <row r="395" spans="1:4" x14ac:dyDescent="0.3">
      <c r="A395"/>
      <c r="B395"/>
      <c r="C395"/>
      <c r="D395"/>
    </row>
    <row r="396" spans="1:4" x14ac:dyDescent="0.3">
      <c r="A396"/>
      <c r="B396"/>
      <c r="C396"/>
      <c r="D396"/>
    </row>
    <row r="397" spans="1:4" x14ac:dyDescent="0.3">
      <c r="A397"/>
      <c r="B397"/>
      <c r="C397"/>
      <c r="D397"/>
    </row>
    <row r="398" spans="1:4" x14ac:dyDescent="0.3">
      <c r="A398"/>
      <c r="B398"/>
      <c r="C398"/>
      <c r="D398"/>
    </row>
    <row r="399" spans="1:4" x14ac:dyDescent="0.3">
      <c r="A399"/>
      <c r="B399"/>
      <c r="C399"/>
      <c r="D399"/>
    </row>
    <row r="400" spans="1:4" x14ac:dyDescent="0.3">
      <c r="A400"/>
      <c r="B400"/>
      <c r="C400"/>
      <c r="D400"/>
    </row>
    <row r="401" spans="1:4" x14ac:dyDescent="0.3">
      <c r="A401"/>
      <c r="B401"/>
      <c r="C401"/>
      <c r="D401"/>
    </row>
    <row r="402" spans="1:4" x14ac:dyDescent="0.3">
      <c r="A402"/>
      <c r="B402"/>
      <c r="C402"/>
      <c r="D402"/>
    </row>
    <row r="403" spans="1:4" x14ac:dyDescent="0.3">
      <c r="A403"/>
      <c r="B403"/>
      <c r="C403"/>
      <c r="D403"/>
    </row>
    <row r="404" spans="1:4" x14ac:dyDescent="0.3">
      <c r="A404"/>
      <c r="B404"/>
      <c r="C404"/>
      <c r="D404"/>
    </row>
    <row r="405" spans="1:4" x14ac:dyDescent="0.3">
      <c r="A405"/>
      <c r="B405"/>
      <c r="C405"/>
      <c r="D405"/>
    </row>
    <row r="406" spans="1:4" x14ac:dyDescent="0.3">
      <c r="A406"/>
      <c r="B406"/>
      <c r="C406"/>
      <c r="D406"/>
    </row>
    <row r="407" spans="1:4" x14ac:dyDescent="0.3">
      <c r="A407"/>
      <c r="B407"/>
      <c r="C407"/>
      <c r="D407"/>
    </row>
    <row r="408" spans="1:4" x14ac:dyDescent="0.3">
      <c r="A408"/>
      <c r="B408"/>
      <c r="C408"/>
      <c r="D408"/>
    </row>
    <row r="409" spans="1:4" x14ac:dyDescent="0.3">
      <c r="A409"/>
      <c r="B409"/>
      <c r="C409"/>
      <c r="D409"/>
    </row>
    <row r="410" spans="1:4" x14ac:dyDescent="0.3">
      <c r="A410"/>
      <c r="B410"/>
      <c r="C410"/>
      <c r="D410"/>
    </row>
    <row r="411" spans="1:4" x14ac:dyDescent="0.3">
      <c r="A411"/>
      <c r="B411"/>
      <c r="C411"/>
      <c r="D411"/>
    </row>
    <row r="412" spans="1:4" x14ac:dyDescent="0.3">
      <c r="A412"/>
      <c r="B412"/>
      <c r="C412"/>
      <c r="D412"/>
    </row>
    <row r="413" spans="1:4" x14ac:dyDescent="0.3">
      <c r="A413"/>
      <c r="B413"/>
      <c r="C413"/>
      <c r="D413"/>
    </row>
    <row r="414" spans="1:4" x14ac:dyDescent="0.3">
      <c r="A414"/>
      <c r="B414"/>
      <c r="C414"/>
      <c r="D414"/>
    </row>
    <row r="415" spans="1:4" x14ac:dyDescent="0.3">
      <c r="A415"/>
      <c r="B415"/>
      <c r="C415"/>
      <c r="D415"/>
    </row>
    <row r="416" spans="1:4" x14ac:dyDescent="0.3">
      <c r="A416"/>
      <c r="B416"/>
      <c r="C416"/>
      <c r="D416"/>
    </row>
    <row r="417" spans="1:4" x14ac:dyDescent="0.3">
      <c r="A417"/>
      <c r="B417"/>
      <c r="C417"/>
      <c r="D417"/>
    </row>
    <row r="418" spans="1:4" x14ac:dyDescent="0.3">
      <c r="A418"/>
      <c r="B418"/>
      <c r="C418"/>
      <c r="D418"/>
    </row>
    <row r="419" spans="1:4" x14ac:dyDescent="0.3">
      <c r="A419"/>
      <c r="B419"/>
      <c r="C419"/>
      <c r="D419"/>
    </row>
    <row r="420" spans="1:4" x14ac:dyDescent="0.3">
      <c r="A420"/>
      <c r="B420"/>
      <c r="C420"/>
      <c r="D420"/>
    </row>
    <row r="421" spans="1:4" x14ac:dyDescent="0.3">
      <c r="A421"/>
      <c r="B421"/>
      <c r="C421"/>
      <c r="D421"/>
    </row>
    <row r="422" spans="1:4" x14ac:dyDescent="0.3">
      <c r="A422"/>
      <c r="B422"/>
      <c r="C422"/>
      <c r="D422"/>
    </row>
    <row r="423" spans="1:4" x14ac:dyDescent="0.3">
      <c r="A423"/>
      <c r="B423"/>
      <c r="C423"/>
      <c r="D423"/>
    </row>
    <row r="424" spans="1:4" x14ac:dyDescent="0.3">
      <c r="A424"/>
      <c r="B424"/>
      <c r="C424"/>
      <c r="D424"/>
    </row>
    <row r="425" spans="1:4" x14ac:dyDescent="0.3">
      <c r="A425"/>
      <c r="B425"/>
      <c r="C425"/>
      <c r="D425"/>
    </row>
    <row r="426" spans="1:4" x14ac:dyDescent="0.3">
      <c r="A426"/>
      <c r="B426"/>
      <c r="C426"/>
      <c r="D426"/>
    </row>
    <row r="427" spans="1:4" x14ac:dyDescent="0.3">
      <c r="A427"/>
      <c r="B427"/>
      <c r="C427"/>
      <c r="D427"/>
    </row>
    <row r="428" spans="1:4" x14ac:dyDescent="0.3">
      <c r="A428"/>
      <c r="B428"/>
      <c r="C428"/>
      <c r="D428"/>
    </row>
    <row r="429" spans="1:4" x14ac:dyDescent="0.3">
      <c r="A429"/>
      <c r="B429"/>
      <c r="C429"/>
      <c r="D429"/>
    </row>
    <row r="430" spans="1:4" x14ac:dyDescent="0.3">
      <c r="A430"/>
      <c r="B430"/>
      <c r="C430"/>
      <c r="D430"/>
    </row>
    <row r="431" spans="1:4" x14ac:dyDescent="0.3">
      <c r="A431"/>
      <c r="B431"/>
      <c r="C431"/>
      <c r="D431"/>
    </row>
    <row r="432" spans="1:4" x14ac:dyDescent="0.3">
      <c r="A432"/>
      <c r="B432"/>
      <c r="C432"/>
      <c r="D432"/>
    </row>
    <row r="433" spans="1:4" x14ac:dyDescent="0.3">
      <c r="A433"/>
      <c r="B433"/>
      <c r="C433"/>
      <c r="D433"/>
    </row>
    <row r="434" spans="1:4" x14ac:dyDescent="0.3">
      <c r="A434"/>
      <c r="B434"/>
      <c r="C434"/>
      <c r="D434"/>
    </row>
    <row r="435" spans="1:4" x14ac:dyDescent="0.3">
      <c r="A435"/>
      <c r="B435"/>
      <c r="C435"/>
      <c r="D435"/>
    </row>
    <row r="436" spans="1:4" x14ac:dyDescent="0.3">
      <c r="A436"/>
      <c r="B436"/>
      <c r="C436"/>
      <c r="D436"/>
    </row>
    <row r="437" spans="1:4" x14ac:dyDescent="0.3">
      <c r="A437"/>
      <c r="B437"/>
      <c r="C437"/>
      <c r="D437"/>
    </row>
    <row r="438" spans="1:4" x14ac:dyDescent="0.3">
      <c r="A438"/>
      <c r="B438"/>
      <c r="C438"/>
      <c r="D438"/>
    </row>
    <row r="439" spans="1:4" x14ac:dyDescent="0.3">
      <c r="A439"/>
      <c r="B439"/>
      <c r="C439"/>
      <c r="D439"/>
    </row>
    <row r="440" spans="1:4" x14ac:dyDescent="0.3">
      <c r="A440"/>
      <c r="B440"/>
      <c r="C440"/>
      <c r="D440"/>
    </row>
    <row r="441" spans="1:4" x14ac:dyDescent="0.3">
      <c r="A441"/>
      <c r="B441"/>
      <c r="C441"/>
      <c r="D441"/>
    </row>
    <row r="442" spans="1:4" x14ac:dyDescent="0.3">
      <c r="A442"/>
      <c r="B442"/>
      <c r="C442"/>
      <c r="D442"/>
    </row>
    <row r="443" spans="1:4" x14ac:dyDescent="0.3">
      <c r="A443"/>
      <c r="B443"/>
      <c r="C443"/>
      <c r="D443"/>
    </row>
    <row r="444" spans="1:4" x14ac:dyDescent="0.3">
      <c r="A444"/>
      <c r="B444"/>
      <c r="C444"/>
      <c r="D444"/>
    </row>
    <row r="445" spans="1:4" x14ac:dyDescent="0.3">
      <c r="A445"/>
      <c r="B445"/>
      <c r="C445"/>
      <c r="D445"/>
    </row>
    <row r="446" spans="1:4" x14ac:dyDescent="0.3">
      <c r="A446"/>
      <c r="B446"/>
      <c r="C446"/>
      <c r="D446"/>
    </row>
    <row r="447" spans="1:4" x14ac:dyDescent="0.3">
      <c r="A447"/>
      <c r="B447"/>
      <c r="C447"/>
      <c r="D447"/>
    </row>
    <row r="448" spans="1:4" x14ac:dyDescent="0.3">
      <c r="A448"/>
      <c r="B448"/>
      <c r="C448"/>
      <c r="D448"/>
    </row>
    <row r="449" spans="1:4" x14ac:dyDescent="0.3">
      <c r="A449"/>
      <c r="B449"/>
      <c r="C449"/>
      <c r="D449"/>
    </row>
    <row r="450" spans="1:4" x14ac:dyDescent="0.3">
      <c r="A450"/>
      <c r="B450"/>
      <c r="C450"/>
      <c r="D450"/>
    </row>
    <row r="451" spans="1:4" x14ac:dyDescent="0.3">
      <c r="A451"/>
      <c r="B451"/>
      <c r="C451"/>
      <c r="D451"/>
    </row>
    <row r="452" spans="1:4" x14ac:dyDescent="0.3">
      <c r="A452"/>
      <c r="B452"/>
      <c r="C452"/>
      <c r="D452"/>
    </row>
    <row r="453" spans="1:4" x14ac:dyDescent="0.3">
      <c r="A453"/>
      <c r="B453"/>
      <c r="C453"/>
      <c r="D453"/>
    </row>
    <row r="454" spans="1:4" x14ac:dyDescent="0.3">
      <c r="A454"/>
      <c r="B454"/>
      <c r="C454"/>
      <c r="D454"/>
    </row>
    <row r="455" spans="1:4" x14ac:dyDescent="0.3">
      <c r="A455"/>
      <c r="B455"/>
      <c r="C455"/>
      <c r="D455"/>
    </row>
    <row r="456" spans="1:4" x14ac:dyDescent="0.3">
      <c r="A456"/>
      <c r="B456"/>
      <c r="C456"/>
      <c r="D456"/>
    </row>
    <row r="457" spans="1:4" x14ac:dyDescent="0.3">
      <c r="A457"/>
      <c r="B457"/>
      <c r="C457"/>
      <c r="D457"/>
    </row>
    <row r="458" spans="1:4" x14ac:dyDescent="0.3">
      <c r="A458"/>
      <c r="B458"/>
      <c r="C458"/>
      <c r="D458"/>
    </row>
    <row r="459" spans="1:4" x14ac:dyDescent="0.3">
      <c r="A459"/>
      <c r="B459"/>
      <c r="C459"/>
      <c r="D459"/>
    </row>
    <row r="460" spans="1:4" x14ac:dyDescent="0.3">
      <c r="A460"/>
      <c r="B460"/>
      <c r="C460"/>
      <c r="D460"/>
    </row>
    <row r="461" spans="1:4" x14ac:dyDescent="0.3">
      <c r="A461"/>
      <c r="B461"/>
      <c r="C461"/>
      <c r="D461"/>
    </row>
    <row r="462" spans="1:4" x14ac:dyDescent="0.3">
      <c r="A462"/>
      <c r="B462"/>
      <c r="C462"/>
      <c r="D462"/>
    </row>
    <row r="463" spans="1:4" x14ac:dyDescent="0.3">
      <c r="A463"/>
      <c r="B463"/>
      <c r="C463"/>
      <c r="D463"/>
    </row>
    <row r="464" spans="1:4" x14ac:dyDescent="0.3">
      <c r="A464"/>
      <c r="B464"/>
      <c r="C464"/>
      <c r="D464"/>
    </row>
    <row r="465" spans="1:4" x14ac:dyDescent="0.3">
      <c r="A465"/>
      <c r="B465"/>
      <c r="C465"/>
      <c r="D465"/>
    </row>
    <row r="466" spans="1:4" x14ac:dyDescent="0.3">
      <c r="A466"/>
      <c r="B466"/>
      <c r="C466"/>
      <c r="D466"/>
    </row>
    <row r="467" spans="1:4" x14ac:dyDescent="0.3">
      <c r="A467"/>
      <c r="B467"/>
      <c r="C467"/>
      <c r="D467"/>
    </row>
    <row r="468" spans="1:4" x14ac:dyDescent="0.3">
      <c r="A468"/>
      <c r="B468"/>
      <c r="C468"/>
      <c r="D468"/>
    </row>
    <row r="469" spans="1:4" x14ac:dyDescent="0.3">
      <c r="A469"/>
      <c r="B469"/>
      <c r="C469"/>
      <c r="D469"/>
    </row>
    <row r="470" spans="1:4" x14ac:dyDescent="0.3">
      <c r="A470"/>
      <c r="B470"/>
      <c r="C470"/>
      <c r="D470"/>
    </row>
    <row r="471" spans="1:4" x14ac:dyDescent="0.3">
      <c r="A471"/>
      <c r="B471"/>
      <c r="C471"/>
      <c r="D471"/>
    </row>
    <row r="472" spans="1:4" x14ac:dyDescent="0.3">
      <c r="A472"/>
      <c r="B472"/>
      <c r="C472"/>
      <c r="D472"/>
    </row>
    <row r="473" spans="1:4" x14ac:dyDescent="0.3">
      <c r="A473"/>
      <c r="B473"/>
      <c r="C473"/>
      <c r="D473"/>
    </row>
    <row r="474" spans="1:4" x14ac:dyDescent="0.3">
      <c r="A474"/>
      <c r="B474"/>
      <c r="C474"/>
      <c r="D474"/>
    </row>
    <row r="475" spans="1:4" x14ac:dyDescent="0.3">
      <c r="A475"/>
      <c r="B475"/>
      <c r="C475"/>
      <c r="D475"/>
    </row>
    <row r="476" spans="1:4" x14ac:dyDescent="0.3">
      <c r="A476"/>
      <c r="B476"/>
      <c r="C476"/>
      <c r="D476"/>
    </row>
    <row r="477" spans="1:4" x14ac:dyDescent="0.3">
      <c r="A477"/>
      <c r="B477"/>
      <c r="C477"/>
      <c r="D477"/>
    </row>
    <row r="478" spans="1:4" x14ac:dyDescent="0.3">
      <c r="A478"/>
      <c r="B478"/>
      <c r="C478"/>
      <c r="D478"/>
    </row>
    <row r="479" spans="1:4" x14ac:dyDescent="0.3">
      <c r="A479"/>
      <c r="B479"/>
      <c r="C479"/>
      <c r="D479"/>
    </row>
    <row r="480" spans="1:4" x14ac:dyDescent="0.3">
      <c r="A480"/>
      <c r="B480"/>
      <c r="C480"/>
      <c r="D480"/>
    </row>
    <row r="481" spans="1:4" x14ac:dyDescent="0.3">
      <c r="A481"/>
      <c r="B481"/>
      <c r="C481"/>
      <c r="D481"/>
    </row>
    <row r="482" spans="1:4" x14ac:dyDescent="0.3">
      <c r="A482"/>
      <c r="B482"/>
      <c r="C482"/>
      <c r="D482"/>
    </row>
    <row r="483" spans="1:4" x14ac:dyDescent="0.3">
      <c r="A483"/>
      <c r="B483"/>
      <c r="C483"/>
      <c r="D483"/>
    </row>
    <row r="484" spans="1:4" x14ac:dyDescent="0.3">
      <c r="A484"/>
      <c r="B484"/>
      <c r="C484"/>
      <c r="D484"/>
    </row>
    <row r="485" spans="1:4" x14ac:dyDescent="0.3">
      <c r="A485"/>
      <c r="B485"/>
      <c r="C485"/>
      <c r="D485"/>
    </row>
    <row r="486" spans="1:4" x14ac:dyDescent="0.3">
      <c r="A486"/>
      <c r="B486"/>
      <c r="C486"/>
      <c r="D486"/>
    </row>
    <row r="487" spans="1:4" x14ac:dyDescent="0.3">
      <c r="A487"/>
      <c r="B487"/>
      <c r="C487"/>
      <c r="D487"/>
    </row>
    <row r="488" spans="1:4" x14ac:dyDescent="0.3">
      <c r="A488"/>
      <c r="B488"/>
      <c r="C488"/>
      <c r="D488"/>
    </row>
    <row r="489" spans="1:4" x14ac:dyDescent="0.3">
      <c r="A489"/>
      <c r="B489"/>
      <c r="C489"/>
      <c r="D489"/>
    </row>
    <row r="490" spans="1:4" x14ac:dyDescent="0.3">
      <c r="A490"/>
      <c r="B490"/>
      <c r="C490"/>
      <c r="D490"/>
    </row>
    <row r="491" spans="1:4" x14ac:dyDescent="0.3">
      <c r="A491"/>
      <c r="B491"/>
      <c r="C491"/>
      <c r="D491"/>
    </row>
    <row r="492" spans="1:4" x14ac:dyDescent="0.3">
      <c r="A492"/>
      <c r="B492"/>
      <c r="C492"/>
      <c r="D492"/>
    </row>
    <row r="493" spans="1:4" x14ac:dyDescent="0.3">
      <c r="A493"/>
      <c r="B493"/>
      <c r="C493"/>
      <c r="D493"/>
    </row>
    <row r="494" spans="1:4" x14ac:dyDescent="0.3">
      <c r="A494"/>
      <c r="B494"/>
      <c r="C494"/>
      <c r="D494"/>
    </row>
    <row r="495" spans="1:4" x14ac:dyDescent="0.3">
      <c r="A495"/>
      <c r="B495"/>
      <c r="C495"/>
      <c r="D495"/>
    </row>
    <row r="496" spans="1:4" x14ac:dyDescent="0.3">
      <c r="A496"/>
      <c r="B496"/>
      <c r="C496"/>
      <c r="D496"/>
    </row>
    <row r="497" spans="1:4" x14ac:dyDescent="0.3">
      <c r="A497"/>
      <c r="B497"/>
      <c r="C497"/>
      <c r="D497"/>
    </row>
    <row r="498" spans="1:4" x14ac:dyDescent="0.3">
      <c r="A498"/>
      <c r="B498"/>
      <c r="C498"/>
      <c r="D498"/>
    </row>
    <row r="499" spans="1:4" x14ac:dyDescent="0.3">
      <c r="A499"/>
      <c r="B499"/>
      <c r="C499"/>
      <c r="D499"/>
    </row>
    <row r="500" spans="1:4" x14ac:dyDescent="0.3">
      <c r="A500"/>
      <c r="B500"/>
      <c r="C500"/>
      <c r="D500"/>
    </row>
    <row r="501" spans="1:4" x14ac:dyDescent="0.3">
      <c r="A501"/>
      <c r="B501"/>
      <c r="C501"/>
      <c r="D501"/>
    </row>
    <row r="502" spans="1:4" x14ac:dyDescent="0.3">
      <c r="A502"/>
      <c r="B502"/>
      <c r="C502"/>
      <c r="D502"/>
    </row>
    <row r="503" spans="1:4" x14ac:dyDescent="0.3">
      <c r="A503"/>
      <c r="B503"/>
      <c r="C503"/>
      <c r="D503"/>
    </row>
    <row r="504" spans="1:4" x14ac:dyDescent="0.3">
      <c r="A504"/>
      <c r="B504"/>
      <c r="C504"/>
      <c r="D504"/>
    </row>
    <row r="505" spans="1:4" x14ac:dyDescent="0.3">
      <c r="A505"/>
      <c r="B505"/>
      <c r="C505"/>
      <c r="D505"/>
    </row>
    <row r="506" spans="1:4" x14ac:dyDescent="0.3">
      <c r="A506"/>
      <c r="B506"/>
      <c r="C506"/>
      <c r="D506"/>
    </row>
    <row r="507" spans="1:4" x14ac:dyDescent="0.3">
      <c r="A507"/>
      <c r="B507"/>
      <c r="C507"/>
      <c r="D507"/>
    </row>
    <row r="508" spans="1:4" x14ac:dyDescent="0.3">
      <c r="A508"/>
      <c r="B508"/>
      <c r="C508"/>
      <c r="D508"/>
    </row>
    <row r="509" spans="1:4" x14ac:dyDescent="0.3">
      <c r="A509"/>
      <c r="B509"/>
      <c r="C509"/>
      <c r="D509"/>
    </row>
    <row r="510" spans="1:4" x14ac:dyDescent="0.3">
      <c r="A510"/>
      <c r="B510"/>
      <c r="C510"/>
      <c r="D510"/>
    </row>
    <row r="511" spans="1:4" x14ac:dyDescent="0.3">
      <c r="A511"/>
      <c r="B511"/>
      <c r="C511"/>
      <c r="D511"/>
    </row>
    <row r="512" spans="1:4" x14ac:dyDescent="0.3">
      <c r="A512"/>
      <c r="B512"/>
      <c r="C512"/>
      <c r="D512"/>
    </row>
    <row r="513" spans="1:4" x14ac:dyDescent="0.3">
      <c r="A513"/>
      <c r="B513"/>
      <c r="C513"/>
      <c r="D513"/>
    </row>
    <row r="514" spans="1:4" x14ac:dyDescent="0.3">
      <c r="A514"/>
      <c r="B514"/>
      <c r="C514"/>
      <c r="D514"/>
    </row>
    <row r="515" spans="1:4" x14ac:dyDescent="0.3">
      <c r="A515"/>
      <c r="B515"/>
      <c r="C515"/>
      <c r="D515"/>
    </row>
    <row r="516" spans="1:4" x14ac:dyDescent="0.3">
      <c r="A516"/>
      <c r="B516"/>
      <c r="C516"/>
      <c r="D516"/>
    </row>
    <row r="517" spans="1:4" x14ac:dyDescent="0.3">
      <c r="A517"/>
      <c r="B517"/>
      <c r="C517"/>
      <c r="D517"/>
    </row>
    <row r="518" spans="1:4" x14ac:dyDescent="0.3">
      <c r="A518"/>
      <c r="B518"/>
      <c r="C518"/>
      <c r="D518"/>
    </row>
    <row r="519" spans="1:4" x14ac:dyDescent="0.3">
      <c r="A519"/>
      <c r="B519"/>
      <c r="C519"/>
      <c r="D519"/>
    </row>
    <row r="520" spans="1:4" x14ac:dyDescent="0.3">
      <c r="A520"/>
      <c r="B520"/>
      <c r="C520"/>
      <c r="D520"/>
    </row>
    <row r="521" spans="1:4" x14ac:dyDescent="0.3">
      <c r="A521"/>
      <c r="B521"/>
      <c r="C521"/>
      <c r="D521"/>
    </row>
    <row r="522" spans="1:4" x14ac:dyDescent="0.3">
      <c r="A522"/>
      <c r="B522"/>
      <c r="C522"/>
      <c r="D522"/>
    </row>
    <row r="523" spans="1:4" x14ac:dyDescent="0.3">
      <c r="A523"/>
      <c r="B523"/>
      <c r="C523"/>
      <c r="D523"/>
    </row>
    <row r="524" spans="1:4" x14ac:dyDescent="0.3">
      <c r="A524"/>
      <c r="B524"/>
      <c r="C524"/>
      <c r="D524"/>
    </row>
    <row r="525" spans="1:4" x14ac:dyDescent="0.3">
      <c r="A525"/>
      <c r="B525"/>
      <c r="C525"/>
      <c r="D525"/>
    </row>
    <row r="526" spans="1:4" x14ac:dyDescent="0.3">
      <c r="A526"/>
      <c r="B526"/>
      <c r="C526"/>
      <c r="D526"/>
    </row>
    <row r="527" spans="1:4" x14ac:dyDescent="0.3">
      <c r="A527"/>
      <c r="B527"/>
      <c r="C527"/>
      <c r="D527"/>
    </row>
    <row r="528" spans="1:4" x14ac:dyDescent="0.3">
      <c r="A528"/>
      <c r="B528"/>
      <c r="C528"/>
      <c r="D528"/>
    </row>
    <row r="529" spans="1:4" x14ac:dyDescent="0.3">
      <c r="A529"/>
      <c r="B529"/>
      <c r="C529"/>
      <c r="D529"/>
    </row>
    <row r="530" spans="1:4" x14ac:dyDescent="0.3">
      <c r="A530"/>
      <c r="B530"/>
      <c r="C530"/>
      <c r="D530"/>
    </row>
    <row r="531" spans="1:4" x14ac:dyDescent="0.3">
      <c r="A531"/>
      <c r="B531"/>
      <c r="C531"/>
      <c r="D531"/>
    </row>
    <row r="532" spans="1:4" x14ac:dyDescent="0.3">
      <c r="A532"/>
      <c r="B532"/>
      <c r="C532"/>
      <c r="D532"/>
    </row>
    <row r="533" spans="1:4" x14ac:dyDescent="0.3">
      <c r="A533"/>
      <c r="B533"/>
      <c r="C533"/>
      <c r="D533"/>
    </row>
    <row r="534" spans="1:4" x14ac:dyDescent="0.3">
      <c r="A534"/>
      <c r="B534"/>
      <c r="C534"/>
      <c r="D534"/>
    </row>
    <row r="535" spans="1:4" x14ac:dyDescent="0.3">
      <c r="A535"/>
      <c r="B535"/>
      <c r="C535"/>
      <c r="D535"/>
    </row>
    <row r="536" spans="1:4" x14ac:dyDescent="0.3">
      <c r="A536"/>
      <c r="B536"/>
      <c r="C536"/>
      <c r="D536"/>
    </row>
    <row r="537" spans="1:4" x14ac:dyDescent="0.3">
      <c r="A537"/>
      <c r="B537"/>
      <c r="C537"/>
      <c r="D537"/>
    </row>
    <row r="538" spans="1:4" x14ac:dyDescent="0.3">
      <c r="A538"/>
      <c r="B538"/>
      <c r="C538"/>
      <c r="D538"/>
    </row>
    <row r="539" spans="1:4" x14ac:dyDescent="0.3">
      <c r="A539"/>
      <c r="B539"/>
      <c r="C539"/>
      <c r="D539"/>
    </row>
    <row r="540" spans="1:4" x14ac:dyDescent="0.3">
      <c r="A540"/>
      <c r="B540"/>
      <c r="C540"/>
      <c r="D540"/>
    </row>
    <row r="541" spans="1:4" x14ac:dyDescent="0.3">
      <c r="A541"/>
      <c r="B541"/>
      <c r="C541"/>
      <c r="D541"/>
    </row>
    <row r="542" spans="1:4" x14ac:dyDescent="0.3">
      <c r="A542"/>
      <c r="B542"/>
      <c r="C542"/>
      <c r="D542"/>
    </row>
    <row r="543" spans="1:4" x14ac:dyDescent="0.3">
      <c r="A543"/>
      <c r="B543"/>
      <c r="C543"/>
      <c r="D543"/>
    </row>
    <row r="544" spans="1:4" x14ac:dyDescent="0.3">
      <c r="A544"/>
      <c r="B544"/>
      <c r="C544"/>
      <c r="D544"/>
    </row>
    <row r="545" spans="1:4" x14ac:dyDescent="0.3">
      <c r="A545"/>
      <c r="B545"/>
      <c r="C545"/>
      <c r="D545"/>
    </row>
    <row r="546" spans="1:4" x14ac:dyDescent="0.3">
      <c r="A546"/>
      <c r="B546"/>
      <c r="C546"/>
      <c r="D546"/>
    </row>
    <row r="547" spans="1:4" x14ac:dyDescent="0.3">
      <c r="A547"/>
      <c r="B547"/>
      <c r="C547"/>
      <c r="D547"/>
    </row>
    <row r="548" spans="1:4" x14ac:dyDescent="0.3">
      <c r="A548"/>
      <c r="B548"/>
      <c r="C548"/>
      <c r="D548"/>
    </row>
    <row r="549" spans="1:4" x14ac:dyDescent="0.3">
      <c r="A549"/>
      <c r="B549"/>
      <c r="C549"/>
      <c r="D549"/>
    </row>
    <row r="550" spans="1:4" x14ac:dyDescent="0.3">
      <c r="A550"/>
      <c r="B550"/>
      <c r="C550"/>
      <c r="D550"/>
    </row>
    <row r="551" spans="1:4" x14ac:dyDescent="0.3">
      <c r="A551"/>
      <c r="B551"/>
      <c r="C551"/>
      <c r="D551"/>
    </row>
    <row r="552" spans="1:4" x14ac:dyDescent="0.3">
      <c r="A552"/>
      <c r="B552"/>
      <c r="C552"/>
      <c r="D552"/>
    </row>
    <row r="553" spans="1:4" x14ac:dyDescent="0.3">
      <c r="A553"/>
      <c r="B553"/>
      <c r="C553"/>
      <c r="D553"/>
    </row>
    <row r="554" spans="1:4" x14ac:dyDescent="0.3">
      <c r="A554"/>
      <c r="B554"/>
      <c r="C554"/>
      <c r="D554"/>
    </row>
    <row r="555" spans="1:4" x14ac:dyDescent="0.3">
      <c r="A555"/>
      <c r="B555"/>
      <c r="C555"/>
      <c r="D555"/>
    </row>
    <row r="556" spans="1:4" x14ac:dyDescent="0.3">
      <c r="A556"/>
      <c r="B556"/>
      <c r="C556"/>
      <c r="D556"/>
    </row>
    <row r="557" spans="1:4" x14ac:dyDescent="0.3">
      <c r="A557"/>
      <c r="B557"/>
      <c r="C557"/>
      <c r="D557"/>
    </row>
    <row r="558" spans="1:4" x14ac:dyDescent="0.3">
      <c r="A558"/>
      <c r="B558"/>
      <c r="C558"/>
      <c r="D558"/>
    </row>
    <row r="559" spans="1:4" x14ac:dyDescent="0.3">
      <c r="A559"/>
      <c r="B559"/>
      <c r="C559"/>
      <c r="D559"/>
    </row>
    <row r="560" spans="1:4" x14ac:dyDescent="0.3">
      <c r="A560"/>
      <c r="B560"/>
      <c r="C560"/>
      <c r="D560"/>
    </row>
    <row r="561" spans="1:4" x14ac:dyDescent="0.3">
      <c r="A561"/>
      <c r="B561"/>
      <c r="C561"/>
      <c r="D561"/>
    </row>
    <row r="562" spans="1:4" x14ac:dyDescent="0.3">
      <c r="A562"/>
      <c r="B562"/>
      <c r="C562"/>
      <c r="D562"/>
    </row>
    <row r="563" spans="1:4" x14ac:dyDescent="0.3">
      <c r="A563"/>
      <c r="B563"/>
      <c r="C563"/>
      <c r="D563"/>
    </row>
    <row r="564" spans="1:4" x14ac:dyDescent="0.3">
      <c r="A564"/>
      <c r="B564"/>
      <c r="C564"/>
      <c r="D564"/>
    </row>
    <row r="565" spans="1:4" x14ac:dyDescent="0.3">
      <c r="A565"/>
      <c r="B565"/>
      <c r="C565"/>
      <c r="D565"/>
    </row>
    <row r="566" spans="1:4" x14ac:dyDescent="0.3">
      <c r="A566"/>
      <c r="B566"/>
      <c r="C566"/>
      <c r="D566"/>
    </row>
    <row r="567" spans="1:4" x14ac:dyDescent="0.3">
      <c r="A567"/>
      <c r="B567"/>
      <c r="C567"/>
      <c r="D567"/>
    </row>
    <row r="568" spans="1:4" x14ac:dyDescent="0.3">
      <c r="A568"/>
      <c r="B568"/>
      <c r="C568"/>
      <c r="D568"/>
    </row>
    <row r="569" spans="1:4" x14ac:dyDescent="0.3">
      <c r="A569"/>
      <c r="B569"/>
      <c r="C569"/>
      <c r="D569"/>
    </row>
    <row r="570" spans="1:4" x14ac:dyDescent="0.3">
      <c r="A570"/>
      <c r="B570"/>
      <c r="C570"/>
      <c r="D570"/>
    </row>
    <row r="571" spans="1:4" x14ac:dyDescent="0.3">
      <c r="A571"/>
      <c r="B571"/>
      <c r="C571"/>
      <c r="D571"/>
    </row>
    <row r="572" spans="1:4" x14ac:dyDescent="0.3">
      <c r="A572"/>
      <c r="B572"/>
      <c r="C572"/>
      <c r="D572"/>
    </row>
    <row r="573" spans="1:4" x14ac:dyDescent="0.3">
      <c r="A573"/>
      <c r="B573"/>
      <c r="C573"/>
      <c r="D573"/>
    </row>
    <row r="574" spans="1:4" x14ac:dyDescent="0.3">
      <c r="A574"/>
      <c r="B574"/>
      <c r="C574"/>
      <c r="D574"/>
    </row>
    <row r="575" spans="1:4" x14ac:dyDescent="0.3">
      <c r="A575"/>
      <c r="B575"/>
      <c r="C575"/>
      <c r="D575"/>
    </row>
    <row r="576" spans="1:4" x14ac:dyDescent="0.3">
      <c r="A576"/>
      <c r="B576"/>
      <c r="C576"/>
      <c r="D576"/>
    </row>
    <row r="577" spans="1:4" x14ac:dyDescent="0.3">
      <c r="A577"/>
      <c r="B577"/>
      <c r="C577"/>
      <c r="D577"/>
    </row>
    <row r="578" spans="1:4" x14ac:dyDescent="0.3">
      <c r="A578"/>
      <c r="B578"/>
      <c r="C578"/>
      <c r="D578"/>
    </row>
    <row r="579" spans="1:4" x14ac:dyDescent="0.3">
      <c r="A579"/>
      <c r="B579"/>
      <c r="C579"/>
      <c r="D579"/>
    </row>
    <row r="580" spans="1:4" x14ac:dyDescent="0.3">
      <c r="A580"/>
      <c r="B580"/>
      <c r="C580"/>
      <c r="D580"/>
    </row>
    <row r="581" spans="1:4" x14ac:dyDescent="0.3">
      <c r="A581"/>
      <c r="B581"/>
      <c r="C581"/>
      <c r="D581"/>
    </row>
    <row r="582" spans="1:4" x14ac:dyDescent="0.3">
      <c r="A582"/>
      <c r="B582"/>
      <c r="C582"/>
      <c r="D582"/>
    </row>
    <row r="583" spans="1:4" x14ac:dyDescent="0.3">
      <c r="A583"/>
      <c r="B583"/>
      <c r="C583"/>
      <c r="D583"/>
    </row>
    <row r="584" spans="1:4" x14ac:dyDescent="0.3">
      <c r="A584"/>
      <c r="B584"/>
      <c r="C584"/>
      <c r="D584"/>
    </row>
    <row r="585" spans="1:4" x14ac:dyDescent="0.3">
      <c r="A585"/>
      <c r="B585"/>
      <c r="C585"/>
      <c r="D585"/>
    </row>
    <row r="586" spans="1:4" x14ac:dyDescent="0.3">
      <c r="A586"/>
      <c r="B586"/>
      <c r="C586"/>
      <c r="D586"/>
    </row>
    <row r="587" spans="1:4" x14ac:dyDescent="0.3">
      <c r="A587"/>
      <c r="B587"/>
      <c r="C587"/>
      <c r="D587"/>
    </row>
    <row r="588" spans="1:4" x14ac:dyDescent="0.3">
      <c r="A588"/>
      <c r="B588"/>
      <c r="C588"/>
      <c r="D588"/>
    </row>
    <row r="589" spans="1:4" x14ac:dyDescent="0.3">
      <c r="A589"/>
      <c r="B589"/>
      <c r="C589"/>
      <c r="D589"/>
    </row>
    <row r="590" spans="1:4" x14ac:dyDescent="0.3">
      <c r="A590"/>
      <c r="B590"/>
      <c r="C590"/>
      <c r="D590"/>
    </row>
    <row r="591" spans="1:4" x14ac:dyDescent="0.3">
      <c r="A591"/>
      <c r="B591"/>
      <c r="C591"/>
      <c r="D591"/>
    </row>
    <row r="592" spans="1:4" x14ac:dyDescent="0.3">
      <c r="A592"/>
      <c r="B592"/>
      <c r="C592"/>
      <c r="D592"/>
    </row>
    <row r="593" spans="1:4" x14ac:dyDescent="0.3">
      <c r="A593"/>
      <c r="B593"/>
      <c r="C593"/>
      <c r="D593"/>
    </row>
    <row r="594" spans="1:4" x14ac:dyDescent="0.3">
      <c r="A594"/>
      <c r="B594"/>
      <c r="C594"/>
      <c r="D594"/>
    </row>
    <row r="595" spans="1:4" x14ac:dyDescent="0.3">
      <c r="A595"/>
      <c r="B595"/>
      <c r="C595"/>
      <c r="D595"/>
    </row>
    <row r="596" spans="1:4" x14ac:dyDescent="0.3">
      <c r="A596"/>
      <c r="B596"/>
      <c r="C596"/>
      <c r="D596"/>
    </row>
    <row r="597" spans="1:4" x14ac:dyDescent="0.3">
      <c r="A597"/>
      <c r="B597"/>
      <c r="C597"/>
      <c r="D597"/>
    </row>
    <row r="598" spans="1:4" x14ac:dyDescent="0.3">
      <c r="A598"/>
      <c r="B598"/>
      <c r="C598"/>
      <c r="D598"/>
    </row>
    <row r="599" spans="1:4" x14ac:dyDescent="0.3">
      <c r="A599"/>
      <c r="B599"/>
      <c r="C599"/>
      <c r="D599"/>
    </row>
    <row r="600" spans="1:4" x14ac:dyDescent="0.3">
      <c r="A600"/>
      <c r="B600"/>
      <c r="C600"/>
      <c r="D600"/>
    </row>
    <row r="601" spans="1:4" x14ac:dyDescent="0.3">
      <c r="A601"/>
      <c r="B601"/>
      <c r="C601"/>
      <c r="D601"/>
    </row>
    <row r="602" spans="1:4" x14ac:dyDescent="0.3">
      <c r="A602"/>
      <c r="B602"/>
      <c r="C602"/>
      <c r="D602"/>
    </row>
    <row r="603" spans="1:4" x14ac:dyDescent="0.3">
      <c r="A603"/>
      <c r="B603"/>
      <c r="C603"/>
      <c r="D603"/>
    </row>
    <row r="604" spans="1:4" x14ac:dyDescent="0.3">
      <c r="A604"/>
      <c r="B604"/>
      <c r="C604"/>
      <c r="D604"/>
    </row>
    <row r="605" spans="1:4" x14ac:dyDescent="0.3">
      <c r="A605"/>
      <c r="B605"/>
      <c r="C605"/>
      <c r="D605"/>
    </row>
    <row r="606" spans="1:4" x14ac:dyDescent="0.3">
      <c r="A606"/>
      <c r="B606"/>
      <c r="C606"/>
      <c r="D606"/>
    </row>
    <row r="607" spans="1:4" x14ac:dyDescent="0.3">
      <c r="A607"/>
      <c r="B607"/>
      <c r="C607"/>
      <c r="D607"/>
    </row>
    <row r="608" spans="1:4" x14ac:dyDescent="0.3">
      <c r="A608"/>
      <c r="B608"/>
      <c r="C608"/>
      <c r="D608"/>
    </row>
    <row r="609" spans="1:4" x14ac:dyDescent="0.3">
      <c r="A609"/>
      <c r="B609"/>
      <c r="C609"/>
      <c r="D609"/>
    </row>
    <row r="610" spans="1:4" x14ac:dyDescent="0.3">
      <c r="A610"/>
      <c r="B610"/>
      <c r="C610"/>
      <c r="D610"/>
    </row>
    <row r="611" spans="1:4" x14ac:dyDescent="0.3">
      <c r="A611"/>
      <c r="B611"/>
      <c r="C611"/>
      <c r="D611"/>
    </row>
    <row r="612" spans="1:4" x14ac:dyDescent="0.3">
      <c r="A612"/>
      <c r="B612"/>
      <c r="C612"/>
      <c r="D612"/>
    </row>
    <row r="613" spans="1:4" x14ac:dyDescent="0.3">
      <c r="A613"/>
      <c r="B613"/>
      <c r="C613"/>
      <c r="D613"/>
    </row>
    <row r="614" spans="1:4" x14ac:dyDescent="0.3">
      <c r="A614"/>
      <c r="B614"/>
      <c r="C614"/>
      <c r="D614"/>
    </row>
    <row r="615" spans="1:4" x14ac:dyDescent="0.3">
      <c r="A615"/>
      <c r="B615"/>
      <c r="C615"/>
      <c r="D615"/>
    </row>
    <row r="616" spans="1:4" x14ac:dyDescent="0.3">
      <c r="A616"/>
      <c r="B616"/>
      <c r="C616"/>
      <c r="D616"/>
    </row>
    <row r="617" spans="1:4" x14ac:dyDescent="0.3">
      <c r="A617"/>
      <c r="B617"/>
      <c r="C617"/>
      <c r="D617"/>
    </row>
    <row r="618" spans="1:4" x14ac:dyDescent="0.3">
      <c r="A618"/>
      <c r="B618"/>
      <c r="C618"/>
      <c r="D618"/>
    </row>
    <row r="619" spans="1:4" x14ac:dyDescent="0.3">
      <c r="A619"/>
      <c r="B619"/>
      <c r="C619"/>
      <c r="D619"/>
    </row>
    <row r="620" spans="1:4" x14ac:dyDescent="0.3">
      <c r="A620"/>
      <c r="B620"/>
      <c r="C620"/>
      <c r="D620"/>
    </row>
    <row r="621" spans="1:4" x14ac:dyDescent="0.3">
      <c r="A621"/>
      <c r="B621"/>
      <c r="C621"/>
      <c r="D621"/>
    </row>
    <row r="622" spans="1:4" x14ac:dyDescent="0.3">
      <c r="A622"/>
      <c r="B622"/>
      <c r="C622"/>
      <c r="D622"/>
    </row>
    <row r="623" spans="1:4" x14ac:dyDescent="0.3">
      <c r="A623"/>
      <c r="B623"/>
      <c r="C623"/>
      <c r="D623"/>
    </row>
    <row r="624" spans="1:4" x14ac:dyDescent="0.3">
      <c r="A624"/>
      <c r="B624"/>
      <c r="C624"/>
      <c r="D624"/>
    </row>
    <row r="625" spans="1:4" x14ac:dyDescent="0.3">
      <c r="A625"/>
      <c r="B625"/>
      <c r="C625"/>
      <c r="D625"/>
    </row>
    <row r="626" spans="1:4" x14ac:dyDescent="0.3">
      <c r="A626"/>
      <c r="B626"/>
      <c r="C626"/>
      <c r="D626"/>
    </row>
    <row r="627" spans="1:4" x14ac:dyDescent="0.3">
      <c r="A627"/>
      <c r="B627"/>
      <c r="C627"/>
      <c r="D627"/>
    </row>
    <row r="628" spans="1:4" x14ac:dyDescent="0.3">
      <c r="A628"/>
      <c r="B628"/>
      <c r="C628"/>
      <c r="D628"/>
    </row>
    <row r="629" spans="1:4" x14ac:dyDescent="0.3">
      <c r="A629"/>
      <c r="B629"/>
      <c r="C629"/>
      <c r="D629"/>
    </row>
    <row r="630" spans="1:4" x14ac:dyDescent="0.3">
      <c r="A630"/>
      <c r="B630"/>
      <c r="C630"/>
      <c r="D630"/>
    </row>
    <row r="631" spans="1:4" x14ac:dyDescent="0.3">
      <c r="A631"/>
      <c r="B631"/>
      <c r="C631"/>
      <c r="D631"/>
    </row>
    <row r="632" spans="1:4" x14ac:dyDescent="0.3">
      <c r="A632"/>
      <c r="B632"/>
      <c r="C632"/>
      <c r="D632"/>
    </row>
    <row r="633" spans="1:4" x14ac:dyDescent="0.3">
      <c r="A633"/>
      <c r="B633"/>
      <c r="C633"/>
      <c r="D633"/>
    </row>
    <row r="634" spans="1:4" x14ac:dyDescent="0.3">
      <c r="A634"/>
      <c r="B634"/>
      <c r="C634"/>
      <c r="D634"/>
    </row>
    <row r="635" spans="1:4" x14ac:dyDescent="0.3">
      <c r="A635"/>
      <c r="B635"/>
      <c r="C635"/>
      <c r="D635"/>
    </row>
    <row r="636" spans="1:4" x14ac:dyDescent="0.3">
      <c r="A636"/>
      <c r="B636"/>
      <c r="C636"/>
      <c r="D636"/>
    </row>
    <row r="637" spans="1:4" x14ac:dyDescent="0.3">
      <c r="A637"/>
      <c r="B637"/>
      <c r="C637"/>
      <c r="D637"/>
    </row>
    <row r="638" spans="1:4" x14ac:dyDescent="0.3">
      <c r="A638"/>
      <c r="B638"/>
      <c r="C638"/>
      <c r="D638"/>
    </row>
    <row r="639" spans="1:4" x14ac:dyDescent="0.3">
      <c r="A639"/>
      <c r="B639"/>
      <c r="C639"/>
      <c r="D639"/>
    </row>
    <row r="640" spans="1:4" x14ac:dyDescent="0.3">
      <c r="A640"/>
      <c r="B640"/>
      <c r="C640"/>
      <c r="D640"/>
    </row>
    <row r="641" spans="1:4" x14ac:dyDescent="0.3">
      <c r="A641"/>
      <c r="B641"/>
      <c r="C641"/>
      <c r="D641"/>
    </row>
    <row r="642" spans="1:4" x14ac:dyDescent="0.3">
      <c r="A642"/>
      <c r="B642"/>
      <c r="C642"/>
      <c r="D642"/>
    </row>
    <row r="643" spans="1:4" x14ac:dyDescent="0.3">
      <c r="A643"/>
      <c r="B643"/>
      <c r="C643"/>
      <c r="D643"/>
    </row>
    <row r="644" spans="1:4" x14ac:dyDescent="0.3">
      <c r="A644"/>
      <c r="B644"/>
      <c r="C644"/>
      <c r="D644"/>
    </row>
    <row r="645" spans="1:4" x14ac:dyDescent="0.3">
      <c r="A645"/>
      <c r="B645"/>
      <c r="C645"/>
      <c r="D645"/>
    </row>
    <row r="646" spans="1:4" x14ac:dyDescent="0.3">
      <c r="A646"/>
      <c r="B646"/>
      <c r="C646"/>
      <c r="D646"/>
    </row>
    <row r="647" spans="1:4" x14ac:dyDescent="0.3">
      <c r="A647"/>
      <c r="B647"/>
      <c r="C647"/>
      <c r="D647"/>
    </row>
    <row r="648" spans="1:4" x14ac:dyDescent="0.3">
      <c r="A648"/>
      <c r="B648"/>
      <c r="C648"/>
      <c r="D648"/>
    </row>
    <row r="649" spans="1:4" x14ac:dyDescent="0.3">
      <c r="A649"/>
      <c r="B649"/>
      <c r="C649"/>
      <c r="D649"/>
    </row>
    <row r="650" spans="1:4" x14ac:dyDescent="0.3">
      <c r="A650"/>
      <c r="B650"/>
      <c r="C650"/>
      <c r="D650"/>
    </row>
    <row r="651" spans="1:4" x14ac:dyDescent="0.3">
      <c r="A651"/>
      <c r="B651"/>
      <c r="C651"/>
      <c r="D651"/>
    </row>
    <row r="652" spans="1:4" x14ac:dyDescent="0.3">
      <c r="A652"/>
      <c r="B652"/>
      <c r="C652"/>
      <c r="D652"/>
    </row>
    <row r="653" spans="1:4" x14ac:dyDescent="0.3">
      <c r="A653"/>
      <c r="B653"/>
      <c r="C653"/>
      <c r="D653"/>
    </row>
    <row r="654" spans="1:4" x14ac:dyDescent="0.3">
      <c r="A654"/>
      <c r="B654"/>
      <c r="C654"/>
      <c r="D654"/>
    </row>
    <row r="655" spans="1:4" x14ac:dyDescent="0.3">
      <c r="A655"/>
      <c r="B655"/>
      <c r="C655"/>
      <c r="D655"/>
    </row>
    <row r="656" spans="1:4" x14ac:dyDescent="0.3">
      <c r="A656"/>
      <c r="B656"/>
      <c r="C656"/>
      <c r="D656"/>
    </row>
    <row r="657" spans="1:4" x14ac:dyDescent="0.3">
      <c r="A657"/>
      <c r="B657"/>
      <c r="C657"/>
      <c r="D657"/>
    </row>
    <row r="658" spans="1:4" x14ac:dyDescent="0.3">
      <c r="A658"/>
      <c r="B658"/>
      <c r="C658"/>
      <c r="D658"/>
    </row>
    <row r="659" spans="1:4" x14ac:dyDescent="0.3">
      <c r="A659"/>
      <c r="B659"/>
      <c r="C659"/>
      <c r="D659"/>
    </row>
    <row r="660" spans="1:4" x14ac:dyDescent="0.3">
      <c r="A660"/>
      <c r="B660"/>
      <c r="C660"/>
      <c r="D660"/>
    </row>
    <row r="661" spans="1:4" x14ac:dyDescent="0.3">
      <c r="A661"/>
      <c r="B661"/>
      <c r="C661"/>
      <c r="D661"/>
    </row>
    <row r="662" spans="1:4" x14ac:dyDescent="0.3">
      <c r="A662"/>
      <c r="B662"/>
      <c r="C662"/>
      <c r="D662"/>
    </row>
    <row r="663" spans="1:4" x14ac:dyDescent="0.3">
      <c r="A663"/>
      <c r="B663"/>
      <c r="C663"/>
      <c r="D663"/>
    </row>
    <row r="664" spans="1:4" x14ac:dyDescent="0.3">
      <c r="A664"/>
      <c r="B664"/>
      <c r="C664"/>
      <c r="D664"/>
    </row>
    <row r="665" spans="1:4" x14ac:dyDescent="0.3">
      <c r="A665"/>
      <c r="B665"/>
      <c r="C665"/>
      <c r="D665"/>
    </row>
    <row r="666" spans="1:4" x14ac:dyDescent="0.3">
      <c r="A666"/>
      <c r="B666"/>
      <c r="C666"/>
      <c r="D666"/>
    </row>
    <row r="667" spans="1:4" x14ac:dyDescent="0.3">
      <c r="A667"/>
      <c r="B667"/>
      <c r="C667"/>
      <c r="D667"/>
    </row>
    <row r="668" spans="1:4" x14ac:dyDescent="0.3">
      <c r="A668"/>
      <c r="B668"/>
      <c r="C668"/>
      <c r="D668"/>
    </row>
    <row r="669" spans="1:4" x14ac:dyDescent="0.3">
      <c r="A669"/>
      <c r="B669"/>
      <c r="C669"/>
      <c r="D669"/>
    </row>
    <row r="670" spans="1:4" x14ac:dyDescent="0.3">
      <c r="A670"/>
      <c r="B670"/>
      <c r="C670"/>
      <c r="D670"/>
    </row>
    <row r="671" spans="1:4" x14ac:dyDescent="0.3">
      <c r="A671"/>
      <c r="B671"/>
      <c r="C671"/>
      <c r="D671"/>
    </row>
    <row r="672" spans="1:4" x14ac:dyDescent="0.3">
      <c r="A672"/>
      <c r="B672"/>
      <c r="C672"/>
      <c r="D672"/>
    </row>
    <row r="673" spans="1:4" x14ac:dyDescent="0.3">
      <c r="A673"/>
      <c r="B673"/>
      <c r="C673"/>
      <c r="D673"/>
    </row>
    <row r="674" spans="1:4" x14ac:dyDescent="0.3">
      <c r="A674"/>
      <c r="B674"/>
      <c r="C674"/>
      <c r="D674"/>
    </row>
    <row r="675" spans="1:4" x14ac:dyDescent="0.3">
      <c r="A675"/>
      <c r="B675"/>
      <c r="C675"/>
      <c r="D675"/>
    </row>
    <row r="676" spans="1:4" x14ac:dyDescent="0.3">
      <c r="A676"/>
      <c r="B676"/>
      <c r="C676"/>
      <c r="D676"/>
    </row>
    <row r="677" spans="1:4" x14ac:dyDescent="0.3">
      <c r="A677"/>
      <c r="B677"/>
      <c r="C677"/>
      <c r="D677"/>
    </row>
    <row r="678" spans="1:4" x14ac:dyDescent="0.3">
      <c r="A678"/>
      <c r="B678"/>
      <c r="C678"/>
      <c r="D678"/>
    </row>
    <row r="679" spans="1:4" x14ac:dyDescent="0.3">
      <c r="A679"/>
      <c r="B679"/>
      <c r="C679"/>
      <c r="D679"/>
    </row>
    <row r="680" spans="1:4" x14ac:dyDescent="0.3">
      <c r="A680"/>
      <c r="B680"/>
      <c r="C680"/>
      <c r="D680"/>
    </row>
    <row r="681" spans="1:4" x14ac:dyDescent="0.3">
      <c r="A681"/>
      <c r="B681"/>
      <c r="C681"/>
      <c r="D681"/>
    </row>
    <row r="682" spans="1:4" x14ac:dyDescent="0.3">
      <c r="A682"/>
      <c r="B682"/>
      <c r="C682"/>
      <c r="D682"/>
    </row>
    <row r="683" spans="1:4" x14ac:dyDescent="0.3">
      <c r="A683"/>
      <c r="B683"/>
      <c r="C683"/>
      <c r="D683"/>
    </row>
    <row r="684" spans="1:4" x14ac:dyDescent="0.3">
      <c r="A684"/>
      <c r="B684"/>
      <c r="C684"/>
      <c r="D684"/>
    </row>
    <row r="685" spans="1:4" x14ac:dyDescent="0.3">
      <c r="A685"/>
      <c r="B685"/>
      <c r="C685"/>
      <c r="D685"/>
    </row>
    <row r="686" spans="1:4" x14ac:dyDescent="0.3">
      <c r="A686"/>
      <c r="B686"/>
      <c r="C686"/>
      <c r="D686"/>
    </row>
    <row r="687" spans="1:4" x14ac:dyDescent="0.3">
      <c r="A687"/>
      <c r="B687"/>
      <c r="C687"/>
      <c r="D687"/>
    </row>
    <row r="688" spans="1:4" x14ac:dyDescent="0.3">
      <c r="A688"/>
      <c r="B688"/>
      <c r="C688"/>
      <c r="D688"/>
    </row>
    <row r="689" spans="1:4" x14ac:dyDescent="0.3">
      <c r="A689"/>
      <c r="B689"/>
      <c r="C689"/>
      <c r="D689"/>
    </row>
    <row r="690" spans="1:4" x14ac:dyDescent="0.3">
      <c r="A690"/>
      <c r="B690"/>
      <c r="C690"/>
      <c r="D690"/>
    </row>
    <row r="691" spans="1:4" x14ac:dyDescent="0.3">
      <c r="A691"/>
      <c r="B691"/>
      <c r="C691"/>
      <c r="D691"/>
    </row>
    <row r="692" spans="1:4" x14ac:dyDescent="0.3">
      <c r="A692"/>
      <c r="B692"/>
      <c r="C692"/>
      <c r="D692"/>
    </row>
    <row r="693" spans="1:4" x14ac:dyDescent="0.3">
      <c r="A693"/>
      <c r="B693"/>
      <c r="C693"/>
      <c r="D693"/>
    </row>
    <row r="694" spans="1:4" x14ac:dyDescent="0.3">
      <c r="A694"/>
      <c r="B694"/>
      <c r="C694"/>
      <c r="D694"/>
    </row>
    <row r="695" spans="1:4" x14ac:dyDescent="0.3">
      <c r="A695"/>
      <c r="B695"/>
      <c r="C695"/>
      <c r="D695"/>
    </row>
    <row r="696" spans="1:4" x14ac:dyDescent="0.3">
      <c r="A696"/>
      <c r="B696"/>
      <c r="C696"/>
      <c r="D696"/>
    </row>
    <row r="697" spans="1:4" x14ac:dyDescent="0.3">
      <c r="A697"/>
      <c r="B697"/>
      <c r="C697"/>
      <c r="D697"/>
    </row>
    <row r="698" spans="1:4" x14ac:dyDescent="0.3">
      <c r="A698"/>
      <c r="B698"/>
      <c r="C698"/>
      <c r="D698"/>
    </row>
    <row r="699" spans="1:4" x14ac:dyDescent="0.3">
      <c r="A699"/>
      <c r="B699"/>
      <c r="C699"/>
      <c r="D699"/>
    </row>
    <row r="700" spans="1:4" x14ac:dyDescent="0.3">
      <c r="A700"/>
      <c r="B700"/>
      <c r="C700"/>
      <c r="D700"/>
    </row>
    <row r="701" spans="1:4" x14ac:dyDescent="0.3">
      <c r="A701"/>
      <c r="B701"/>
      <c r="C701"/>
      <c r="D701"/>
    </row>
    <row r="702" spans="1:4" x14ac:dyDescent="0.3">
      <c r="A702"/>
      <c r="B702"/>
      <c r="C702"/>
      <c r="D702"/>
    </row>
    <row r="703" spans="1:4" x14ac:dyDescent="0.3">
      <c r="A703"/>
      <c r="B703"/>
      <c r="C703"/>
      <c r="D703"/>
    </row>
    <row r="704" spans="1:4" x14ac:dyDescent="0.3">
      <c r="A704"/>
      <c r="B704"/>
      <c r="C704"/>
      <c r="D704"/>
    </row>
    <row r="705" spans="1:4" x14ac:dyDescent="0.3">
      <c r="A705"/>
      <c r="B705"/>
      <c r="C705"/>
      <c r="D705"/>
    </row>
    <row r="706" spans="1:4" x14ac:dyDescent="0.3">
      <c r="A706"/>
      <c r="B706"/>
      <c r="C706"/>
      <c r="D706"/>
    </row>
    <row r="707" spans="1:4" x14ac:dyDescent="0.3">
      <c r="A707"/>
      <c r="B707"/>
      <c r="C707"/>
      <c r="D707"/>
    </row>
    <row r="708" spans="1:4" x14ac:dyDescent="0.3">
      <c r="A708"/>
      <c r="B708"/>
      <c r="C708"/>
      <c r="D708"/>
    </row>
    <row r="709" spans="1:4" x14ac:dyDescent="0.3">
      <c r="A709"/>
      <c r="B709"/>
      <c r="C709"/>
      <c r="D709"/>
    </row>
    <row r="710" spans="1:4" x14ac:dyDescent="0.3">
      <c r="A710"/>
      <c r="B710"/>
      <c r="C710"/>
      <c r="D710"/>
    </row>
    <row r="711" spans="1:4" x14ac:dyDescent="0.3">
      <c r="A711"/>
      <c r="B711"/>
      <c r="C711"/>
      <c r="D711"/>
    </row>
    <row r="712" spans="1:4" x14ac:dyDescent="0.3">
      <c r="A712"/>
      <c r="B712"/>
      <c r="C712"/>
      <c r="D712"/>
    </row>
    <row r="713" spans="1:4" x14ac:dyDescent="0.3">
      <c r="A713"/>
      <c r="B713"/>
      <c r="C713"/>
      <c r="D713"/>
    </row>
    <row r="714" spans="1:4" x14ac:dyDescent="0.3">
      <c r="A714"/>
      <c r="B714"/>
      <c r="C714"/>
      <c r="D714"/>
    </row>
    <row r="715" spans="1:4" x14ac:dyDescent="0.3">
      <c r="A715"/>
      <c r="B715"/>
      <c r="C715"/>
      <c r="D715"/>
    </row>
    <row r="716" spans="1:4" x14ac:dyDescent="0.3">
      <c r="A716"/>
      <c r="B716"/>
      <c r="C716"/>
      <c r="D716"/>
    </row>
    <row r="717" spans="1:4" x14ac:dyDescent="0.3">
      <c r="A717"/>
      <c r="B717"/>
      <c r="C717"/>
      <c r="D717"/>
    </row>
    <row r="718" spans="1:4" x14ac:dyDescent="0.3">
      <c r="A718"/>
      <c r="B718"/>
      <c r="C718"/>
      <c r="D718"/>
    </row>
    <row r="719" spans="1:4" x14ac:dyDescent="0.3">
      <c r="A719"/>
      <c r="B719"/>
      <c r="C719"/>
      <c r="D719"/>
    </row>
    <row r="720" spans="1:4" x14ac:dyDescent="0.3">
      <c r="A720"/>
      <c r="B720"/>
      <c r="C720"/>
      <c r="D720"/>
    </row>
    <row r="721" spans="1:4" x14ac:dyDescent="0.3">
      <c r="A721"/>
      <c r="B721"/>
      <c r="C721"/>
      <c r="D721"/>
    </row>
    <row r="722" spans="1:4" x14ac:dyDescent="0.3">
      <c r="A722"/>
      <c r="B722"/>
      <c r="C722"/>
      <c r="D722"/>
    </row>
    <row r="723" spans="1:4" x14ac:dyDescent="0.3">
      <c r="A723"/>
      <c r="B723"/>
      <c r="C723"/>
      <c r="D723"/>
    </row>
    <row r="724" spans="1:4" x14ac:dyDescent="0.3">
      <c r="A724"/>
      <c r="B724"/>
      <c r="C724"/>
      <c r="D724"/>
    </row>
    <row r="725" spans="1:4" x14ac:dyDescent="0.3">
      <c r="A725"/>
      <c r="B725"/>
      <c r="C725"/>
      <c r="D725"/>
    </row>
    <row r="726" spans="1:4" x14ac:dyDescent="0.3">
      <c r="A726"/>
      <c r="B726"/>
      <c r="C726"/>
      <c r="D726"/>
    </row>
    <row r="727" spans="1:4" x14ac:dyDescent="0.3">
      <c r="A727"/>
      <c r="B727"/>
      <c r="C727"/>
      <c r="D727"/>
    </row>
    <row r="728" spans="1:4" x14ac:dyDescent="0.3">
      <c r="A728"/>
      <c r="B728"/>
      <c r="C728"/>
      <c r="D728"/>
    </row>
    <row r="729" spans="1:4" x14ac:dyDescent="0.3">
      <c r="A729"/>
      <c r="B729"/>
      <c r="C729"/>
      <c r="D729"/>
    </row>
    <row r="730" spans="1:4" x14ac:dyDescent="0.3">
      <c r="A730"/>
      <c r="B730"/>
      <c r="C730"/>
      <c r="D730"/>
    </row>
    <row r="731" spans="1:4" x14ac:dyDescent="0.3">
      <c r="A731"/>
      <c r="B731"/>
      <c r="C731"/>
      <c r="D731"/>
    </row>
    <row r="732" spans="1:4" x14ac:dyDescent="0.3">
      <c r="A732"/>
      <c r="B732"/>
      <c r="C732"/>
      <c r="D732"/>
    </row>
    <row r="733" spans="1:4" x14ac:dyDescent="0.3">
      <c r="A733"/>
      <c r="B733"/>
      <c r="C733"/>
      <c r="D733"/>
    </row>
    <row r="734" spans="1:4" x14ac:dyDescent="0.3">
      <c r="A734"/>
      <c r="B734"/>
      <c r="C734"/>
      <c r="D734"/>
    </row>
    <row r="735" spans="1:4" x14ac:dyDescent="0.3">
      <c r="A735"/>
      <c r="B735"/>
      <c r="C735"/>
      <c r="D735"/>
    </row>
    <row r="736" spans="1:4" x14ac:dyDescent="0.3">
      <c r="A736"/>
      <c r="B736"/>
      <c r="C736"/>
      <c r="D736"/>
    </row>
    <row r="737" spans="1:4" x14ac:dyDescent="0.3">
      <c r="A737"/>
      <c r="B737"/>
      <c r="C737"/>
      <c r="D737"/>
    </row>
    <row r="738" spans="1:4" x14ac:dyDescent="0.3">
      <c r="A738"/>
      <c r="B738"/>
      <c r="C738"/>
      <c r="D738"/>
    </row>
    <row r="739" spans="1:4" x14ac:dyDescent="0.3">
      <c r="A739"/>
      <c r="B739"/>
      <c r="C739"/>
      <c r="D739"/>
    </row>
    <row r="740" spans="1:4" x14ac:dyDescent="0.3">
      <c r="A740"/>
      <c r="B740"/>
      <c r="C740"/>
      <c r="D740"/>
    </row>
    <row r="741" spans="1:4" x14ac:dyDescent="0.3">
      <c r="A741"/>
      <c r="B741"/>
      <c r="C741"/>
      <c r="D741"/>
    </row>
    <row r="742" spans="1:4" x14ac:dyDescent="0.3">
      <c r="A742"/>
      <c r="B742"/>
      <c r="C742"/>
      <c r="D742"/>
    </row>
    <row r="743" spans="1:4" x14ac:dyDescent="0.3">
      <c r="A743"/>
      <c r="B743"/>
      <c r="C743"/>
      <c r="D743"/>
    </row>
    <row r="744" spans="1:4" x14ac:dyDescent="0.3">
      <c r="A744"/>
      <c r="B744"/>
      <c r="C744"/>
      <c r="D744"/>
    </row>
    <row r="745" spans="1:4" x14ac:dyDescent="0.3">
      <c r="A745"/>
      <c r="B745"/>
      <c r="C745"/>
      <c r="D745"/>
    </row>
    <row r="746" spans="1:4" x14ac:dyDescent="0.3">
      <c r="A746"/>
      <c r="B746"/>
      <c r="C746"/>
      <c r="D746"/>
    </row>
    <row r="747" spans="1:4" x14ac:dyDescent="0.3">
      <c r="A747"/>
      <c r="B747"/>
      <c r="C747"/>
      <c r="D747"/>
    </row>
    <row r="748" spans="1:4" x14ac:dyDescent="0.3">
      <c r="A748"/>
      <c r="B748"/>
      <c r="C748"/>
      <c r="D748"/>
    </row>
    <row r="749" spans="1:4" x14ac:dyDescent="0.3">
      <c r="A749"/>
      <c r="B749"/>
      <c r="C749"/>
      <c r="D749"/>
    </row>
    <row r="750" spans="1:4" x14ac:dyDescent="0.3">
      <c r="A750"/>
      <c r="B750"/>
      <c r="C750"/>
      <c r="D750"/>
    </row>
    <row r="751" spans="1:4" x14ac:dyDescent="0.3">
      <c r="A751"/>
      <c r="B751"/>
      <c r="C751"/>
      <c r="D751"/>
    </row>
    <row r="752" spans="1:4" x14ac:dyDescent="0.3">
      <c r="A752"/>
      <c r="B752"/>
      <c r="C752"/>
      <c r="D752"/>
    </row>
    <row r="753" spans="1:4" x14ac:dyDescent="0.3">
      <c r="A753"/>
      <c r="B753"/>
      <c r="C753"/>
      <c r="D753"/>
    </row>
    <row r="754" spans="1:4" x14ac:dyDescent="0.3">
      <c r="A754"/>
      <c r="B754"/>
      <c r="C754"/>
      <c r="D754"/>
    </row>
    <row r="755" spans="1:4" x14ac:dyDescent="0.3">
      <c r="A755"/>
      <c r="B755"/>
      <c r="C755"/>
      <c r="D755"/>
    </row>
    <row r="756" spans="1:4" x14ac:dyDescent="0.3">
      <c r="A756"/>
      <c r="B756"/>
      <c r="C756"/>
      <c r="D756"/>
    </row>
    <row r="757" spans="1:4" x14ac:dyDescent="0.3">
      <c r="A757"/>
      <c r="B757"/>
      <c r="C757"/>
      <c r="D757"/>
    </row>
    <row r="758" spans="1:4" x14ac:dyDescent="0.3">
      <c r="A758"/>
      <c r="B758"/>
      <c r="C758"/>
      <c r="D758"/>
    </row>
    <row r="759" spans="1:4" x14ac:dyDescent="0.3">
      <c r="A759"/>
      <c r="B759"/>
      <c r="C759"/>
      <c r="D759"/>
    </row>
    <row r="760" spans="1:4" x14ac:dyDescent="0.3">
      <c r="A760"/>
      <c r="B760"/>
      <c r="C760"/>
      <c r="D760"/>
    </row>
    <row r="761" spans="1:4" x14ac:dyDescent="0.3">
      <c r="A761"/>
      <c r="B761"/>
      <c r="C761"/>
      <c r="D761"/>
    </row>
    <row r="762" spans="1:4" x14ac:dyDescent="0.3">
      <c r="A762"/>
      <c r="B762"/>
      <c r="C762"/>
      <c r="D762"/>
    </row>
    <row r="763" spans="1:4" x14ac:dyDescent="0.3">
      <c r="A763"/>
      <c r="B763"/>
      <c r="C763"/>
      <c r="D763"/>
    </row>
    <row r="764" spans="1:4" x14ac:dyDescent="0.3">
      <c r="A764"/>
      <c r="B764"/>
      <c r="C764"/>
      <c r="D764"/>
    </row>
    <row r="765" spans="1:4" x14ac:dyDescent="0.3">
      <c r="A765"/>
      <c r="B765"/>
      <c r="C765"/>
      <c r="D765"/>
    </row>
    <row r="766" spans="1:4" x14ac:dyDescent="0.3">
      <c r="A766"/>
      <c r="B766"/>
      <c r="C766"/>
      <c r="D766"/>
    </row>
    <row r="767" spans="1:4" x14ac:dyDescent="0.3">
      <c r="A767"/>
      <c r="B767"/>
      <c r="C767"/>
      <c r="D767"/>
    </row>
    <row r="768" spans="1:4" x14ac:dyDescent="0.3">
      <c r="A768"/>
      <c r="B768"/>
      <c r="C768"/>
      <c r="D768"/>
    </row>
    <row r="769" spans="1:4" x14ac:dyDescent="0.3">
      <c r="A769"/>
      <c r="B769"/>
      <c r="C769"/>
      <c r="D769"/>
    </row>
    <row r="770" spans="1:4" x14ac:dyDescent="0.3">
      <c r="A770"/>
      <c r="B770"/>
      <c r="C770"/>
      <c r="D770"/>
    </row>
    <row r="771" spans="1:4" x14ac:dyDescent="0.3">
      <c r="A771"/>
      <c r="B771"/>
      <c r="C771"/>
      <c r="D771"/>
    </row>
    <row r="772" spans="1:4" x14ac:dyDescent="0.3">
      <c r="A772"/>
      <c r="B772"/>
      <c r="C772"/>
      <c r="D772"/>
    </row>
    <row r="773" spans="1:4" x14ac:dyDescent="0.3">
      <c r="A773"/>
      <c r="B773"/>
      <c r="C773"/>
      <c r="D773"/>
    </row>
    <row r="774" spans="1:4" x14ac:dyDescent="0.3">
      <c r="A774"/>
      <c r="B774"/>
      <c r="C774"/>
      <c r="D774"/>
    </row>
    <row r="775" spans="1:4" x14ac:dyDescent="0.3">
      <c r="A775"/>
      <c r="B775"/>
      <c r="C775"/>
      <c r="D775"/>
    </row>
    <row r="776" spans="1:4" x14ac:dyDescent="0.3">
      <c r="A776"/>
      <c r="B776"/>
      <c r="C776"/>
      <c r="D776"/>
    </row>
    <row r="777" spans="1:4" x14ac:dyDescent="0.3">
      <c r="A777"/>
      <c r="B777"/>
      <c r="C777"/>
      <c r="D777"/>
    </row>
    <row r="778" spans="1:4" x14ac:dyDescent="0.3">
      <c r="A778"/>
      <c r="B778"/>
      <c r="C778"/>
      <c r="D778"/>
    </row>
    <row r="779" spans="1:4" x14ac:dyDescent="0.3">
      <c r="A779"/>
      <c r="B779"/>
      <c r="C779"/>
      <c r="D779"/>
    </row>
    <row r="780" spans="1:4" x14ac:dyDescent="0.3">
      <c r="A780"/>
      <c r="B780"/>
      <c r="C780"/>
      <c r="D780"/>
    </row>
    <row r="781" spans="1:4" x14ac:dyDescent="0.3">
      <c r="A781"/>
      <c r="B781"/>
      <c r="C781"/>
      <c r="D781"/>
    </row>
    <row r="782" spans="1:4" x14ac:dyDescent="0.3">
      <c r="A782"/>
      <c r="B782"/>
      <c r="C782"/>
      <c r="D782"/>
    </row>
    <row r="783" spans="1:4" x14ac:dyDescent="0.3">
      <c r="A783"/>
      <c r="B783"/>
      <c r="C783"/>
      <c r="D783"/>
    </row>
    <row r="784" spans="1:4" x14ac:dyDescent="0.3">
      <c r="A784"/>
      <c r="B784"/>
      <c r="C784"/>
      <c r="D784"/>
    </row>
    <row r="785" spans="1:4" x14ac:dyDescent="0.3">
      <c r="A785"/>
      <c r="B785"/>
      <c r="C785"/>
      <c r="D785"/>
    </row>
    <row r="786" spans="1:4" x14ac:dyDescent="0.3">
      <c r="A786"/>
      <c r="B786"/>
      <c r="C786"/>
      <c r="D786"/>
    </row>
    <row r="787" spans="1:4" x14ac:dyDescent="0.3">
      <c r="A787"/>
      <c r="B787"/>
      <c r="C787"/>
      <c r="D787"/>
    </row>
    <row r="788" spans="1:4" x14ac:dyDescent="0.3">
      <c r="A788"/>
      <c r="B788"/>
      <c r="C788"/>
      <c r="D788"/>
    </row>
    <row r="789" spans="1:4" x14ac:dyDescent="0.3">
      <c r="A789"/>
      <c r="B789"/>
      <c r="C789"/>
      <c r="D789"/>
    </row>
    <row r="790" spans="1:4" x14ac:dyDescent="0.3">
      <c r="A790"/>
      <c r="B790"/>
      <c r="C790"/>
      <c r="D790"/>
    </row>
    <row r="791" spans="1:4" x14ac:dyDescent="0.3">
      <c r="A791"/>
      <c r="B791"/>
      <c r="C791"/>
      <c r="D791"/>
    </row>
    <row r="792" spans="1:4" x14ac:dyDescent="0.3">
      <c r="A792"/>
      <c r="B792"/>
      <c r="C792"/>
      <c r="D792"/>
    </row>
    <row r="793" spans="1:4" x14ac:dyDescent="0.3">
      <c r="A793"/>
      <c r="B793"/>
      <c r="C793"/>
      <c r="D793"/>
    </row>
    <row r="794" spans="1:4" x14ac:dyDescent="0.3">
      <c r="A794"/>
      <c r="B794"/>
      <c r="C794"/>
      <c r="D794"/>
    </row>
    <row r="795" spans="1:4" x14ac:dyDescent="0.3">
      <c r="A795"/>
      <c r="B795"/>
      <c r="C795"/>
      <c r="D795"/>
    </row>
    <row r="796" spans="1:4" x14ac:dyDescent="0.3">
      <c r="A796"/>
      <c r="B796"/>
      <c r="C796"/>
      <c r="D796"/>
    </row>
    <row r="797" spans="1:4" x14ac:dyDescent="0.3">
      <c r="A797"/>
      <c r="B797"/>
      <c r="C797"/>
      <c r="D797"/>
    </row>
    <row r="798" spans="1:4" x14ac:dyDescent="0.3">
      <c r="A798"/>
      <c r="B798"/>
      <c r="C798"/>
      <c r="D798"/>
    </row>
    <row r="799" spans="1:4" x14ac:dyDescent="0.3">
      <c r="A799"/>
      <c r="B799"/>
      <c r="C799"/>
      <c r="D799"/>
    </row>
    <row r="800" spans="1:4" x14ac:dyDescent="0.3">
      <c r="A800"/>
      <c r="B800"/>
      <c r="C800"/>
      <c r="D800"/>
    </row>
    <row r="801" spans="1:4" x14ac:dyDescent="0.3">
      <c r="A801"/>
      <c r="B801"/>
      <c r="C801"/>
      <c r="D801"/>
    </row>
    <row r="802" spans="1:4" x14ac:dyDescent="0.3">
      <c r="A802"/>
      <c r="B802"/>
      <c r="C802"/>
      <c r="D802"/>
    </row>
    <row r="803" spans="1:4" x14ac:dyDescent="0.3">
      <c r="A803"/>
      <c r="B803"/>
      <c r="C803"/>
      <c r="D803"/>
    </row>
    <row r="804" spans="1:4" x14ac:dyDescent="0.3">
      <c r="A804"/>
      <c r="B804"/>
      <c r="C804"/>
      <c r="D804"/>
    </row>
    <row r="805" spans="1:4" x14ac:dyDescent="0.3">
      <c r="A805"/>
      <c r="B805"/>
      <c r="C805"/>
      <c r="D805"/>
    </row>
    <row r="806" spans="1:4" x14ac:dyDescent="0.3">
      <c r="A806"/>
      <c r="B806"/>
      <c r="C806"/>
      <c r="D806"/>
    </row>
    <row r="807" spans="1:4" x14ac:dyDescent="0.3">
      <c r="A807"/>
      <c r="B807"/>
      <c r="C807"/>
      <c r="D807"/>
    </row>
    <row r="808" spans="1:4" x14ac:dyDescent="0.3">
      <c r="A808"/>
      <c r="B808"/>
      <c r="C808"/>
      <c r="D808"/>
    </row>
    <row r="809" spans="1:4" x14ac:dyDescent="0.3">
      <c r="A809"/>
      <c r="B809"/>
      <c r="C809"/>
      <c r="D809"/>
    </row>
    <row r="810" spans="1:4" x14ac:dyDescent="0.3">
      <c r="A810"/>
      <c r="B810"/>
      <c r="C810"/>
      <c r="D810"/>
    </row>
    <row r="811" spans="1:4" x14ac:dyDescent="0.3">
      <c r="A811"/>
      <c r="B811"/>
      <c r="C811"/>
      <c r="D811"/>
    </row>
    <row r="812" spans="1:4" x14ac:dyDescent="0.3">
      <c r="A812"/>
      <c r="B812"/>
      <c r="C812"/>
      <c r="D812"/>
    </row>
    <row r="813" spans="1:4" x14ac:dyDescent="0.3">
      <c r="A813"/>
      <c r="B813"/>
      <c r="C813"/>
      <c r="D813"/>
    </row>
    <row r="814" spans="1:4" x14ac:dyDescent="0.3">
      <c r="A814"/>
      <c r="B814"/>
      <c r="C814"/>
      <c r="D814"/>
    </row>
    <row r="815" spans="1:4" x14ac:dyDescent="0.3">
      <c r="A815"/>
      <c r="B815"/>
      <c r="C815"/>
      <c r="D815"/>
    </row>
    <row r="816" spans="1:4" x14ac:dyDescent="0.3">
      <c r="A816"/>
      <c r="B816"/>
      <c r="C816"/>
      <c r="D816"/>
    </row>
    <row r="817" spans="1:4" x14ac:dyDescent="0.3">
      <c r="A817"/>
      <c r="B817"/>
      <c r="C817"/>
      <c r="D817"/>
    </row>
    <row r="818" spans="1:4" x14ac:dyDescent="0.3">
      <c r="A818"/>
      <c r="B818"/>
      <c r="C818"/>
      <c r="D818"/>
    </row>
    <row r="819" spans="1:4" x14ac:dyDescent="0.3">
      <c r="A819"/>
      <c r="B819"/>
      <c r="C819"/>
      <c r="D819"/>
    </row>
    <row r="820" spans="1:4" x14ac:dyDescent="0.3">
      <c r="A820"/>
      <c r="B820"/>
      <c r="C820"/>
      <c r="D820"/>
    </row>
    <row r="821" spans="1:4" x14ac:dyDescent="0.3">
      <c r="A821"/>
      <c r="B821"/>
      <c r="C821"/>
      <c r="D821"/>
    </row>
    <row r="822" spans="1:4" x14ac:dyDescent="0.3">
      <c r="A822"/>
      <c r="B822"/>
      <c r="C822"/>
      <c r="D822"/>
    </row>
    <row r="823" spans="1:4" x14ac:dyDescent="0.3">
      <c r="A823"/>
      <c r="B823"/>
      <c r="C823"/>
      <c r="D823"/>
    </row>
    <row r="824" spans="1:4" x14ac:dyDescent="0.3">
      <c r="A824"/>
      <c r="B824"/>
      <c r="C824"/>
      <c r="D824"/>
    </row>
    <row r="825" spans="1:4" x14ac:dyDescent="0.3">
      <c r="A825"/>
      <c r="B825"/>
      <c r="C825"/>
      <c r="D825"/>
    </row>
    <row r="826" spans="1:4" x14ac:dyDescent="0.3">
      <c r="A826"/>
      <c r="B826"/>
      <c r="C826"/>
      <c r="D826"/>
    </row>
    <row r="827" spans="1:4" x14ac:dyDescent="0.3">
      <c r="A827"/>
      <c r="B827"/>
      <c r="C827"/>
      <c r="D827"/>
    </row>
    <row r="828" spans="1:4" x14ac:dyDescent="0.3">
      <c r="A828"/>
      <c r="B828"/>
      <c r="C828"/>
      <c r="D828"/>
    </row>
    <row r="829" spans="1:4" x14ac:dyDescent="0.3">
      <c r="A829"/>
      <c r="B829"/>
      <c r="C829"/>
      <c r="D829"/>
    </row>
    <row r="830" spans="1:4" x14ac:dyDescent="0.3">
      <c r="A830"/>
      <c r="B830"/>
      <c r="C830"/>
      <c r="D830"/>
    </row>
    <row r="831" spans="1:4" x14ac:dyDescent="0.3">
      <c r="A831"/>
      <c r="B831"/>
      <c r="C831"/>
      <c r="D831"/>
    </row>
    <row r="832" spans="1:4" x14ac:dyDescent="0.3">
      <c r="A832"/>
      <c r="B832"/>
      <c r="C832"/>
      <c r="D832"/>
    </row>
    <row r="833" spans="1:4" x14ac:dyDescent="0.3">
      <c r="A833"/>
      <c r="B833"/>
      <c r="C833"/>
      <c r="D833"/>
    </row>
    <row r="834" spans="1:4" x14ac:dyDescent="0.3">
      <c r="A834"/>
      <c r="B834"/>
      <c r="C834"/>
      <c r="D834"/>
    </row>
    <row r="835" spans="1:4" x14ac:dyDescent="0.3">
      <c r="A835"/>
      <c r="B835"/>
      <c r="C835"/>
      <c r="D835"/>
    </row>
    <row r="836" spans="1:4" x14ac:dyDescent="0.3">
      <c r="A836"/>
      <c r="B836"/>
      <c r="C836"/>
      <c r="D836"/>
    </row>
    <row r="837" spans="1:4" x14ac:dyDescent="0.3">
      <c r="A837"/>
      <c r="B837"/>
      <c r="C837"/>
      <c r="D837"/>
    </row>
    <row r="838" spans="1:4" x14ac:dyDescent="0.3">
      <c r="A838"/>
      <c r="B838"/>
      <c r="C838"/>
      <c r="D838"/>
    </row>
    <row r="839" spans="1:4" x14ac:dyDescent="0.3">
      <c r="A839"/>
      <c r="B839"/>
      <c r="C839"/>
      <c r="D839"/>
    </row>
    <row r="840" spans="1:4" x14ac:dyDescent="0.3">
      <c r="A840"/>
      <c r="B840"/>
      <c r="C840"/>
      <c r="D840"/>
    </row>
    <row r="841" spans="1:4" x14ac:dyDescent="0.3">
      <c r="A841"/>
      <c r="B841"/>
      <c r="C841"/>
      <c r="D841"/>
    </row>
    <row r="842" spans="1:4" x14ac:dyDescent="0.3">
      <c r="A842"/>
      <c r="B842"/>
      <c r="C842"/>
      <c r="D842"/>
    </row>
    <row r="843" spans="1:4" x14ac:dyDescent="0.3">
      <c r="A843"/>
      <c r="B843"/>
      <c r="C843"/>
      <c r="D843"/>
    </row>
    <row r="844" spans="1:4" x14ac:dyDescent="0.3">
      <c r="A844"/>
      <c r="B844"/>
      <c r="C844"/>
      <c r="D844"/>
    </row>
    <row r="845" spans="1:4" x14ac:dyDescent="0.3">
      <c r="A845"/>
      <c r="B845"/>
      <c r="C845"/>
      <c r="D845"/>
    </row>
    <row r="846" spans="1:4" x14ac:dyDescent="0.3">
      <c r="A846"/>
      <c r="B846"/>
      <c r="C846"/>
      <c r="D846"/>
    </row>
    <row r="847" spans="1:4" x14ac:dyDescent="0.3">
      <c r="A847"/>
      <c r="B847"/>
      <c r="C847"/>
      <c r="D847"/>
    </row>
    <row r="848" spans="1:4" x14ac:dyDescent="0.3">
      <c r="A848"/>
      <c r="B848"/>
      <c r="C848"/>
      <c r="D848"/>
    </row>
    <row r="849" spans="1:4" x14ac:dyDescent="0.3">
      <c r="A849"/>
      <c r="B849"/>
      <c r="C849"/>
      <c r="D849"/>
    </row>
    <row r="850" spans="1:4" x14ac:dyDescent="0.3">
      <c r="A850"/>
      <c r="B850"/>
      <c r="C850"/>
      <c r="D850"/>
    </row>
    <row r="851" spans="1:4" x14ac:dyDescent="0.3">
      <c r="A851"/>
      <c r="B851"/>
      <c r="C851"/>
      <c r="D851"/>
    </row>
    <row r="852" spans="1:4" x14ac:dyDescent="0.3">
      <c r="A852"/>
      <c r="B852"/>
      <c r="C852"/>
      <c r="D852"/>
    </row>
    <row r="853" spans="1:4" x14ac:dyDescent="0.3">
      <c r="A853"/>
      <c r="B853"/>
      <c r="C853"/>
      <c r="D853"/>
    </row>
    <row r="854" spans="1:4" x14ac:dyDescent="0.3">
      <c r="A854"/>
      <c r="B854"/>
      <c r="C854"/>
      <c r="D854"/>
    </row>
    <row r="855" spans="1:4" x14ac:dyDescent="0.3">
      <c r="A855"/>
      <c r="B855"/>
      <c r="C855"/>
      <c r="D855"/>
    </row>
    <row r="856" spans="1:4" x14ac:dyDescent="0.3">
      <c r="A856"/>
      <c r="B856"/>
      <c r="C856"/>
      <c r="D856"/>
    </row>
    <row r="857" spans="1:4" x14ac:dyDescent="0.3">
      <c r="A857"/>
      <c r="B857"/>
      <c r="C857"/>
      <c r="D857"/>
    </row>
    <row r="858" spans="1:4" x14ac:dyDescent="0.3">
      <c r="A858"/>
      <c r="B858"/>
      <c r="C858"/>
      <c r="D858"/>
    </row>
    <row r="859" spans="1:4" x14ac:dyDescent="0.3">
      <c r="A859"/>
      <c r="B859"/>
      <c r="C859"/>
      <c r="D859"/>
    </row>
    <row r="860" spans="1:4" x14ac:dyDescent="0.3">
      <c r="A860"/>
      <c r="B860"/>
      <c r="C860"/>
      <c r="D860"/>
    </row>
    <row r="861" spans="1:4" x14ac:dyDescent="0.3">
      <c r="A861"/>
      <c r="B861"/>
      <c r="C861"/>
      <c r="D861"/>
    </row>
    <row r="862" spans="1:4" x14ac:dyDescent="0.3">
      <c r="A862"/>
      <c r="B862"/>
      <c r="C862"/>
      <c r="D862"/>
    </row>
    <row r="863" spans="1:4" x14ac:dyDescent="0.3">
      <c r="A863"/>
      <c r="B863"/>
      <c r="C863"/>
      <c r="D863"/>
    </row>
    <row r="864" spans="1:4" x14ac:dyDescent="0.3">
      <c r="A864"/>
      <c r="B864"/>
      <c r="C864"/>
      <c r="D864"/>
    </row>
    <row r="865" spans="1:4" x14ac:dyDescent="0.3">
      <c r="A865"/>
      <c r="B865"/>
      <c r="C865"/>
      <c r="D865"/>
    </row>
    <row r="866" spans="1:4" x14ac:dyDescent="0.3">
      <c r="A866"/>
      <c r="B866"/>
      <c r="C866"/>
      <c r="D866"/>
    </row>
    <row r="867" spans="1:4" x14ac:dyDescent="0.3">
      <c r="A867"/>
      <c r="B867"/>
      <c r="C867"/>
      <c r="D867"/>
    </row>
    <row r="868" spans="1:4" x14ac:dyDescent="0.3">
      <c r="A868"/>
      <c r="B868"/>
      <c r="C868"/>
      <c r="D868"/>
    </row>
    <row r="869" spans="1:4" x14ac:dyDescent="0.3">
      <c r="A869"/>
      <c r="B869"/>
      <c r="C869"/>
      <c r="D869"/>
    </row>
    <row r="870" spans="1:4" x14ac:dyDescent="0.3">
      <c r="A870"/>
      <c r="B870"/>
      <c r="C870"/>
      <c r="D870"/>
    </row>
    <row r="871" spans="1:4" x14ac:dyDescent="0.3">
      <c r="A871"/>
      <c r="B871"/>
      <c r="C871"/>
      <c r="D871"/>
    </row>
    <row r="872" spans="1:4" x14ac:dyDescent="0.3">
      <c r="A872"/>
      <c r="B872"/>
      <c r="C872"/>
      <c r="D872"/>
    </row>
    <row r="873" spans="1:4" x14ac:dyDescent="0.3">
      <c r="A873"/>
      <c r="B873"/>
      <c r="C873"/>
      <c r="D873"/>
    </row>
    <row r="874" spans="1:4" x14ac:dyDescent="0.3">
      <c r="A874"/>
      <c r="B874"/>
      <c r="C874"/>
      <c r="D874"/>
    </row>
    <row r="875" spans="1:4" x14ac:dyDescent="0.3">
      <c r="A875"/>
      <c r="B875"/>
      <c r="C875"/>
      <c r="D875"/>
    </row>
    <row r="876" spans="1:4" x14ac:dyDescent="0.3">
      <c r="A876"/>
      <c r="B876"/>
      <c r="C876"/>
      <c r="D876"/>
    </row>
    <row r="877" spans="1:4" x14ac:dyDescent="0.3">
      <c r="A877"/>
      <c r="B877"/>
      <c r="C877"/>
      <c r="D877"/>
    </row>
    <row r="878" spans="1:4" x14ac:dyDescent="0.3">
      <c r="A878"/>
      <c r="B878"/>
      <c r="C878"/>
      <c r="D878"/>
    </row>
    <row r="879" spans="1:4" x14ac:dyDescent="0.3">
      <c r="A879"/>
      <c r="B879"/>
      <c r="C879"/>
      <c r="D879"/>
    </row>
    <row r="880" spans="1:4" x14ac:dyDescent="0.3">
      <c r="A880"/>
      <c r="B880"/>
      <c r="C880"/>
      <c r="D880"/>
    </row>
    <row r="881" spans="1:4" x14ac:dyDescent="0.3">
      <c r="A881"/>
      <c r="B881"/>
      <c r="C881"/>
      <c r="D881"/>
    </row>
    <row r="882" spans="1:4" x14ac:dyDescent="0.3">
      <c r="A882"/>
      <c r="B882"/>
      <c r="C882"/>
      <c r="D882"/>
    </row>
    <row r="883" spans="1:4" x14ac:dyDescent="0.3">
      <c r="A883"/>
      <c r="B883"/>
      <c r="C883"/>
      <c r="D883"/>
    </row>
    <row r="884" spans="1:4" x14ac:dyDescent="0.3">
      <c r="A884"/>
      <c r="B884"/>
      <c r="C884"/>
      <c r="D884"/>
    </row>
    <row r="885" spans="1:4" x14ac:dyDescent="0.3">
      <c r="A885"/>
      <c r="B885"/>
      <c r="C885"/>
      <c r="D885"/>
    </row>
    <row r="886" spans="1:4" x14ac:dyDescent="0.3">
      <c r="A886"/>
      <c r="B886"/>
      <c r="C886"/>
      <c r="D886"/>
    </row>
    <row r="887" spans="1:4" x14ac:dyDescent="0.3">
      <c r="A887"/>
      <c r="B887"/>
      <c r="C887"/>
      <c r="D887"/>
    </row>
    <row r="888" spans="1:4" x14ac:dyDescent="0.3">
      <c r="A888"/>
      <c r="B888"/>
      <c r="C888"/>
      <c r="D888"/>
    </row>
    <row r="889" spans="1:4" x14ac:dyDescent="0.3">
      <c r="A889"/>
      <c r="B889"/>
      <c r="C889"/>
      <c r="D889"/>
    </row>
    <row r="890" spans="1:4" x14ac:dyDescent="0.3">
      <c r="A890"/>
      <c r="B890"/>
      <c r="C890"/>
      <c r="D890"/>
    </row>
    <row r="891" spans="1:4" x14ac:dyDescent="0.3">
      <c r="A891"/>
      <c r="B891"/>
      <c r="C891"/>
      <c r="D891"/>
    </row>
    <row r="892" spans="1:4" x14ac:dyDescent="0.3">
      <c r="A892"/>
      <c r="B892"/>
      <c r="C892"/>
      <c r="D892"/>
    </row>
    <row r="893" spans="1:4" x14ac:dyDescent="0.3">
      <c r="A893"/>
      <c r="B893"/>
      <c r="C893"/>
      <c r="D893"/>
    </row>
    <row r="894" spans="1:4" x14ac:dyDescent="0.3">
      <c r="A894"/>
      <c r="B894"/>
      <c r="C894"/>
      <c r="D894"/>
    </row>
    <row r="895" spans="1:4" x14ac:dyDescent="0.3">
      <c r="A895"/>
      <c r="B895"/>
      <c r="C895"/>
      <c r="D895"/>
    </row>
    <row r="896" spans="1:4" x14ac:dyDescent="0.3">
      <c r="A896"/>
      <c r="B896"/>
      <c r="C896"/>
      <c r="D896"/>
    </row>
    <row r="897" spans="1:4" x14ac:dyDescent="0.3">
      <c r="A897"/>
      <c r="B897"/>
      <c r="C897"/>
      <c r="D897"/>
    </row>
    <row r="898" spans="1:4" x14ac:dyDescent="0.3">
      <c r="A898"/>
      <c r="B898"/>
      <c r="C898"/>
      <c r="D898"/>
    </row>
    <row r="899" spans="1:4" x14ac:dyDescent="0.3">
      <c r="A899"/>
      <c r="B899"/>
      <c r="C899"/>
      <c r="D899"/>
    </row>
    <row r="900" spans="1:4" x14ac:dyDescent="0.3">
      <c r="A900"/>
      <c r="B900"/>
      <c r="C900"/>
      <c r="D900"/>
    </row>
    <row r="901" spans="1:4" x14ac:dyDescent="0.3">
      <c r="A901"/>
      <c r="B901"/>
      <c r="C901"/>
      <c r="D901"/>
    </row>
    <row r="902" spans="1:4" x14ac:dyDescent="0.3">
      <c r="A902"/>
      <c r="B902"/>
      <c r="C902"/>
      <c r="D902"/>
    </row>
    <row r="903" spans="1:4" x14ac:dyDescent="0.3">
      <c r="A903"/>
      <c r="B903"/>
      <c r="C903"/>
      <c r="D903"/>
    </row>
    <row r="904" spans="1:4" x14ac:dyDescent="0.3">
      <c r="A904"/>
      <c r="B904"/>
      <c r="C904"/>
      <c r="D904"/>
    </row>
    <row r="905" spans="1:4" x14ac:dyDescent="0.3">
      <c r="A905"/>
      <c r="B905"/>
      <c r="C905"/>
      <c r="D905"/>
    </row>
    <row r="906" spans="1:4" x14ac:dyDescent="0.3">
      <c r="A906"/>
      <c r="B906"/>
      <c r="C906"/>
      <c r="D906"/>
    </row>
    <row r="907" spans="1:4" x14ac:dyDescent="0.3">
      <c r="A907"/>
      <c r="B907"/>
      <c r="C907"/>
      <c r="D907"/>
    </row>
    <row r="908" spans="1:4" x14ac:dyDescent="0.3">
      <c r="A908"/>
      <c r="B908"/>
      <c r="C908"/>
      <c r="D908"/>
    </row>
    <row r="909" spans="1:4" x14ac:dyDescent="0.3">
      <c r="A909"/>
      <c r="B909"/>
      <c r="C909"/>
      <c r="D909"/>
    </row>
    <row r="910" spans="1:4" x14ac:dyDescent="0.3">
      <c r="A910"/>
      <c r="B910"/>
      <c r="C910"/>
      <c r="D910"/>
    </row>
    <row r="911" spans="1:4" x14ac:dyDescent="0.3">
      <c r="A911"/>
      <c r="B911"/>
      <c r="C911"/>
      <c r="D911"/>
    </row>
    <row r="912" spans="1:4" x14ac:dyDescent="0.3">
      <c r="A912"/>
      <c r="B912"/>
      <c r="C912"/>
      <c r="D912"/>
    </row>
    <row r="913" spans="1:4" x14ac:dyDescent="0.3">
      <c r="A913"/>
      <c r="B913"/>
      <c r="C913"/>
      <c r="D913"/>
    </row>
    <row r="914" spans="1:4" x14ac:dyDescent="0.3">
      <c r="A914"/>
      <c r="B914"/>
      <c r="C914"/>
      <c r="D914"/>
    </row>
    <row r="915" spans="1:4" x14ac:dyDescent="0.3">
      <c r="A915"/>
      <c r="B915"/>
      <c r="C915"/>
      <c r="D915"/>
    </row>
    <row r="916" spans="1:4" x14ac:dyDescent="0.3">
      <c r="A916"/>
      <c r="B916"/>
      <c r="C916"/>
      <c r="D916"/>
    </row>
    <row r="917" spans="1:4" x14ac:dyDescent="0.3">
      <c r="A917"/>
      <c r="B917"/>
      <c r="C917"/>
      <c r="D917"/>
    </row>
    <row r="918" spans="1:4" x14ac:dyDescent="0.3">
      <c r="A918"/>
      <c r="B918"/>
      <c r="C918"/>
      <c r="D918"/>
    </row>
    <row r="919" spans="1:4" x14ac:dyDescent="0.3">
      <c r="A919"/>
      <c r="B919"/>
      <c r="C919"/>
      <c r="D919"/>
    </row>
    <row r="920" spans="1:4" x14ac:dyDescent="0.3">
      <c r="A920"/>
      <c r="B920"/>
      <c r="C920"/>
      <c r="D920"/>
    </row>
    <row r="921" spans="1:4" x14ac:dyDescent="0.3">
      <c r="A921"/>
      <c r="B921"/>
      <c r="C921"/>
      <c r="D921"/>
    </row>
    <row r="922" spans="1:4" x14ac:dyDescent="0.3">
      <c r="A922"/>
      <c r="B922"/>
      <c r="C922"/>
      <c r="D922"/>
    </row>
    <row r="923" spans="1:4" x14ac:dyDescent="0.3">
      <c r="A923"/>
      <c r="B923"/>
      <c r="C923"/>
      <c r="D923"/>
    </row>
    <row r="924" spans="1:4" x14ac:dyDescent="0.3">
      <c r="A924"/>
      <c r="B924"/>
      <c r="C924"/>
      <c r="D924"/>
    </row>
    <row r="925" spans="1:4" x14ac:dyDescent="0.3">
      <c r="A925"/>
      <c r="B925"/>
      <c r="C925"/>
      <c r="D925"/>
    </row>
    <row r="926" spans="1:4" x14ac:dyDescent="0.3">
      <c r="A926"/>
      <c r="B926"/>
      <c r="C926"/>
      <c r="D926"/>
    </row>
    <row r="927" spans="1:4" x14ac:dyDescent="0.3">
      <c r="A927"/>
      <c r="B927"/>
      <c r="C927"/>
      <c r="D927"/>
    </row>
    <row r="928" spans="1:4" x14ac:dyDescent="0.3">
      <c r="A928"/>
      <c r="B928"/>
      <c r="C928"/>
      <c r="D928"/>
    </row>
    <row r="929" spans="1:4" x14ac:dyDescent="0.3">
      <c r="A929"/>
      <c r="B929"/>
      <c r="C929"/>
      <c r="D929"/>
    </row>
    <row r="930" spans="1:4" x14ac:dyDescent="0.3">
      <c r="A930"/>
      <c r="B930"/>
      <c r="C930"/>
      <c r="D930"/>
    </row>
    <row r="931" spans="1:4" x14ac:dyDescent="0.3">
      <c r="A931"/>
      <c r="B931"/>
      <c r="C931"/>
      <c r="D931"/>
    </row>
    <row r="932" spans="1:4" x14ac:dyDescent="0.3">
      <c r="A932"/>
      <c r="B932"/>
      <c r="C932"/>
      <c r="D932"/>
    </row>
    <row r="933" spans="1:4" x14ac:dyDescent="0.3">
      <c r="A933"/>
      <c r="B933"/>
      <c r="C933"/>
      <c r="D933"/>
    </row>
    <row r="934" spans="1:4" x14ac:dyDescent="0.3">
      <c r="A934"/>
      <c r="B934"/>
      <c r="C934"/>
      <c r="D934"/>
    </row>
    <row r="935" spans="1:4" x14ac:dyDescent="0.3">
      <c r="A935"/>
      <c r="B935"/>
      <c r="C935"/>
      <c r="D935"/>
    </row>
    <row r="936" spans="1:4" x14ac:dyDescent="0.3">
      <c r="A936"/>
      <c r="B936"/>
      <c r="C936"/>
      <c r="D936"/>
    </row>
    <row r="937" spans="1:4" x14ac:dyDescent="0.3">
      <c r="A937"/>
      <c r="B937"/>
      <c r="C937"/>
      <c r="D937"/>
    </row>
    <row r="938" spans="1:4" x14ac:dyDescent="0.3">
      <c r="A938"/>
      <c r="B938"/>
      <c r="C938"/>
      <c r="D938"/>
    </row>
    <row r="939" spans="1:4" x14ac:dyDescent="0.3">
      <c r="A939"/>
      <c r="B939"/>
      <c r="C939"/>
      <c r="D939"/>
    </row>
    <row r="940" spans="1:4" x14ac:dyDescent="0.3">
      <c r="A940"/>
      <c r="B940"/>
      <c r="C940"/>
      <c r="D940"/>
    </row>
    <row r="941" spans="1:4" x14ac:dyDescent="0.3">
      <c r="A941"/>
      <c r="B941"/>
      <c r="C941"/>
      <c r="D941"/>
    </row>
    <row r="942" spans="1:4" x14ac:dyDescent="0.3">
      <c r="A942"/>
      <c r="B942"/>
      <c r="C942"/>
      <c r="D942"/>
    </row>
    <row r="943" spans="1:4" x14ac:dyDescent="0.3">
      <c r="A943"/>
      <c r="B943"/>
      <c r="C943"/>
      <c r="D943"/>
    </row>
    <row r="944" spans="1:4" x14ac:dyDescent="0.3">
      <c r="A944"/>
      <c r="B944"/>
      <c r="C944"/>
      <c r="D944"/>
    </row>
    <row r="945" spans="1:4" x14ac:dyDescent="0.3">
      <c r="A945"/>
      <c r="B945"/>
      <c r="C945"/>
      <c r="D945"/>
    </row>
    <row r="946" spans="1:4" x14ac:dyDescent="0.3">
      <c r="A946"/>
      <c r="B946"/>
      <c r="C946"/>
      <c r="D946"/>
    </row>
    <row r="947" spans="1:4" x14ac:dyDescent="0.3">
      <c r="A947"/>
      <c r="B947"/>
      <c r="C947"/>
      <c r="D947"/>
    </row>
    <row r="948" spans="1:4" x14ac:dyDescent="0.3">
      <c r="A948"/>
      <c r="B948"/>
      <c r="C948"/>
      <c r="D948"/>
    </row>
    <row r="949" spans="1:4" x14ac:dyDescent="0.3">
      <c r="A949"/>
      <c r="B949"/>
      <c r="C949"/>
      <c r="D949"/>
    </row>
    <row r="950" spans="1:4" x14ac:dyDescent="0.3">
      <c r="A950"/>
      <c r="B950"/>
      <c r="C950"/>
      <c r="D950"/>
    </row>
    <row r="951" spans="1:4" x14ac:dyDescent="0.3">
      <c r="A951"/>
      <c r="B951"/>
      <c r="C951"/>
      <c r="D951"/>
    </row>
    <row r="952" spans="1:4" x14ac:dyDescent="0.3">
      <c r="A952"/>
      <c r="B952"/>
      <c r="C952"/>
      <c r="D952"/>
    </row>
    <row r="953" spans="1:4" x14ac:dyDescent="0.3">
      <c r="A953"/>
      <c r="B953"/>
      <c r="C953"/>
      <c r="D953"/>
    </row>
    <row r="954" spans="1:4" x14ac:dyDescent="0.3">
      <c r="A954"/>
      <c r="B954"/>
      <c r="C954"/>
      <c r="D954"/>
    </row>
    <row r="955" spans="1:4" x14ac:dyDescent="0.3">
      <c r="A955"/>
      <c r="B955"/>
      <c r="C955"/>
      <c r="D955"/>
    </row>
    <row r="956" spans="1:4" x14ac:dyDescent="0.3">
      <c r="A956"/>
      <c r="B956"/>
      <c r="C956"/>
      <c r="D956"/>
    </row>
    <row r="957" spans="1:4" x14ac:dyDescent="0.3">
      <c r="A957"/>
      <c r="B957"/>
      <c r="C957"/>
      <c r="D957"/>
    </row>
    <row r="958" spans="1:4" x14ac:dyDescent="0.3">
      <c r="A958"/>
      <c r="B958"/>
      <c r="C958"/>
      <c r="D958"/>
    </row>
    <row r="959" spans="1:4" x14ac:dyDescent="0.3">
      <c r="A959"/>
      <c r="B959"/>
      <c r="C959"/>
      <c r="D959"/>
    </row>
    <row r="960" spans="1:4" x14ac:dyDescent="0.3">
      <c r="A960"/>
      <c r="B960"/>
      <c r="C960"/>
      <c r="D960"/>
    </row>
    <row r="961" spans="1:4" x14ac:dyDescent="0.3">
      <c r="A961"/>
      <c r="B961"/>
      <c r="C961"/>
      <c r="D961"/>
    </row>
    <row r="962" spans="1:4" x14ac:dyDescent="0.3">
      <c r="A962"/>
      <c r="B962"/>
      <c r="C962"/>
      <c r="D962"/>
    </row>
    <row r="963" spans="1:4" x14ac:dyDescent="0.3">
      <c r="A963"/>
      <c r="B963"/>
      <c r="C963"/>
      <c r="D963"/>
    </row>
    <row r="964" spans="1:4" x14ac:dyDescent="0.3">
      <c r="A964"/>
      <c r="B964"/>
      <c r="C964"/>
      <c r="D964"/>
    </row>
    <row r="965" spans="1:4" x14ac:dyDescent="0.3">
      <c r="A965"/>
      <c r="B965"/>
      <c r="C965"/>
      <c r="D965"/>
    </row>
    <row r="966" spans="1:4" x14ac:dyDescent="0.3">
      <c r="A966"/>
      <c r="B966"/>
      <c r="C966"/>
      <c r="D966"/>
    </row>
    <row r="967" spans="1:4" x14ac:dyDescent="0.3">
      <c r="A967"/>
      <c r="B967"/>
      <c r="C967"/>
      <c r="D967"/>
    </row>
    <row r="968" spans="1:4" x14ac:dyDescent="0.3">
      <c r="A968"/>
      <c r="B968"/>
      <c r="C968"/>
      <c r="D968"/>
    </row>
    <row r="969" spans="1:4" x14ac:dyDescent="0.3">
      <c r="A969"/>
      <c r="B969"/>
      <c r="C969"/>
      <c r="D969"/>
    </row>
    <row r="970" spans="1:4" x14ac:dyDescent="0.3">
      <c r="A970"/>
      <c r="B970"/>
      <c r="C970"/>
      <c r="D970"/>
    </row>
    <row r="971" spans="1:4" x14ac:dyDescent="0.3">
      <c r="A971"/>
      <c r="B971"/>
      <c r="C971"/>
      <c r="D971"/>
    </row>
    <row r="972" spans="1:4" x14ac:dyDescent="0.3">
      <c r="A972"/>
      <c r="B972"/>
      <c r="C972"/>
      <c r="D972"/>
    </row>
    <row r="973" spans="1:4" x14ac:dyDescent="0.3">
      <c r="A973"/>
      <c r="B973"/>
      <c r="C973"/>
      <c r="D973"/>
    </row>
    <row r="974" spans="1:4" x14ac:dyDescent="0.3">
      <c r="A974"/>
      <c r="B974"/>
      <c r="C974"/>
      <c r="D974"/>
    </row>
    <row r="975" spans="1:4" x14ac:dyDescent="0.3">
      <c r="A975"/>
      <c r="B975"/>
      <c r="C975"/>
      <c r="D975"/>
    </row>
    <row r="976" spans="1:4" x14ac:dyDescent="0.3">
      <c r="A976"/>
      <c r="B976"/>
      <c r="C976"/>
      <c r="D976"/>
    </row>
    <row r="977" spans="1:4" x14ac:dyDescent="0.3">
      <c r="A977"/>
      <c r="B977"/>
      <c r="C977"/>
      <c r="D977"/>
    </row>
    <row r="978" spans="1:4" x14ac:dyDescent="0.3">
      <c r="A978"/>
      <c r="B978"/>
      <c r="C978"/>
      <c r="D978"/>
    </row>
    <row r="979" spans="1:4" x14ac:dyDescent="0.3">
      <c r="A979"/>
      <c r="B979"/>
      <c r="C979"/>
      <c r="D979"/>
    </row>
    <row r="980" spans="1:4" x14ac:dyDescent="0.3">
      <c r="A980"/>
      <c r="B980"/>
      <c r="C980"/>
      <c r="D980"/>
    </row>
    <row r="981" spans="1:4" x14ac:dyDescent="0.3">
      <c r="A981"/>
      <c r="B981"/>
      <c r="C981"/>
      <c r="D981"/>
    </row>
    <row r="982" spans="1:4" x14ac:dyDescent="0.3">
      <c r="A982"/>
      <c r="B982"/>
      <c r="C982"/>
      <c r="D982"/>
    </row>
    <row r="983" spans="1:4" x14ac:dyDescent="0.3">
      <c r="A983"/>
      <c r="B983"/>
      <c r="C983"/>
      <c r="D983"/>
    </row>
    <row r="984" spans="1:4" x14ac:dyDescent="0.3">
      <c r="A984"/>
      <c r="B984"/>
      <c r="C984"/>
      <c r="D984"/>
    </row>
    <row r="985" spans="1:4" x14ac:dyDescent="0.3">
      <c r="A985"/>
      <c r="B985"/>
      <c r="C985"/>
      <c r="D985"/>
    </row>
    <row r="986" spans="1:4" x14ac:dyDescent="0.3">
      <c r="A986"/>
      <c r="B986"/>
      <c r="C986"/>
      <c r="D986"/>
    </row>
    <row r="987" spans="1:4" x14ac:dyDescent="0.3">
      <c r="A987"/>
      <c r="B987"/>
      <c r="C987"/>
      <c r="D987"/>
    </row>
    <row r="988" spans="1:4" x14ac:dyDescent="0.3">
      <c r="A988"/>
      <c r="B988"/>
      <c r="C988"/>
      <c r="D988"/>
    </row>
    <row r="989" spans="1:4" x14ac:dyDescent="0.3">
      <c r="A989"/>
      <c r="B989"/>
      <c r="C989"/>
      <c r="D989"/>
    </row>
    <row r="990" spans="1:4" x14ac:dyDescent="0.3">
      <c r="A990"/>
      <c r="B990"/>
      <c r="C990"/>
      <c r="D990"/>
    </row>
    <row r="991" spans="1:4" x14ac:dyDescent="0.3">
      <c r="A991"/>
      <c r="B991"/>
      <c r="C991"/>
      <c r="D991"/>
    </row>
    <row r="992" spans="1:4" x14ac:dyDescent="0.3">
      <c r="A992"/>
      <c r="B992"/>
      <c r="C992"/>
      <c r="D992"/>
    </row>
    <row r="993" spans="1:4" x14ac:dyDescent="0.3">
      <c r="A993"/>
      <c r="B993"/>
      <c r="C993"/>
      <c r="D993"/>
    </row>
    <row r="994" spans="1:4" x14ac:dyDescent="0.3">
      <c r="A994"/>
      <c r="B994"/>
      <c r="C994"/>
      <c r="D994"/>
    </row>
    <row r="995" spans="1:4" x14ac:dyDescent="0.3">
      <c r="A995"/>
      <c r="B995"/>
      <c r="C995"/>
      <c r="D995"/>
    </row>
    <row r="996" spans="1:4" x14ac:dyDescent="0.3">
      <c r="A996"/>
      <c r="B996"/>
      <c r="C996"/>
      <c r="D996"/>
    </row>
    <row r="997" spans="1:4" x14ac:dyDescent="0.3">
      <c r="A997"/>
      <c r="B997"/>
      <c r="C997"/>
      <c r="D997"/>
    </row>
    <row r="998" spans="1:4" x14ac:dyDescent="0.3">
      <c r="A998"/>
      <c r="B998"/>
      <c r="C998"/>
      <c r="D998"/>
    </row>
    <row r="999" spans="1:4" x14ac:dyDescent="0.3">
      <c r="A999"/>
      <c r="B999"/>
      <c r="C999"/>
      <c r="D999"/>
    </row>
    <row r="1000" spans="1:4" x14ac:dyDescent="0.3">
      <c r="A1000"/>
      <c r="B1000"/>
      <c r="C1000"/>
      <c r="D1000"/>
    </row>
    <row r="1001" spans="1:4" x14ac:dyDescent="0.3">
      <c r="A1001"/>
      <c r="B1001"/>
      <c r="C1001"/>
      <c r="D1001"/>
    </row>
    <row r="1002" spans="1:4" x14ac:dyDescent="0.3">
      <c r="A1002"/>
      <c r="B1002"/>
      <c r="C1002"/>
      <c r="D1002"/>
    </row>
    <row r="1003" spans="1:4" x14ac:dyDescent="0.3">
      <c r="A1003"/>
      <c r="B1003"/>
      <c r="C1003"/>
      <c r="D1003"/>
    </row>
    <row r="1004" spans="1:4" x14ac:dyDescent="0.3">
      <c r="A1004"/>
      <c r="B1004"/>
      <c r="C1004"/>
      <c r="D1004"/>
    </row>
    <row r="1005" spans="1:4" x14ac:dyDescent="0.3">
      <c r="A1005"/>
      <c r="B1005"/>
      <c r="C1005"/>
      <c r="D1005"/>
    </row>
    <row r="1006" spans="1:4" x14ac:dyDescent="0.3">
      <c r="A1006"/>
      <c r="B1006"/>
      <c r="C1006"/>
      <c r="D1006"/>
    </row>
    <row r="1007" spans="1:4" x14ac:dyDescent="0.3">
      <c r="A1007"/>
      <c r="B1007"/>
      <c r="C1007"/>
      <c r="D1007"/>
    </row>
    <row r="1008" spans="1:4" x14ac:dyDescent="0.3">
      <c r="A1008"/>
      <c r="B1008"/>
      <c r="C1008"/>
      <c r="D1008"/>
    </row>
    <row r="1009" spans="1:4" x14ac:dyDescent="0.3">
      <c r="A1009"/>
      <c r="B1009"/>
      <c r="C1009"/>
      <c r="D1009"/>
    </row>
    <row r="1010" spans="1:4" x14ac:dyDescent="0.3">
      <c r="A1010"/>
      <c r="B1010"/>
      <c r="C1010"/>
      <c r="D1010"/>
    </row>
    <row r="1011" spans="1:4" x14ac:dyDescent="0.3">
      <c r="A1011"/>
      <c r="B1011"/>
      <c r="C1011"/>
      <c r="D1011"/>
    </row>
    <row r="1012" spans="1:4" x14ac:dyDescent="0.3">
      <c r="A1012"/>
      <c r="B1012"/>
      <c r="C1012"/>
      <c r="D1012"/>
    </row>
    <row r="1013" spans="1:4" x14ac:dyDescent="0.3">
      <c r="A1013"/>
      <c r="B1013"/>
      <c r="C1013"/>
      <c r="D1013"/>
    </row>
    <row r="1014" spans="1:4" x14ac:dyDescent="0.3">
      <c r="A1014"/>
      <c r="B1014"/>
      <c r="C1014"/>
      <c r="D1014"/>
    </row>
    <row r="1015" spans="1:4" x14ac:dyDescent="0.3">
      <c r="A1015"/>
      <c r="B1015"/>
      <c r="C1015"/>
      <c r="D1015"/>
    </row>
    <row r="1016" spans="1:4" x14ac:dyDescent="0.3">
      <c r="A1016"/>
      <c r="B1016"/>
      <c r="C1016"/>
      <c r="D1016"/>
    </row>
    <row r="1017" spans="1:4" x14ac:dyDescent="0.3">
      <c r="A1017"/>
      <c r="B1017"/>
      <c r="C1017"/>
      <c r="D1017"/>
    </row>
    <row r="1018" spans="1:4" x14ac:dyDescent="0.3">
      <c r="A1018"/>
      <c r="B1018"/>
      <c r="C1018"/>
      <c r="D1018"/>
    </row>
    <row r="1019" spans="1:4" x14ac:dyDescent="0.3">
      <c r="A1019"/>
      <c r="B1019"/>
      <c r="C1019"/>
      <c r="D1019"/>
    </row>
    <row r="1020" spans="1:4" x14ac:dyDescent="0.3">
      <c r="A1020"/>
      <c r="B1020"/>
      <c r="C1020"/>
      <c r="D1020"/>
    </row>
    <row r="1021" spans="1:4" x14ac:dyDescent="0.3">
      <c r="A1021"/>
      <c r="B1021"/>
      <c r="C1021"/>
      <c r="D1021"/>
    </row>
    <row r="1022" spans="1:4" x14ac:dyDescent="0.3">
      <c r="A1022"/>
      <c r="B1022"/>
      <c r="C1022"/>
      <c r="D1022"/>
    </row>
    <row r="1023" spans="1:4" x14ac:dyDescent="0.3">
      <c r="A1023"/>
      <c r="B1023"/>
      <c r="C1023"/>
      <c r="D1023"/>
    </row>
    <row r="1024" spans="1:4" x14ac:dyDescent="0.3">
      <c r="A1024"/>
      <c r="B1024"/>
      <c r="C1024"/>
      <c r="D1024"/>
    </row>
    <row r="1025" spans="1:4" x14ac:dyDescent="0.3">
      <c r="A1025"/>
      <c r="B1025"/>
      <c r="C1025"/>
      <c r="D1025"/>
    </row>
    <row r="1026" spans="1:4" x14ac:dyDescent="0.3">
      <c r="A1026"/>
      <c r="B1026"/>
      <c r="C1026"/>
      <c r="D1026"/>
    </row>
    <row r="1027" spans="1:4" x14ac:dyDescent="0.3">
      <c r="A1027"/>
      <c r="B1027"/>
      <c r="C1027"/>
      <c r="D1027"/>
    </row>
    <row r="1028" spans="1:4" x14ac:dyDescent="0.3">
      <c r="A1028"/>
      <c r="B1028"/>
      <c r="C1028"/>
      <c r="D1028"/>
    </row>
    <row r="1029" spans="1:4" x14ac:dyDescent="0.3">
      <c r="A1029"/>
      <c r="B1029"/>
      <c r="C1029"/>
      <c r="D1029"/>
    </row>
    <row r="1030" spans="1:4" x14ac:dyDescent="0.3">
      <c r="A1030"/>
      <c r="B1030"/>
      <c r="C1030"/>
      <c r="D1030"/>
    </row>
    <row r="1031" spans="1:4" x14ac:dyDescent="0.3">
      <c r="A1031"/>
      <c r="B1031"/>
      <c r="C1031"/>
      <c r="D1031"/>
    </row>
    <row r="1032" spans="1:4" x14ac:dyDescent="0.3">
      <c r="A1032"/>
      <c r="B1032"/>
      <c r="C1032"/>
      <c r="D1032"/>
    </row>
    <row r="1033" spans="1:4" x14ac:dyDescent="0.3">
      <c r="A1033"/>
      <c r="B1033"/>
      <c r="C1033"/>
      <c r="D1033"/>
    </row>
    <row r="1034" spans="1:4" x14ac:dyDescent="0.3">
      <c r="A1034"/>
      <c r="B1034"/>
      <c r="C1034"/>
      <c r="D1034"/>
    </row>
    <row r="1035" spans="1:4" x14ac:dyDescent="0.3">
      <c r="A1035"/>
      <c r="B1035"/>
      <c r="C1035"/>
      <c r="D1035"/>
    </row>
    <row r="1036" spans="1:4" x14ac:dyDescent="0.3">
      <c r="A1036"/>
      <c r="B1036"/>
      <c r="C1036"/>
      <c r="D1036"/>
    </row>
    <row r="1037" spans="1:4" x14ac:dyDescent="0.3">
      <c r="A1037"/>
      <c r="B1037"/>
      <c r="C1037"/>
      <c r="D1037"/>
    </row>
    <row r="1038" spans="1:4" x14ac:dyDescent="0.3">
      <c r="A1038"/>
      <c r="B1038"/>
      <c r="C1038"/>
      <c r="D1038"/>
    </row>
    <row r="1039" spans="1:4" x14ac:dyDescent="0.3">
      <c r="A1039"/>
      <c r="B1039"/>
      <c r="C1039"/>
      <c r="D1039"/>
    </row>
    <row r="1040" spans="1:4" x14ac:dyDescent="0.3">
      <c r="A1040"/>
      <c r="B1040"/>
      <c r="C1040"/>
      <c r="D1040"/>
    </row>
    <row r="1041" spans="1:4" x14ac:dyDescent="0.3">
      <c r="A1041"/>
      <c r="B1041"/>
      <c r="C1041"/>
      <c r="D1041"/>
    </row>
    <row r="1042" spans="1:4" x14ac:dyDescent="0.3">
      <c r="A1042"/>
      <c r="B1042"/>
      <c r="C1042"/>
      <c r="D1042"/>
    </row>
    <row r="1043" spans="1:4" x14ac:dyDescent="0.3">
      <c r="A1043"/>
      <c r="B1043"/>
      <c r="C1043"/>
      <c r="D1043"/>
    </row>
    <row r="1044" spans="1:4" x14ac:dyDescent="0.3">
      <c r="A1044"/>
      <c r="B1044"/>
      <c r="C1044"/>
      <c r="D1044"/>
    </row>
    <row r="1045" spans="1:4" x14ac:dyDescent="0.3">
      <c r="A1045"/>
      <c r="B1045"/>
      <c r="C1045"/>
      <c r="D1045"/>
    </row>
    <row r="1046" spans="1:4" x14ac:dyDescent="0.3">
      <c r="A1046"/>
      <c r="B1046"/>
      <c r="C1046"/>
      <c r="D1046"/>
    </row>
    <row r="1047" spans="1:4" x14ac:dyDescent="0.3">
      <c r="A1047"/>
      <c r="B1047"/>
      <c r="C1047"/>
      <c r="D1047"/>
    </row>
    <row r="1048" spans="1:4" x14ac:dyDescent="0.3">
      <c r="A1048"/>
      <c r="B1048"/>
      <c r="C1048"/>
      <c r="D1048"/>
    </row>
    <row r="1049" spans="1:4" x14ac:dyDescent="0.3">
      <c r="A1049"/>
      <c r="B1049"/>
      <c r="C1049"/>
      <c r="D1049"/>
    </row>
    <row r="1050" spans="1:4" x14ac:dyDescent="0.3">
      <c r="A1050"/>
      <c r="B1050"/>
      <c r="C1050"/>
      <c r="D1050"/>
    </row>
    <row r="1051" spans="1:4" x14ac:dyDescent="0.3">
      <c r="A1051"/>
      <c r="B1051"/>
      <c r="C1051"/>
      <c r="D1051"/>
    </row>
    <row r="1052" spans="1:4" x14ac:dyDescent="0.3">
      <c r="A1052"/>
      <c r="B1052"/>
      <c r="C1052"/>
      <c r="D1052"/>
    </row>
    <row r="1053" spans="1:4" x14ac:dyDescent="0.3">
      <c r="A1053"/>
      <c r="B1053"/>
      <c r="C1053"/>
      <c r="D1053"/>
    </row>
    <row r="1054" spans="1:4" x14ac:dyDescent="0.3">
      <c r="A1054"/>
      <c r="B1054"/>
      <c r="C1054"/>
      <c r="D1054"/>
    </row>
    <row r="1055" spans="1:4" x14ac:dyDescent="0.3">
      <c r="A1055"/>
      <c r="B1055"/>
      <c r="C1055"/>
      <c r="D1055"/>
    </row>
    <row r="1056" spans="1:4" x14ac:dyDescent="0.3">
      <c r="A1056"/>
      <c r="B1056"/>
      <c r="C1056"/>
      <c r="D1056"/>
    </row>
    <row r="1057" spans="1:4" x14ac:dyDescent="0.3">
      <c r="A1057"/>
      <c r="B1057"/>
      <c r="C1057"/>
      <c r="D1057"/>
    </row>
    <row r="1058" spans="1:4" x14ac:dyDescent="0.3">
      <c r="A1058"/>
      <c r="B1058"/>
      <c r="C1058"/>
      <c r="D1058"/>
    </row>
    <row r="1059" spans="1:4" x14ac:dyDescent="0.3">
      <c r="A1059"/>
      <c r="B1059"/>
      <c r="C1059"/>
      <c r="D1059"/>
    </row>
    <row r="1060" spans="1:4" x14ac:dyDescent="0.3">
      <c r="A1060"/>
      <c r="B1060"/>
      <c r="C1060"/>
      <c r="D1060"/>
    </row>
    <row r="1061" spans="1:4" x14ac:dyDescent="0.3">
      <c r="A1061"/>
      <c r="B1061"/>
      <c r="C1061"/>
      <c r="D1061"/>
    </row>
    <row r="1062" spans="1:4" x14ac:dyDescent="0.3">
      <c r="A1062"/>
      <c r="B1062"/>
      <c r="C1062"/>
      <c r="D1062"/>
    </row>
    <row r="1063" spans="1:4" x14ac:dyDescent="0.3">
      <c r="A1063"/>
      <c r="B1063"/>
      <c r="C1063"/>
      <c r="D1063"/>
    </row>
    <row r="1064" spans="1:4" x14ac:dyDescent="0.3">
      <c r="A1064"/>
      <c r="B1064"/>
      <c r="C1064"/>
      <c r="D1064"/>
    </row>
    <row r="1065" spans="1:4" x14ac:dyDescent="0.3">
      <c r="A1065"/>
      <c r="B1065"/>
      <c r="C1065"/>
      <c r="D1065"/>
    </row>
    <row r="1066" spans="1:4" x14ac:dyDescent="0.3">
      <c r="A1066"/>
      <c r="B1066"/>
      <c r="C1066"/>
      <c r="D1066"/>
    </row>
    <row r="1067" spans="1:4" x14ac:dyDescent="0.3">
      <c r="A1067"/>
      <c r="B1067"/>
      <c r="C1067"/>
      <c r="D1067"/>
    </row>
    <row r="1068" spans="1:4" x14ac:dyDescent="0.3">
      <c r="A1068"/>
      <c r="B1068"/>
      <c r="C1068"/>
      <c r="D1068"/>
    </row>
    <row r="1069" spans="1:4" x14ac:dyDescent="0.3">
      <c r="A1069"/>
      <c r="B1069"/>
      <c r="C1069"/>
      <c r="D1069"/>
    </row>
    <row r="1070" spans="1:4" x14ac:dyDescent="0.3">
      <c r="A1070"/>
      <c r="B1070"/>
      <c r="C1070"/>
      <c r="D1070"/>
    </row>
    <row r="1071" spans="1:4" x14ac:dyDescent="0.3">
      <c r="A1071"/>
      <c r="B1071"/>
      <c r="C1071"/>
      <c r="D1071"/>
    </row>
    <row r="1072" spans="1:4" x14ac:dyDescent="0.3">
      <c r="A1072"/>
      <c r="B1072"/>
      <c r="C1072"/>
      <c r="D1072"/>
    </row>
    <row r="1073" spans="1:4" x14ac:dyDescent="0.3">
      <c r="A1073"/>
      <c r="B1073"/>
      <c r="C1073"/>
      <c r="D1073"/>
    </row>
    <row r="1074" spans="1:4" x14ac:dyDescent="0.3">
      <c r="A1074"/>
      <c r="B1074"/>
      <c r="C1074"/>
      <c r="D1074"/>
    </row>
    <row r="1075" spans="1:4" x14ac:dyDescent="0.3">
      <c r="A1075"/>
      <c r="B1075"/>
      <c r="C1075"/>
      <c r="D1075"/>
    </row>
    <row r="1076" spans="1:4" x14ac:dyDescent="0.3">
      <c r="A1076"/>
      <c r="B1076"/>
      <c r="C1076"/>
      <c r="D1076"/>
    </row>
    <row r="1077" spans="1:4" x14ac:dyDescent="0.3">
      <c r="A1077"/>
      <c r="B1077"/>
      <c r="C1077"/>
      <c r="D1077"/>
    </row>
    <row r="1078" spans="1:4" x14ac:dyDescent="0.3">
      <c r="A1078"/>
      <c r="B1078"/>
      <c r="C1078"/>
      <c r="D1078"/>
    </row>
    <row r="1079" spans="1:4" x14ac:dyDescent="0.3">
      <c r="A1079"/>
      <c r="B1079"/>
      <c r="C1079"/>
      <c r="D1079"/>
    </row>
    <row r="1080" spans="1:4" x14ac:dyDescent="0.3">
      <c r="A1080"/>
      <c r="B1080"/>
      <c r="C1080"/>
      <c r="D1080"/>
    </row>
    <row r="1081" spans="1:4" x14ac:dyDescent="0.3">
      <c r="A1081"/>
      <c r="B1081"/>
      <c r="C1081"/>
      <c r="D1081"/>
    </row>
    <row r="1082" spans="1:4" x14ac:dyDescent="0.3">
      <c r="A1082"/>
      <c r="B1082"/>
      <c r="C1082"/>
      <c r="D1082"/>
    </row>
    <row r="1083" spans="1:4" x14ac:dyDescent="0.3">
      <c r="A1083"/>
      <c r="B1083"/>
      <c r="C1083"/>
      <c r="D1083"/>
    </row>
    <row r="1084" spans="1:4" x14ac:dyDescent="0.3">
      <c r="A1084"/>
      <c r="B1084"/>
      <c r="C1084"/>
      <c r="D1084"/>
    </row>
    <row r="1085" spans="1:4" x14ac:dyDescent="0.3">
      <c r="A1085"/>
      <c r="B1085"/>
      <c r="C1085"/>
      <c r="D1085"/>
    </row>
    <row r="1086" spans="1:4" x14ac:dyDescent="0.3">
      <c r="A1086"/>
      <c r="B1086"/>
      <c r="C1086"/>
      <c r="D1086"/>
    </row>
    <row r="1087" spans="1:4" x14ac:dyDescent="0.3">
      <c r="A1087"/>
      <c r="B1087"/>
      <c r="C1087"/>
      <c r="D1087"/>
    </row>
    <row r="1088" spans="1:4" x14ac:dyDescent="0.3">
      <c r="A1088"/>
      <c r="B1088"/>
      <c r="C1088"/>
      <c r="D1088"/>
    </row>
    <row r="1089" spans="1:4" x14ac:dyDescent="0.3">
      <c r="A1089"/>
      <c r="B1089"/>
      <c r="C1089"/>
      <c r="D1089"/>
    </row>
    <row r="1090" spans="1:4" x14ac:dyDescent="0.3">
      <c r="A1090"/>
      <c r="B1090"/>
      <c r="C1090"/>
      <c r="D1090"/>
    </row>
    <row r="1091" spans="1:4" x14ac:dyDescent="0.3">
      <c r="A1091"/>
      <c r="B1091"/>
      <c r="C1091"/>
      <c r="D1091"/>
    </row>
    <row r="1092" spans="1:4" x14ac:dyDescent="0.3">
      <c r="A1092"/>
      <c r="B1092"/>
      <c r="C1092"/>
      <c r="D1092"/>
    </row>
    <row r="1093" spans="1:4" x14ac:dyDescent="0.3">
      <c r="A1093"/>
      <c r="B1093"/>
      <c r="C1093"/>
      <c r="D1093"/>
    </row>
    <row r="1094" spans="1:4" x14ac:dyDescent="0.3">
      <c r="A1094"/>
      <c r="B1094"/>
      <c r="C1094"/>
      <c r="D1094"/>
    </row>
    <row r="1095" spans="1:4" x14ac:dyDescent="0.3">
      <c r="A1095"/>
      <c r="B1095"/>
      <c r="C1095"/>
      <c r="D1095"/>
    </row>
    <row r="1096" spans="1:4" x14ac:dyDescent="0.3">
      <c r="A1096"/>
      <c r="B1096"/>
      <c r="C1096"/>
      <c r="D1096"/>
    </row>
    <row r="1097" spans="1:4" x14ac:dyDescent="0.3">
      <c r="A1097"/>
      <c r="B1097"/>
      <c r="C1097"/>
      <c r="D1097"/>
    </row>
    <row r="1098" spans="1:4" x14ac:dyDescent="0.3">
      <c r="A1098"/>
      <c r="B1098"/>
      <c r="C1098"/>
      <c r="D1098"/>
    </row>
    <row r="1099" spans="1:4" x14ac:dyDescent="0.3">
      <c r="A1099"/>
      <c r="B1099"/>
      <c r="C1099"/>
      <c r="D1099"/>
    </row>
    <row r="1100" spans="1:4" x14ac:dyDescent="0.3">
      <c r="A1100"/>
      <c r="B1100"/>
      <c r="C1100"/>
      <c r="D1100"/>
    </row>
    <row r="1101" spans="1:4" x14ac:dyDescent="0.3">
      <c r="A1101"/>
      <c r="B1101"/>
      <c r="C1101"/>
      <c r="D1101"/>
    </row>
    <row r="1102" spans="1:4" x14ac:dyDescent="0.3">
      <c r="A1102"/>
      <c r="B1102"/>
      <c r="C1102"/>
      <c r="D1102"/>
    </row>
    <row r="1103" spans="1:4" x14ac:dyDescent="0.3">
      <c r="A1103"/>
      <c r="B1103"/>
      <c r="C1103"/>
      <c r="D1103"/>
    </row>
    <row r="1104" spans="1:4" x14ac:dyDescent="0.3">
      <c r="A1104"/>
      <c r="B1104"/>
      <c r="C1104"/>
      <c r="D1104"/>
    </row>
    <row r="1105" spans="1:4" x14ac:dyDescent="0.3">
      <c r="A1105"/>
      <c r="B1105"/>
      <c r="C1105"/>
      <c r="D1105"/>
    </row>
    <row r="1106" spans="1:4" x14ac:dyDescent="0.3">
      <c r="A1106"/>
      <c r="B1106"/>
      <c r="C1106"/>
      <c r="D1106"/>
    </row>
    <row r="1107" spans="1:4" x14ac:dyDescent="0.3">
      <c r="A1107"/>
      <c r="B1107"/>
      <c r="C1107"/>
      <c r="D1107"/>
    </row>
    <row r="1108" spans="1:4" x14ac:dyDescent="0.3">
      <c r="A1108"/>
      <c r="B1108"/>
      <c r="C1108"/>
      <c r="D1108"/>
    </row>
    <row r="1109" spans="1:4" x14ac:dyDescent="0.3">
      <c r="A1109"/>
      <c r="B1109"/>
      <c r="C1109"/>
      <c r="D1109"/>
    </row>
    <row r="1110" spans="1:4" x14ac:dyDescent="0.3">
      <c r="A1110"/>
      <c r="B1110"/>
      <c r="C1110"/>
      <c r="D1110"/>
    </row>
    <row r="1111" spans="1:4" x14ac:dyDescent="0.3">
      <c r="A1111"/>
      <c r="B1111"/>
      <c r="C1111"/>
      <c r="D1111"/>
    </row>
    <row r="1112" spans="1:4" x14ac:dyDescent="0.3">
      <c r="A1112"/>
      <c r="B1112"/>
      <c r="C1112"/>
      <c r="D1112"/>
    </row>
    <row r="1113" spans="1:4" x14ac:dyDescent="0.3">
      <c r="A1113"/>
      <c r="B1113"/>
      <c r="C1113"/>
      <c r="D1113"/>
    </row>
    <row r="1114" spans="1:4" x14ac:dyDescent="0.3">
      <c r="A1114"/>
      <c r="B1114"/>
      <c r="C1114"/>
      <c r="D1114"/>
    </row>
    <row r="1115" spans="1:4" x14ac:dyDescent="0.3">
      <c r="A1115"/>
      <c r="B1115"/>
      <c r="C1115"/>
      <c r="D1115"/>
    </row>
    <row r="1116" spans="1:4" x14ac:dyDescent="0.3">
      <c r="A1116"/>
      <c r="B1116"/>
      <c r="C1116"/>
      <c r="D1116"/>
    </row>
    <row r="1117" spans="1:4" x14ac:dyDescent="0.3">
      <c r="A1117"/>
      <c r="B1117"/>
      <c r="C1117"/>
      <c r="D1117"/>
    </row>
    <row r="1118" spans="1:4" x14ac:dyDescent="0.3">
      <c r="A1118"/>
      <c r="B1118"/>
      <c r="C1118"/>
      <c r="D1118"/>
    </row>
    <row r="1119" spans="1:4" x14ac:dyDescent="0.3">
      <c r="A1119"/>
      <c r="B1119"/>
      <c r="C1119"/>
      <c r="D1119"/>
    </row>
    <row r="1120" spans="1:4" x14ac:dyDescent="0.3">
      <c r="A1120"/>
      <c r="B1120"/>
      <c r="C1120"/>
      <c r="D1120"/>
    </row>
    <row r="1121" spans="1:4" x14ac:dyDescent="0.3">
      <c r="A1121"/>
      <c r="B1121"/>
      <c r="C1121"/>
      <c r="D1121"/>
    </row>
    <row r="1122" spans="1:4" x14ac:dyDescent="0.3">
      <c r="A1122"/>
      <c r="B1122"/>
      <c r="C1122"/>
      <c r="D1122"/>
    </row>
    <row r="1123" spans="1:4" x14ac:dyDescent="0.3">
      <c r="A1123"/>
      <c r="B1123"/>
      <c r="C1123"/>
      <c r="D1123"/>
    </row>
    <row r="1124" spans="1:4" x14ac:dyDescent="0.3">
      <c r="A1124"/>
      <c r="B1124"/>
      <c r="C1124"/>
      <c r="D1124"/>
    </row>
    <row r="1125" spans="1:4" x14ac:dyDescent="0.3">
      <c r="A1125"/>
      <c r="B1125"/>
      <c r="C1125"/>
      <c r="D1125"/>
    </row>
    <row r="1126" spans="1:4" x14ac:dyDescent="0.3">
      <c r="A1126"/>
      <c r="B1126"/>
      <c r="C1126"/>
      <c r="D1126"/>
    </row>
    <row r="1127" spans="1:4" x14ac:dyDescent="0.3">
      <c r="A1127"/>
      <c r="B1127"/>
      <c r="C1127"/>
      <c r="D1127"/>
    </row>
    <row r="1128" spans="1:4" x14ac:dyDescent="0.3">
      <c r="A1128"/>
      <c r="B1128"/>
      <c r="C1128"/>
      <c r="D1128"/>
    </row>
    <row r="1129" spans="1:4" x14ac:dyDescent="0.3">
      <c r="A1129"/>
      <c r="B1129"/>
      <c r="C1129"/>
      <c r="D1129"/>
    </row>
    <row r="1130" spans="1:4" x14ac:dyDescent="0.3">
      <c r="A1130"/>
      <c r="B1130"/>
      <c r="C1130"/>
      <c r="D1130"/>
    </row>
    <row r="1131" spans="1:4" x14ac:dyDescent="0.3">
      <c r="A1131"/>
      <c r="B1131"/>
      <c r="C1131"/>
      <c r="D1131"/>
    </row>
    <row r="1132" spans="1:4" x14ac:dyDescent="0.3">
      <c r="A1132"/>
      <c r="B1132"/>
      <c r="C1132"/>
      <c r="D1132"/>
    </row>
    <row r="1133" spans="1:4" x14ac:dyDescent="0.3">
      <c r="A1133"/>
      <c r="B1133"/>
      <c r="C1133"/>
      <c r="D1133"/>
    </row>
    <row r="1134" spans="1:4" x14ac:dyDescent="0.3">
      <c r="A1134"/>
      <c r="B1134"/>
      <c r="C1134"/>
      <c r="D1134"/>
    </row>
    <row r="1135" spans="1:4" x14ac:dyDescent="0.3">
      <c r="A1135"/>
      <c r="B1135"/>
      <c r="C1135"/>
      <c r="D1135"/>
    </row>
    <row r="1136" spans="1:4" x14ac:dyDescent="0.3">
      <c r="A1136"/>
      <c r="B1136"/>
      <c r="C1136"/>
      <c r="D1136"/>
    </row>
    <row r="1137" spans="1:4" x14ac:dyDescent="0.3">
      <c r="A1137"/>
      <c r="B1137"/>
      <c r="C1137"/>
      <c r="D1137"/>
    </row>
    <row r="1138" spans="1:4" x14ac:dyDescent="0.3">
      <c r="A1138"/>
      <c r="B1138"/>
      <c r="C1138"/>
      <c r="D1138"/>
    </row>
    <row r="1139" spans="1:4" x14ac:dyDescent="0.3">
      <c r="A1139"/>
      <c r="B1139"/>
      <c r="C1139"/>
      <c r="D1139"/>
    </row>
    <row r="1140" spans="1:4" x14ac:dyDescent="0.3">
      <c r="A1140"/>
      <c r="B1140"/>
      <c r="C1140"/>
      <c r="D1140"/>
    </row>
    <row r="1141" spans="1:4" x14ac:dyDescent="0.3">
      <c r="A1141"/>
      <c r="B1141"/>
      <c r="C1141"/>
      <c r="D1141"/>
    </row>
    <row r="1142" spans="1:4" x14ac:dyDescent="0.3">
      <c r="A1142"/>
      <c r="B1142"/>
      <c r="C1142"/>
      <c r="D1142"/>
    </row>
    <row r="1143" spans="1:4" x14ac:dyDescent="0.3">
      <c r="A1143"/>
      <c r="B1143"/>
      <c r="C1143"/>
      <c r="D1143"/>
    </row>
    <row r="1144" spans="1:4" x14ac:dyDescent="0.3">
      <c r="A1144"/>
      <c r="B1144"/>
      <c r="C1144"/>
      <c r="D1144"/>
    </row>
    <row r="1145" spans="1:4" x14ac:dyDescent="0.3">
      <c r="A1145"/>
      <c r="B1145"/>
      <c r="C1145"/>
      <c r="D1145"/>
    </row>
    <row r="1146" spans="1:4" x14ac:dyDescent="0.3">
      <c r="A1146"/>
      <c r="B1146"/>
      <c r="C1146"/>
      <c r="D1146"/>
    </row>
    <row r="1147" spans="1:4" x14ac:dyDescent="0.3">
      <c r="A1147"/>
      <c r="B1147"/>
      <c r="C1147"/>
      <c r="D1147"/>
    </row>
    <row r="1148" spans="1:4" x14ac:dyDescent="0.3">
      <c r="A1148"/>
      <c r="B1148"/>
      <c r="C1148"/>
      <c r="D1148"/>
    </row>
    <row r="1149" spans="1:4" x14ac:dyDescent="0.3">
      <c r="A1149"/>
      <c r="B1149"/>
      <c r="C1149"/>
      <c r="D1149"/>
    </row>
    <row r="1150" spans="1:4" x14ac:dyDescent="0.3">
      <c r="A1150"/>
      <c r="B1150"/>
      <c r="C1150"/>
      <c r="D1150"/>
    </row>
    <row r="1151" spans="1:4" x14ac:dyDescent="0.3">
      <c r="A1151"/>
      <c r="B1151"/>
      <c r="C1151"/>
      <c r="D1151"/>
    </row>
    <row r="1152" spans="1:4" x14ac:dyDescent="0.3">
      <c r="A1152"/>
      <c r="B1152"/>
      <c r="C1152"/>
      <c r="D1152"/>
    </row>
    <row r="1153" spans="1:4" x14ac:dyDescent="0.3">
      <c r="A1153"/>
      <c r="B1153"/>
      <c r="C1153"/>
      <c r="D1153"/>
    </row>
    <row r="1154" spans="1:4" x14ac:dyDescent="0.3">
      <c r="A1154"/>
      <c r="B1154"/>
      <c r="C1154"/>
      <c r="D1154"/>
    </row>
    <row r="1155" spans="1:4" x14ac:dyDescent="0.3">
      <c r="A1155"/>
      <c r="B1155"/>
      <c r="C1155"/>
      <c r="D1155"/>
    </row>
    <row r="1156" spans="1:4" x14ac:dyDescent="0.3">
      <c r="A1156"/>
      <c r="B1156"/>
      <c r="C1156"/>
      <c r="D1156"/>
    </row>
    <row r="1157" spans="1:4" x14ac:dyDescent="0.3">
      <c r="A1157"/>
      <c r="B1157"/>
      <c r="C1157"/>
      <c r="D1157"/>
    </row>
    <row r="1158" spans="1:4" x14ac:dyDescent="0.3">
      <c r="A1158"/>
      <c r="B1158"/>
      <c r="C1158"/>
      <c r="D1158"/>
    </row>
    <row r="1159" spans="1:4" x14ac:dyDescent="0.3">
      <c r="A1159"/>
      <c r="B1159"/>
      <c r="C1159"/>
      <c r="D1159"/>
    </row>
    <row r="1160" spans="1:4" x14ac:dyDescent="0.3">
      <c r="A1160"/>
      <c r="B1160"/>
      <c r="C1160"/>
      <c r="D1160"/>
    </row>
    <row r="1161" spans="1:4" x14ac:dyDescent="0.3">
      <c r="A1161"/>
      <c r="B1161"/>
      <c r="C1161"/>
      <c r="D1161"/>
    </row>
    <row r="1162" spans="1:4" x14ac:dyDescent="0.3">
      <c r="A1162"/>
      <c r="B1162"/>
      <c r="C1162"/>
      <c r="D1162"/>
    </row>
    <row r="1163" spans="1:4" x14ac:dyDescent="0.3">
      <c r="A1163"/>
      <c r="B1163"/>
      <c r="C1163"/>
      <c r="D1163"/>
    </row>
    <row r="1164" spans="1:4" x14ac:dyDescent="0.3">
      <c r="A1164"/>
      <c r="B1164"/>
      <c r="C1164"/>
      <c r="D1164"/>
    </row>
    <row r="1165" spans="1:4" x14ac:dyDescent="0.3">
      <c r="A1165"/>
      <c r="B1165"/>
      <c r="C1165"/>
      <c r="D1165"/>
    </row>
    <row r="1166" spans="1:4" x14ac:dyDescent="0.3">
      <c r="A1166"/>
      <c r="B1166"/>
      <c r="C1166"/>
      <c r="D1166"/>
    </row>
    <row r="1167" spans="1:4" x14ac:dyDescent="0.3">
      <c r="A1167"/>
      <c r="B1167"/>
      <c r="C1167"/>
      <c r="D1167"/>
    </row>
    <row r="1168" spans="1:4" x14ac:dyDescent="0.3">
      <c r="A1168"/>
      <c r="B1168"/>
      <c r="C1168"/>
      <c r="D1168"/>
    </row>
    <row r="1169" spans="1:4" x14ac:dyDescent="0.3">
      <c r="A1169"/>
      <c r="B1169"/>
      <c r="C1169"/>
      <c r="D1169"/>
    </row>
    <row r="1170" spans="1:4" x14ac:dyDescent="0.3">
      <c r="A1170"/>
      <c r="B1170"/>
      <c r="C1170"/>
      <c r="D1170"/>
    </row>
    <row r="1171" spans="1:4" x14ac:dyDescent="0.3">
      <c r="A1171"/>
      <c r="B1171"/>
      <c r="C1171"/>
      <c r="D1171"/>
    </row>
    <row r="1172" spans="1:4" x14ac:dyDescent="0.3">
      <c r="A1172"/>
      <c r="B1172"/>
      <c r="C1172"/>
      <c r="D1172"/>
    </row>
    <row r="1173" spans="1:4" x14ac:dyDescent="0.3">
      <c r="A1173"/>
      <c r="B1173"/>
      <c r="C1173"/>
      <c r="D1173"/>
    </row>
    <row r="1174" spans="1:4" x14ac:dyDescent="0.3">
      <c r="A1174"/>
      <c r="B1174"/>
      <c r="C1174"/>
      <c r="D1174"/>
    </row>
    <row r="1175" spans="1:4" x14ac:dyDescent="0.3">
      <c r="A1175"/>
      <c r="B1175"/>
      <c r="C1175"/>
      <c r="D1175"/>
    </row>
    <row r="1176" spans="1:4" x14ac:dyDescent="0.3">
      <c r="A1176"/>
      <c r="B1176"/>
      <c r="C1176"/>
      <c r="D1176"/>
    </row>
    <row r="1177" spans="1:4" x14ac:dyDescent="0.3">
      <c r="A1177"/>
      <c r="B1177"/>
      <c r="C1177"/>
      <c r="D1177"/>
    </row>
    <row r="1178" spans="1:4" x14ac:dyDescent="0.3">
      <c r="A1178"/>
      <c r="B1178"/>
      <c r="C1178"/>
      <c r="D1178"/>
    </row>
    <row r="1179" spans="1:4" x14ac:dyDescent="0.3">
      <c r="A1179"/>
      <c r="B1179"/>
      <c r="C1179"/>
      <c r="D1179"/>
    </row>
    <row r="1180" spans="1:4" x14ac:dyDescent="0.3">
      <c r="A1180"/>
      <c r="B1180"/>
      <c r="C1180"/>
      <c r="D1180"/>
    </row>
    <row r="1181" spans="1:4" x14ac:dyDescent="0.3">
      <c r="A1181"/>
      <c r="B1181"/>
      <c r="C1181"/>
      <c r="D1181"/>
    </row>
    <row r="1182" spans="1:4" x14ac:dyDescent="0.3">
      <c r="A1182"/>
      <c r="B1182"/>
      <c r="C1182"/>
      <c r="D1182"/>
    </row>
    <row r="1183" spans="1:4" x14ac:dyDescent="0.3">
      <c r="A1183"/>
      <c r="B1183"/>
      <c r="C1183"/>
      <c r="D1183"/>
    </row>
    <row r="1184" spans="1:4" x14ac:dyDescent="0.3">
      <c r="A1184"/>
      <c r="B1184"/>
      <c r="C1184"/>
      <c r="D1184"/>
    </row>
    <row r="1185" spans="1:4" x14ac:dyDescent="0.3">
      <c r="A1185"/>
      <c r="B1185"/>
      <c r="C1185"/>
      <c r="D1185"/>
    </row>
    <row r="1186" spans="1:4" x14ac:dyDescent="0.3">
      <c r="A1186"/>
      <c r="B1186"/>
      <c r="C1186"/>
      <c r="D1186"/>
    </row>
    <row r="1187" spans="1:4" x14ac:dyDescent="0.3">
      <c r="A1187"/>
      <c r="B1187"/>
      <c r="C1187"/>
      <c r="D1187"/>
    </row>
    <row r="1188" spans="1:4" x14ac:dyDescent="0.3">
      <c r="A1188"/>
      <c r="B1188"/>
      <c r="C1188"/>
      <c r="D1188"/>
    </row>
    <row r="1189" spans="1:4" x14ac:dyDescent="0.3">
      <c r="A1189"/>
      <c r="B1189"/>
      <c r="C1189"/>
      <c r="D1189"/>
    </row>
    <row r="1190" spans="1:4" x14ac:dyDescent="0.3">
      <c r="A1190"/>
      <c r="B1190"/>
      <c r="C1190"/>
      <c r="D1190"/>
    </row>
    <row r="1191" spans="1:4" x14ac:dyDescent="0.3">
      <c r="A1191"/>
      <c r="B1191"/>
      <c r="C1191"/>
      <c r="D1191"/>
    </row>
    <row r="1192" spans="1:4" x14ac:dyDescent="0.3">
      <c r="A1192"/>
      <c r="B1192"/>
      <c r="C1192"/>
      <c r="D1192"/>
    </row>
    <row r="1193" spans="1:4" x14ac:dyDescent="0.3">
      <c r="A1193"/>
      <c r="B1193"/>
      <c r="C1193"/>
      <c r="D1193"/>
    </row>
    <row r="1194" spans="1:4" x14ac:dyDescent="0.3">
      <c r="A1194"/>
      <c r="B1194"/>
      <c r="C1194"/>
      <c r="D1194"/>
    </row>
    <row r="1195" spans="1:4" x14ac:dyDescent="0.3">
      <c r="A1195"/>
      <c r="B1195"/>
      <c r="C1195"/>
      <c r="D1195"/>
    </row>
    <row r="1196" spans="1:4" x14ac:dyDescent="0.3">
      <c r="A1196"/>
      <c r="B1196"/>
      <c r="C1196"/>
      <c r="D1196"/>
    </row>
    <row r="1197" spans="1:4" x14ac:dyDescent="0.3">
      <c r="A1197"/>
      <c r="B1197"/>
      <c r="C1197"/>
      <c r="D1197"/>
    </row>
    <row r="1198" spans="1:4" x14ac:dyDescent="0.3">
      <c r="A1198"/>
      <c r="B1198"/>
      <c r="C1198"/>
      <c r="D1198"/>
    </row>
    <row r="1199" spans="1:4" x14ac:dyDescent="0.3">
      <c r="A1199"/>
      <c r="B1199"/>
      <c r="C1199"/>
      <c r="D1199"/>
    </row>
    <row r="1200" spans="1:4" x14ac:dyDescent="0.3">
      <c r="A1200"/>
      <c r="B1200"/>
      <c r="C1200"/>
      <c r="D1200"/>
    </row>
    <row r="1201" spans="1:4" x14ac:dyDescent="0.3">
      <c r="A1201"/>
      <c r="B1201"/>
      <c r="C1201"/>
      <c r="D1201"/>
    </row>
    <row r="1202" spans="1:4" x14ac:dyDescent="0.3">
      <c r="A1202"/>
      <c r="B1202"/>
      <c r="C1202"/>
      <c r="D1202"/>
    </row>
    <row r="1203" spans="1:4" x14ac:dyDescent="0.3">
      <c r="A1203"/>
      <c r="B1203"/>
      <c r="C1203"/>
      <c r="D1203"/>
    </row>
    <row r="1204" spans="1:4" x14ac:dyDescent="0.3">
      <c r="A1204"/>
      <c r="B1204"/>
      <c r="C1204"/>
      <c r="D1204"/>
    </row>
    <row r="1205" spans="1:4" x14ac:dyDescent="0.3">
      <c r="A1205"/>
      <c r="B1205"/>
      <c r="C1205"/>
      <c r="D1205"/>
    </row>
    <row r="1206" spans="1:4" x14ac:dyDescent="0.3">
      <c r="A1206"/>
      <c r="B1206"/>
      <c r="C1206"/>
      <c r="D1206"/>
    </row>
    <row r="1207" spans="1:4" x14ac:dyDescent="0.3">
      <c r="A1207"/>
      <c r="B1207"/>
      <c r="C1207"/>
      <c r="D1207"/>
    </row>
    <row r="1208" spans="1:4" x14ac:dyDescent="0.3">
      <c r="A1208"/>
      <c r="B1208"/>
      <c r="C1208"/>
      <c r="D1208"/>
    </row>
    <row r="1209" spans="1:4" x14ac:dyDescent="0.3">
      <c r="A1209"/>
      <c r="B1209"/>
      <c r="C1209"/>
      <c r="D1209"/>
    </row>
    <row r="1210" spans="1:4" x14ac:dyDescent="0.3">
      <c r="A1210"/>
      <c r="B1210"/>
      <c r="C1210"/>
      <c r="D1210"/>
    </row>
    <row r="1211" spans="1:4" x14ac:dyDescent="0.3">
      <c r="A1211"/>
      <c r="B1211"/>
      <c r="C1211"/>
      <c r="D1211"/>
    </row>
    <row r="1212" spans="1:4" x14ac:dyDescent="0.3">
      <c r="A1212"/>
      <c r="B1212"/>
      <c r="C1212"/>
      <c r="D1212"/>
    </row>
    <row r="1213" spans="1:4" x14ac:dyDescent="0.3">
      <c r="A1213"/>
      <c r="B1213"/>
      <c r="C1213"/>
      <c r="D1213"/>
    </row>
    <row r="1214" spans="1:4" x14ac:dyDescent="0.3">
      <c r="A1214"/>
      <c r="B1214"/>
      <c r="C1214"/>
      <c r="D1214"/>
    </row>
    <row r="1215" spans="1:4" x14ac:dyDescent="0.3">
      <c r="A1215"/>
      <c r="B1215"/>
      <c r="C1215"/>
      <c r="D1215"/>
    </row>
    <row r="1216" spans="1:4" x14ac:dyDescent="0.3">
      <c r="A1216"/>
      <c r="B1216"/>
      <c r="C1216"/>
      <c r="D1216"/>
    </row>
    <row r="1217" spans="1:4" x14ac:dyDescent="0.3">
      <c r="A1217"/>
      <c r="B1217"/>
      <c r="C1217"/>
      <c r="D1217"/>
    </row>
    <row r="1218" spans="1:4" x14ac:dyDescent="0.3">
      <c r="A1218"/>
      <c r="B1218"/>
      <c r="C1218"/>
      <c r="D1218"/>
    </row>
    <row r="1219" spans="1:4" x14ac:dyDescent="0.3">
      <c r="A1219"/>
      <c r="B1219"/>
      <c r="C1219"/>
      <c r="D1219"/>
    </row>
    <row r="1220" spans="1:4" x14ac:dyDescent="0.3">
      <c r="A1220"/>
      <c r="B1220"/>
      <c r="C1220"/>
      <c r="D1220"/>
    </row>
    <row r="1221" spans="1:4" x14ac:dyDescent="0.3">
      <c r="A1221"/>
      <c r="B1221"/>
      <c r="C1221"/>
      <c r="D1221"/>
    </row>
    <row r="1222" spans="1:4" x14ac:dyDescent="0.3">
      <c r="A1222"/>
      <c r="B1222"/>
      <c r="C1222"/>
      <c r="D1222"/>
    </row>
    <row r="1223" spans="1:4" x14ac:dyDescent="0.3">
      <c r="A1223"/>
      <c r="B1223"/>
      <c r="C1223"/>
      <c r="D1223"/>
    </row>
    <row r="1224" spans="1:4" x14ac:dyDescent="0.3">
      <c r="A1224"/>
      <c r="B1224"/>
      <c r="C1224"/>
      <c r="D1224"/>
    </row>
    <row r="1225" spans="1:4" x14ac:dyDescent="0.3">
      <c r="A1225"/>
      <c r="B1225"/>
      <c r="C1225"/>
      <c r="D1225"/>
    </row>
    <row r="1226" spans="1:4" x14ac:dyDescent="0.3">
      <c r="A1226"/>
      <c r="B1226"/>
      <c r="C1226"/>
      <c r="D1226"/>
    </row>
    <row r="1227" spans="1:4" x14ac:dyDescent="0.3">
      <c r="A1227"/>
      <c r="B1227"/>
      <c r="C1227"/>
      <c r="D1227"/>
    </row>
    <row r="1228" spans="1:4" x14ac:dyDescent="0.3">
      <c r="A1228"/>
      <c r="B1228"/>
      <c r="C1228"/>
      <c r="D1228"/>
    </row>
    <row r="1229" spans="1:4" x14ac:dyDescent="0.3">
      <c r="A1229"/>
      <c r="B1229"/>
      <c r="C1229"/>
      <c r="D1229"/>
    </row>
    <row r="1230" spans="1:4" x14ac:dyDescent="0.3">
      <c r="A1230"/>
      <c r="B1230"/>
      <c r="C1230"/>
      <c r="D1230"/>
    </row>
    <row r="1231" spans="1:4" x14ac:dyDescent="0.3">
      <c r="A1231"/>
      <c r="B1231"/>
      <c r="C1231"/>
      <c r="D1231"/>
    </row>
    <row r="1232" spans="1:4" x14ac:dyDescent="0.3">
      <c r="A1232"/>
      <c r="B1232"/>
      <c r="C1232"/>
      <c r="D1232"/>
    </row>
    <row r="1233" spans="1:4" x14ac:dyDescent="0.3">
      <c r="A1233"/>
      <c r="B1233"/>
      <c r="C1233"/>
      <c r="D1233"/>
    </row>
    <row r="1234" spans="1:4" x14ac:dyDescent="0.3">
      <c r="A1234"/>
      <c r="B1234"/>
      <c r="C1234"/>
      <c r="D1234"/>
    </row>
    <row r="1235" spans="1:4" x14ac:dyDescent="0.3">
      <c r="A1235"/>
      <c r="B1235"/>
      <c r="C1235"/>
      <c r="D1235"/>
    </row>
    <row r="1236" spans="1:4" x14ac:dyDescent="0.3">
      <c r="A1236"/>
      <c r="B1236"/>
      <c r="C1236"/>
      <c r="D1236"/>
    </row>
    <row r="1237" spans="1:4" x14ac:dyDescent="0.3">
      <c r="A1237"/>
      <c r="B1237"/>
      <c r="C1237"/>
      <c r="D1237"/>
    </row>
    <row r="1238" spans="1:4" x14ac:dyDescent="0.3">
      <c r="A1238"/>
      <c r="B1238"/>
      <c r="C1238"/>
      <c r="D1238"/>
    </row>
    <row r="1239" spans="1:4" x14ac:dyDescent="0.3">
      <c r="A1239"/>
      <c r="B1239"/>
      <c r="C1239"/>
      <c r="D1239"/>
    </row>
    <row r="1240" spans="1:4" x14ac:dyDescent="0.3">
      <c r="A1240"/>
      <c r="B1240"/>
      <c r="C1240"/>
      <c r="D1240"/>
    </row>
    <row r="1241" spans="1:4" x14ac:dyDescent="0.3">
      <c r="A1241"/>
      <c r="B1241"/>
      <c r="C1241"/>
      <c r="D1241"/>
    </row>
    <row r="1242" spans="1:4" x14ac:dyDescent="0.3">
      <c r="A1242"/>
      <c r="B1242"/>
      <c r="C1242"/>
      <c r="D1242"/>
    </row>
    <row r="1243" spans="1:4" x14ac:dyDescent="0.3">
      <c r="A1243"/>
      <c r="B1243"/>
      <c r="C1243"/>
      <c r="D1243"/>
    </row>
    <row r="1244" spans="1:4" x14ac:dyDescent="0.3">
      <c r="A1244"/>
      <c r="B1244"/>
      <c r="C1244"/>
      <c r="D1244"/>
    </row>
    <row r="1245" spans="1:4" x14ac:dyDescent="0.3">
      <c r="A1245"/>
      <c r="B1245"/>
      <c r="C1245"/>
      <c r="D1245"/>
    </row>
    <row r="1246" spans="1:4" x14ac:dyDescent="0.3">
      <c r="A1246"/>
      <c r="B1246"/>
      <c r="C1246"/>
      <c r="D1246"/>
    </row>
    <row r="1247" spans="1:4" x14ac:dyDescent="0.3">
      <c r="A1247"/>
      <c r="B1247"/>
      <c r="C1247"/>
      <c r="D1247"/>
    </row>
    <row r="1248" spans="1:4" x14ac:dyDescent="0.3">
      <c r="A1248"/>
      <c r="B1248"/>
      <c r="C1248"/>
      <c r="D1248"/>
    </row>
    <row r="1249" spans="1:4" x14ac:dyDescent="0.3">
      <c r="A1249"/>
      <c r="B1249"/>
      <c r="C1249"/>
      <c r="D1249"/>
    </row>
    <row r="1250" spans="1:4" x14ac:dyDescent="0.3">
      <c r="A1250"/>
      <c r="B1250"/>
      <c r="C1250"/>
      <c r="D1250"/>
    </row>
    <row r="1251" spans="1:4" x14ac:dyDescent="0.3">
      <c r="A1251"/>
      <c r="B1251"/>
      <c r="C1251"/>
      <c r="D1251"/>
    </row>
    <row r="1252" spans="1:4" x14ac:dyDescent="0.3">
      <c r="A1252"/>
      <c r="B1252"/>
      <c r="C1252"/>
      <c r="D1252"/>
    </row>
    <row r="1253" spans="1:4" x14ac:dyDescent="0.3">
      <c r="A1253"/>
      <c r="B1253"/>
      <c r="C1253"/>
      <c r="D1253"/>
    </row>
    <row r="1254" spans="1:4" x14ac:dyDescent="0.3">
      <c r="A1254"/>
      <c r="B1254"/>
      <c r="C1254"/>
      <c r="D1254"/>
    </row>
    <row r="1255" spans="1:4" x14ac:dyDescent="0.3">
      <c r="A1255"/>
      <c r="B1255"/>
      <c r="C1255"/>
      <c r="D1255"/>
    </row>
    <row r="1256" spans="1:4" x14ac:dyDescent="0.3">
      <c r="A1256"/>
      <c r="B1256"/>
      <c r="C1256"/>
      <c r="D1256"/>
    </row>
    <row r="1257" spans="1:4" x14ac:dyDescent="0.3">
      <c r="A1257"/>
      <c r="B1257"/>
      <c r="C1257"/>
      <c r="D1257"/>
    </row>
    <row r="1258" spans="1:4" x14ac:dyDescent="0.3">
      <c r="A1258"/>
      <c r="B1258"/>
      <c r="C1258"/>
      <c r="D1258"/>
    </row>
    <row r="1259" spans="1:4" x14ac:dyDescent="0.3">
      <c r="A1259"/>
      <c r="B1259"/>
      <c r="C1259"/>
      <c r="D1259"/>
    </row>
    <row r="1260" spans="1:4" x14ac:dyDescent="0.3">
      <c r="A1260"/>
      <c r="B1260"/>
      <c r="C1260"/>
      <c r="D1260"/>
    </row>
    <row r="1261" spans="1:4" x14ac:dyDescent="0.3">
      <c r="A1261"/>
      <c r="B1261"/>
      <c r="C1261"/>
      <c r="D1261"/>
    </row>
    <row r="1262" spans="1:4" x14ac:dyDescent="0.3">
      <c r="A1262"/>
      <c r="B1262"/>
      <c r="C1262"/>
      <c r="D1262"/>
    </row>
    <row r="1263" spans="1:4" x14ac:dyDescent="0.3">
      <c r="A1263"/>
      <c r="B1263"/>
      <c r="C1263"/>
      <c r="D1263"/>
    </row>
    <row r="1264" spans="1:4" x14ac:dyDescent="0.3">
      <c r="A1264"/>
      <c r="B1264"/>
      <c r="C1264"/>
      <c r="D1264"/>
    </row>
    <row r="1265" spans="1:4" x14ac:dyDescent="0.3">
      <c r="A1265"/>
      <c r="B1265"/>
      <c r="C1265"/>
      <c r="D1265"/>
    </row>
    <row r="1266" spans="1:4" x14ac:dyDescent="0.3">
      <c r="A1266"/>
      <c r="B1266"/>
      <c r="C1266"/>
      <c r="D1266"/>
    </row>
    <row r="1267" spans="1:4" x14ac:dyDescent="0.3">
      <c r="A1267"/>
      <c r="B1267"/>
      <c r="C1267"/>
      <c r="D1267"/>
    </row>
    <row r="1268" spans="1:4" x14ac:dyDescent="0.3">
      <c r="A1268"/>
      <c r="B1268"/>
      <c r="C1268"/>
      <c r="D1268"/>
    </row>
    <row r="1269" spans="1:4" x14ac:dyDescent="0.3">
      <c r="A1269"/>
      <c r="B1269"/>
      <c r="C1269"/>
      <c r="D1269"/>
    </row>
    <row r="1270" spans="1:4" x14ac:dyDescent="0.3">
      <c r="A1270"/>
      <c r="B1270"/>
      <c r="C1270"/>
      <c r="D1270"/>
    </row>
    <row r="1271" spans="1:4" x14ac:dyDescent="0.3">
      <c r="A1271"/>
      <c r="B1271"/>
      <c r="C1271"/>
      <c r="D1271"/>
    </row>
    <row r="1272" spans="1:4" x14ac:dyDescent="0.3">
      <c r="A1272"/>
      <c r="B1272"/>
      <c r="C1272"/>
      <c r="D1272"/>
    </row>
    <row r="1273" spans="1:4" x14ac:dyDescent="0.3">
      <c r="A1273"/>
      <c r="B1273"/>
      <c r="C1273"/>
      <c r="D1273"/>
    </row>
    <row r="1274" spans="1:4" x14ac:dyDescent="0.3">
      <c r="A1274"/>
      <c r="B1274"/>
      <c r="C1274"/>
      <c r="D1274"/>
    </row>
    <row r="1275" spans="1:4" x14ac:dyDescent="0.3">
      <c r="A1275"/>
      <c r="B1275"/>
      <c r="C1275"/>
      <c r="D1275"/>
    </row>
    <row r="1276" spans="1:4" x14ac:dyDescent="0.3">
      <c r="A1276"/>
      <c r="B1276"/>
      <c r="C1276"/>
      <c r="D1276"/>
    </row>
    <row r="1277" spans="1:4" x14ac:dyDescent="0.3">
      <c r="A1277"/>
      <c r="B1277"/>
      <c r="C1277"/>
      <c r="D1277"/>
    </row>
    <row r="1278" spans="1:4" x14ac:dyDescent="0.3">
      <c r="A1278"/>
      <c r="B1278"/>
      <c r="C1278"/>
      <c r="D1278"/>
    </row>
    <row r="1279" spans="1:4" x14ac:dyDescent="0.3">
      <c r="A1279"/>
      <c r="B1279"/>
      <c r="C1279"/>
      <c r="D1279"/>
    </row>
    <row r="1280" spans="1:4" x14ac:dyDescent="0.3">
      <c r="A1280"/>
      <c r="B1280"/>
      <c r="C1280"/>
      <c r="D1280"/>
    </row>
    <row r="1281" spans="1:4" x14ac:dyDescent="0.3">
      <c r="A1281"/>
      <c r="B1281"/>
      <c r="C1281"/>
      <c r="D1281"/>
    </row>
    <row r="1282" spans="1:4" x14ac:dyDescent="0.3">
      <c r="A1282"/>
      <c r="B1282"/>
      <c r="C1282"/>
      <c r="D1282"/>
    </row>
    <row r="1283" spans="1:4" x14ac:dyDescent="0.3">
      <c r="A1283"/>
      <c r="B1283"/>
      <c r="C1283"/>
      <c r="D1283"/>
    </row>
    <row r="1284" spans="1:4" x14ac:dyDescent="0.3">
      <c r="A1284"/>
      <c r="B1284"/>
      <c r="C1284"/>
      <c r="D1284"/>
    </row>
    <row r="1285" spans="1:4" x14ac:dyDescent="0.3">
      <c r="A1285"/>
      <c r="B1285"/>
      <c r="C1285"/>
      <c r="D1285"/>
    </row>
    <row r="1286" spans="1:4" x14ac:dyDescent="0.3">
      <c r="A1286"/>
      <c r="B1286"/>
      <c r="C1286"/>
      <c r="D1286"/>
    </row>
    <row r="1287" spans="1:4" x14ac:dyDescent="0.3">
      <c r="A1287"/>
      <c r="B1287"/>
      <c r="C1287"/>
      <c r="D1287"/>
    </row>
    <row r="1288" spans="1:4" x14ac:dyDescent="0.3">
      <c r="A1288"/>
      <c r="B1288"/>
      <c r="C1288"/>
      <c r="D1288"/>
    </row>
    <row r="1289" spans="1:4" x14ac:dyDescent="0.3">
      <c r="A1289"/>
      <c r="B1289"/>
      <c r="C1289"/>
      <c r="D1289"/>
    </row>
    <row r="1290" spans="1:4" x14ac:dyDescent="0.3">
      <c r="A1290"/>
      <c r="B1290"/>
      <c r="C1290"/>
      <c r="D1290"/>
    </row>
    <row r="1291" spans="1:4" x14ac:dyDescent="0.3">
      <c r="A1291"/>
      <c r="B1291"/>
      <c r="C1291"/>
      <c r="D1291"/>
    </row>
    <row r="1292" spans="1:4" x14ac:dyDescent="0.3">
      <c r="A1292"/>
      <c r="B1292"/>
      <c r="C1292"/>
      <c r="D1292"/>
    </row>
    <row r="1293" spans="1:4" x14ac:dyDescent="0.3">
      <c r="A1293"/>
      <c r="B1293"/>
      <c r="C1293"/>
      <c r="D1293"/>
    </row>
    <row r="1294" spans="1:4" x14ac:dyDescent="0.3">
      <c r="A1294"/>
      <c r="B1294"/>
      <c r="C1294"/>
      <c r="D1294"/>
    </row>
    <row r="1295" spans="1:4" x14ac:dyDescent="0.3">
      <c r="A1295"/>
      <c r="B1295"/>
      <c r="C1295"/>
      <c r="D1295"/>
    </row>
    <row r="1296" spans="1:4" x14ac:dyDescent="0.3">
      <c r="A1296"/>
      <c r="B1296"/>
      <c r="C1296"/>
      <c r="D1296"/>
    </row>
    <row r="1297" spans="1:4" x14ac:dyDescent="0.3">
      <c r="A1297"/>
      <c r="B1297"/>
      <c r="C1297"/>
      <c r="D1297"/>
    </row>
    <row r="1298" spans="1:4" x14ac:dyDescent="0.3">
      <c r="A1298"/>
      <c r="B1298"/>
      <c r="C1298"/>
      <c r="D1298"/>
    </row>
    <row r="1299" spans="1:4" x14ac:dyDescent="0.3">
      <c r="A1299"/>
      <c r="B1299"/>
      <c r="C1299"/>
      <c r="D1299"/>
    </row>
    <row r="1300" spans="1:4" x14ac:dyDescent="0.3">
      <c r="A1300"/>
      <c r="B1300"/>
      <c r="C1300"/>
      <c r="D1300"/>
    </row>
    <row r="1301" spans="1:4" x14ac:dyDescent="0.3">
      <c r="A1301"/>
      <c r="B1301"/>
      <c r="C1301"/>
      <c r="D1301"/>
    </row>
    <row r="1302" spans="1:4" x14ac:dyDescent="0.3">
      <c r="A1302"/>
      <c r="B1302"/>
      <c r="C1302"/>
      <c r="D1302"/>
    </row>
    <row r="1303" spans="1:4" x14ac:dyDescent="0.3">
      <c r="A1303"/>
      <c r="B1303"/>
      <c r="C1303"/>
      <c r="D1303"/>
    </row>
    <row r="1304" spans="1:4" x14ac:dyDescent="0.3">
      <c r="A1304"/>
      <c r="B1304"/>
      <c r="C1304"/>
      <c r="D1304"/>
    </row>
    <row r="1305" spans="1:4" x14ac:dyDescent="0.3">
      <c r="A1305"/>
      <c r="B1305"/>
      <c r="C1305"/>
      <c r="D1305"/>
    </row>
    <row r="1306" spans="1:4" x14ac:dyDescent="0.3">
      <c r="A1306"/>
      <c r="B1306"/>
      <c r="C1306"/>
      <c r="D1306"/>
    </row>
    <row r="1307" spans="1:4" x14ac:dyDescent="0.3">
      <c r="A1307"/>
      <c r="B1307"/>
      <c r="C1307"/>
      <c r="D1307"/>
    </row>
    <row r="1308" spans="1:4" x14ac:dyDescent="0.3">
      <c r="A1308"/>
      <c r="B1308"/>
      <c r="C1308"/>
      <c r="D1308"/>
    </row>
    <row r="1309" spans="1:4" x14ac:dyDescent="0.3">
      <c r="A1309"/>
      <c r="B1309"/>
      <c r="C1309"/>
      <c r="D1309"/>
    </row>
    <row r="1310" spans="1:4" x14ac:dyDescent="0.3">
      <c r="A1310"/>
      <c r="B1310"/>
      <c r="C1310"/>
      <c r="D1310"/>
    </row>
    <row r="1311" spans="1:4" x14ac:dyDescent="0.3">
      <c r="A1311"/>
      <c r="B1311"/>
      <c r="C1311"/>
      <c r="D1311"/>
    </row>
    <row r="1312" spans="1:4" x14ac:dyDescent="0.3">
      <c r="A1312"/>
      <c r="B1312"/>
      <c r="C1312"/>
      <c r="D1312"/>
    </row>
    <row r="1313" spans="1:4" x14ac:dyDescent="0.3">
      <c r="A1313"/>
      <c r="B1313"/>
      <c r="C1313"/>
      <c r="D1313"/>
    </row>
    <row r="1314" spans="1:4" x14ac:dyDescent="0.3">
      <c r="A1314"/>
      <c r="B1314"/>
      <c r="C1314"/>
      <c r="D1314"/>
    </row>
    <row r="1315" spans="1:4" x14ac:dyDescent="0.3">
      <c r="A1315"/>
      <c r="B1315"/>
      <c r="C1315"/>
      <c r="D1315"/>
    </row>
    <row r="1316" spans="1:4" x14ac:dyDescent="0.3">
      <c r="A1316"/>
      <c r="B1316"/>
      <c r="C1316"/>
      <c r="D1316"/>
    </row>
    <row r="1317" spans="1:4" x14ac:dyDescent="0.3">
      <c r="A1317"/>
      <c r="B1317"/>
      <c r="C1317"/>
      <c r="D1317"/>
    </row>
    <row r="1318" spans="1:4" x14ac:dyDescent="0.3">
      <c r="A1318"/>
      <c r="B1318"/>
      <c r="C1318"/>
      <c r="D1318"/>
    </row>
    <row r="1319" spans="1:4" x14ac:dyDescent="0.3">
      <c r="A1319"/>
      <c r="B1319"/>
      <c r="C1319"/>
      <c r="D1319"/>
    </row>
    <row r="1320" spans="1:4" x14ac:dyDescent="0.3">
      <c r="A1320"/>
      <c r="B1320"/>
      <c r="C1320"/>
      <c r="D1320"/>
    </row>
    <row r="1321" spans="1:4" x14ac:dyDescent="0.3">
      <c r="A1321"/>
      <c r="B1321"/>
      <c r="C1321"/>
      <c r="D1321"/>
    </row>
    <row r="1322" spans="1:4" x14ac:dyDescent="0.3">
      <c r="A1322"/>
      <c r="B1322"/>
      <c r="C1322"/>
      <c r="D1322"/>
    </row>
    <row r="1323" spans="1:4" x14ac:dyDescent="0.3">
      <c r="A1323"/>
      <c r="B1323"/>
      <c r="C1323"/>
      <c r="D1323"/>
    </row>
    <row r="1324" spans="1:4" x14ac:dyDescent="0.3">
      <c r="A1324"/>
      <c r="B1324"/>
      <c r="C1324"/>
      <c r="D1324"/>
    </row>
    <row r="1325" spans="1:4" x14ac:dyDescent="0.3">
      <c r="A1325"/>
      <c r="B1325"/>
      <c r="C1325"/>
      <c r="D1325"/>
    </row>
    <row r="1326" spans="1:4" x14ac:dyDescent="0.3">
      <c r="A1326"/>
      <c r="B1326"/>
      <c r="C1326"/>
      <c r="D1326"/>
    </row>
    <row r="1327" spans="1:4" x14ac:dyDescent="0.3">
      <c r="A1327"/>
      <c r="B1327"/>
      <c r="C1327"/>
      <c r="D1327"/>
    </row>
    <row r="1328" spans="1:4" x14ac:dyDescent="0.3">
      <c r="A1328"/>
      <c r="B1328"/>
      <c r="C1328"/>
      <c r="D1328"/>
    </row>
    <row r="1329" spans="1:4" x14ac:dyDescent="0.3">
      <c r="A1329"/>
      <c r="B1329"/>
      <c r="C1329"/>
      <c r="D1329"/>
    </row>
    <row r="1330" spans="1:4" x14ac:dyDescent="0.3">
      <c r="A1330"/>
      <c r="B1330"/>
      <c r="C1330"/>
      <c r="D1330"/>
    </row>
    <row r="1331" spans="1:4" x14ac:dyDescent="0.3">
      <c r="A1331"/>
      <c r="B1331"/>
      <c r="C1331"/>
      <c r="D1331"/>
    </row>
    <row r="1332" spans="1:4" x14ac:dyDescent="0.3">
      <c r="A1332"/>
      <c r="B1332"/>
      <c r="C1332"/>
      <c r="D1332"/>
    </row>
    <row r="1333" spans="1:4" x14ac:dyDescent="0.3">
      <c r="A1333"/>
      <c r="B1333"/>
      <c r="C1333"/>
      <c r="D1333"/>
    </row>
    <row r="1334" spans="1:4" x14ac:dyDescent="0.3">
      <c r="A1334"/>
      <c r="B1334"/>
      <c r="C1334"/>
      <c r="D1334"/>
    </row>
    <row r="1335" spans="1:4" x14ac:dyDescent="0.3">
      <c r="A1335"/>
      <c r="B1335"/>
      <c r="C1335"/>
      <c r="D1335"/>
    </row>
    <row r="1336" spans="1:4" x14ac:dyDescent="0.3">
      <c r="A1336"/>
      <c r="B1336"/>
      <c r="C1336"/>
      <c r="D1336"/>
    </row>
    <row r="1337" spans="1:4" x14ac:dyDescent="0.3">
      <c r="A1337"/>
      <c r="B1337"/>
      <c r="C1337"/>
      <c r="D1337"/>
    </row>
    <row r="1338" spans="1:4" x14ac:dyDescent="0.3">
      <c r="A1338"/>
      <c r="B1338"/>
      <c r="C1338"/>
      <c r="D1338"/>
    </row>
    <row r="1339" spans="1:4" x14ac:dyDescent="0.3">
      <c r="A1339"/>
      <c r="B1339"/>
      <c r="C1339"/>
      <c r="D1339"/>
    </row>
    <row r="1340" spans="1:4" x14ac:dyDescent="0.3">
      <c r="A1340"/>
      <c r="B1340"/>
      <c r="C1340"/>
      <c r="D1340"/>
    </row>
    <row r="1341" spans="1:4" x14ac:dyDescent="0.3">
      <c r="A1341"/>
      <c r="B1341"/>
      <c r="C1341"/>
      <c r="D1341"/>
    </row>
    <row r="1342" spans="1:4" x14ac:dyDescent="0.3">
      <c r="A1342"/>
      <c r="B1342"/>
      <c r="C1342"/>
      <c r="D1342"/>
    </row>
    <row r="1343" spans="1:4" x14ac:dyDescent="0.3">
      <c r="A1343"/>
      <c r="B1343"/>
      <c r="C1343"/>
      <c r="D1343"/>
    </row>
    <row r="1344" spans="1:4" x14ac:dyDescent="0.3">
      <c r="A1344"/>
      <c r="B1344"/>
      <c r="C1344"/>
      <c r="D1344"/>
    </row>
    <row r="1345" spans="1:4" x14ac:dyDescent="0.3">
      <c r="A1345"/>
      <c r="B1345"/>
      <c r="C1345"/>
      <c r="D1345"/>
    </row>
    <row r="1346" spans="1:4" x14ac:dyDescent="0.3">
      <c r="A1346"/>
      <c r="B1346"/>
      <c r="C1346"/>
      <c r="D1346"/>
    </row>
    <row r="1347" spans="1:4" x14ac:dyDescent="0.3">
      <c r="A1347"/>
      <c r="B1347"/>
      <c r="C1347"/>
      <c r="D1347"/>
    </row>
    <row r="1348" spans="1:4" x14ac:dyDescent="0.3">
      <c r="A1348"/>
      <c r="B1348"/>
      <c r="C1348"/>
      <c r="D1348"/>
    </row>
    <row r="1349" spans="1:4" x14ac:dyDescent="0.3">
      <c r="A1349"/>
      <c r="B1349"/>
      <c r="C1349"/>
      <c r="D1349"/>
    </row>
    <row r="1350" spans="1:4" x14ac:dyDescent="0.3">
      <c r="A1350"/>
      <c r="B1350"/>
      <c r="C1350"/>
      <c r="D1350"/>
    </row>
    <row r="1351" spans="1:4" x14ac:dyDescent="0.3">
      <c r="A1351"/>
      <c r="B1351"/>
      <c r="C1351"/>
      <c r="D1351"/>
    </row>
    <row r="1352" spans="1:4" x14ac:dyDescent="0.3">
      <c r="A1352"/>
      <c r="B1352"/>
      <c r="C1352"/>
      <c r="D1352"/>
    </row>
    <row r="1353" spans="1:4" x14ac:dyDescent="0.3">
      <c r="A1353"/>
      <c r="B1353"/>
      <c r="C1353"/>
      <c r="D1353"/>
    </row>
    <row r="1354" spans="1:4" x14ac:dyDescent="0.3">
      <c r="A1354"/>
      <c r="B1354"/>
      <c r="C1354"/>
      <c r="D1354"/>
    </row>
    <row r="1355" spans="1:4" x14ac:dyDescent="0.3">
      <c r="A1355"/>
      <c r="B1355"/>
      <c r="C1355"/>
      <c r="D1355"/>
    </row>
    <row r="1356" spans="1:4" x14ac:dyDescent="0.3">
      <c r="A1356"/>
      <c r="B1356"/>
      <c r="C1356"/>
      <c r="D1356"/>
    </row>
    <row r="1357" spans="1:4" x14ac:dyDescent="0.3">
      <c r="A1357"/>
      <c r="B1357"/>
      <c r="C1357"/>
      <c r="D1357"/>
    </row>
    <row r="1358" spans="1:4" x14ac:dyDescent="0.3">
      <c r="A1358"/>
      <c r="B1358"/>
      <c r="C1358"/>
      <c r="D1358"/>
    </row>
    <row r="1359" spans="1:4" x14ac:dyDescent="0.3">
      <c r="A1359"/>
      <c r="B1359"/>
      <c r="C1359"/>
      <c r="D1359"/>
    </row>
    <row r="1360" spans="1:4" x14ac:dyDescent="0.3">
      <c r="A1360"/>
      <c r="B1360"/>
      <c r="C1360"/>
      <c r="D1360"/>
    </row>
    <row r="1361" spans="1:4" x14ac:dyDescent="0.3">
      <c r="A1361"/>
      <c r="B1361"/>
      <c r="C1361"/>
      <c r="D1361"/>
    </row>
    <row r="1362" spans="1:4" x14ac:dyDescent="0.3">
      <c r="A1362"/>
      <c r="B1362"/>
      <c r="C1362"/>
      <c r="D1362"/>
    </row>
    <row r="1363" spans="1:4" x14ac:dyDescent="0.3">
      <c r="A1363"/>
      <c r="B1363"/>
      <c r="C1363"/>
      <c r="D1363"/>
    </row>
    <row r="1364" spans="1:4" x14ac:dyDescent="0.3">
      <c r="A1364"/>
      <c r="B1364"/>
      <c r="C1364"/>
      <c r="D1364"/>
    </row>
    <row r="1365" spans="1:4" x14ac:dyDescent="0.3">
      <c r="A1365"/>
      <c r="B1365"/>
      <c r="C1365"/>
      <c r="D1365"/>
    </row>
    <row r="1366" spans="1:4" x14ac:dyDescent="0.3">
      <c r="A1366"/>
      <c r="B1366"/>
      <c r="C1366"/>
      <c r="D1366"/>
    </row>
    <row r="1367" spans="1:4" x14ac:dyDescent="0.3">
      <c r="A1367"/>
      <c r="B1367"/>
      <c r="C1367"/>
      <c r="D1367"/>
    </row>
    <row r="1368" spans="1:4" x14ac:dyDescent="0.3">
      <c r="A1368"/>
      <c r="B1368"/>
      <c r="C1368"/>
      <c r="D1368"/>
    </row>
    <row r="1369" spans="1:4" x14ac:dyDescent="0.3">
      <c r="A1369"/>
      <c r="B1369"/>
      <c r="C1369"/>
      <c r="D1369"/>
    </row>
    <row r="1370" spans="1:4" x14ac:dyDescent="0.3">
      <c r="A1370"/>
      <c r="B1370"/>
      <c r="C1370"/>
      <c r="D1370"/>
    </row>
    <row r="1371" spans="1:4" x14ac:dyDescent="0.3">
      <c r="A1371"/>
      <c r="B1371"/>
      <c r="C1371"/>
      <c r="D1371"/>
    </row>
    <row r="1372" spans="1:4" x14ac:dyDescent="0.3">
      <c r="A1372"/>
      <c r="B1372"/>
      <c r="C1372"/>
      <c r="D1372"/>
    </row>
    <row r="1373" spans="1:4" x14ac:dyDescent="0.3">
      <c r="A1373"/>
      <c r="B1373"/>
      <c r="C1373"/>
      <c r="D1373"/>
    </row>
    <row r="1374" spans="1:4" x14ac:dyDescent="0.3">
      <c r="A1374"/>
      <c r="B1374"/>
      <c r="C1374"/>
      <c r="D1374"/>
    </row>
    <row r="1375" spans="1:4" x14ac:dyDescent="0.3">
      <c r="A1375"/>
      <c r="B1375"/>
      <c r="C1375"/>
      <c r="D1375"/>
    </row>
    <row r="1376" spans="1:4" x14ac:dyDescent="0.3">
      <c r="A1376"/>
      <c r="B1376"/>
      <c r="C1376"/>
      <c r="D1376"/>
    </row>
    <row r="1377" spans="1:4" x14ac:dyDescent="0.3">
      <c r="A1377"/>
      <c r="B1377"/>
      <c r="C1377"/>
      <c r="D1377"/>
    </row>
    <row r="1378" spans="1:4" x14ac:dyDescent="0.3">
      <c r="A1378"/>
      <c r="B1378"/>
      <c r="C1378"/>
      <c r="D1378"/>
    </row>
    <row r="1379" spans="1:4" x14ac:dyDescent="0.3">
      <c r="A1379"/>
      <c r="B1379"/>
      <c r="C1379"/>
      <c r="D1379"/>
    </row>
    <row r="1380" spans="1:4" x14ac:dyDescent="0.3">
      <c r="A1380"/>
      <c r="B1380"/>
      <c r="C1380"/>
      <c r="D1380"/>
    </row>
    <row r="1381" spans="1:4" x14ac:dyDescent="0.3">
      <c r="A1381"/>
      <c r="B1381"/>
      <c r="C1381"/>
      <c r="D1381"/>
    </row>
    <row r="1382" spans="1:4" x14ac:dyDescent="0.3">
      <c r="A1382"/>
      <c r="B1382"/>
      <c r="C1382"/>
      <c r="D1382"/>
    </row>
    <row r="1383" spans="1:4" x14ac:dyDescent="0.3">
      <c r="A1383"/>
      <c r="B1383"/>
      <c r="C1383"/>
      <c r="D1383"/>
    </row>
    <row r="1384" spans="1:4" x14ac:dyDescent="0.3">
      <c r="A1384"/>
      <c r="B1384"/>
      <c r="C1384"/>
      <c r="D1384"/>
    </row>
    <row r="1385" spans="1:4" x14ac:dyDescent="0.3">
      <c r="A1385"/>
      <c r="B1385"/>
      <c r="C1385"/>
      <c r="D1385"/>
    </row>
    <row r="1386" spans="1:4" x14ac:dyDescent="0.3">
      <c r="A1386"/>
      <c r="B1386"/>
      <c r="C1386"/>
      <c r="D1386"/>
    </row>
    <row r="1387" spans="1:4" x14ac:dyDescent="0.3">
      <c r="A1387"/>
      <c r="B1387"/>
      <c r="C1387"/>
      <c r="D1387"/>
    </row>
    <row r="1388" spans="1:4" x14ac:dyDescent="0.3">
      <c r="A1388"/>
      <c r="B1388"/>
      <c r="C1388"/>
      <c r="D1388"/>
    </row>
    <row r="1389" spans="1:4" x14ac:dyDescent="0.3">
      <c r="A1389"/>
      <c r="B1389"/>
      <c r="C1389"/>
      <c r="D1389"/>
    </row>
    <row r="1390" spans="1:4" x14ac:dyDescent="0.3">
      <c r="A1390"/>
      <c r="B1390"/>
      <c r="C1390"/>
      <c r="D1390"/>
    </row>
    <row r="1391" spans="1:4" x14ac:dyDescent="0.3">
      <c r="A1391"/>
      <c r="B1391"/>
      <c r="C1391"/>
      <c r="D1391"/>
    </row>
    <row r="1392" spans="1:4" x14ac:dyDescent="0.3">
      <c r="A1392"/>
      <c r="B1392"/>
      <c r="C1392"/>
      <c r="D1392"/>
    </row>
    <row r="1393" spans="1:4" x14ac:dyDescent="0.3">
      <c r="A1393"/>
      <c r="B1393"/>
      <c r="C1393"/>
      <c r="D1393"/>
    </row>
    <row r="1394" spans="1:4" x14ac:dyDescent="0.3">
      <c r="A1394"/>
      <c r="B1394"/>
      <c r="C1394"/>
      <c r="D1394"/>
    </row>
    <row r="1395" spans="1:4" x14ac:dyDescent="0.3">
      <c r="A1395"/>
      <c r="B1395"/>
      <c r="C1395"/>
      <c r="D1395"/>
    </row>
    <row r="1396" spans="1:4" x14ac:dyDescent="0.3">
      <c r="A1396"/>
      <c r="B1396"/>
      <c r="C1396"/>
      <c r="D1396"/>
    </row>
    <row r="1397" spans="1:4" x14ac:dyDescent="0.3">
      <c r="A1397"/>
      <c r="B1397"/>
      <c r="C1397"/>
      <c r="D1397"/>
    </row>
    <row r="1398" spans="1:4" x14ac:dyDescent="0.3">
      <c r="A1398"/>
      <c r="B1398"/>
      <c r="C1398"/>
      <c r="D1398"/>
    </row>
    <row r="1399" spans="1:4" x14ac:dyDescent="0.3">
      <c r="A1399"/>
      <c r="B1399"/>
      <c r="C1399"/>
      <c r="D1399"/>
    </row>
    <row r="1400" spans="1:4" x14ac:dyDescent="0.3">
      <c r="A1400"/>
      <c r="B1400"/>
      <c r="C1400"/>
      <c r="D1400"/>
    </row>
    <row r="1401" spans="1:4" x14ac:dyDescent="0.3">
      <c r="A1401"/>
      <c r="B1401"/>
      <c r="C1401"/>
      <c r="D1401"/>
    </row>
    <row r="1402" spans="1:4" x14ac:dyDescent="0.3">
      <c r="A1402"/>
      <c r="B1402"/>
      <c r="C1402"/>
      <c r="D1402"/>
    </row>
    <row r="1403" spans="1:4" x14ac:dyDescent="0.3">
      <c r="A1403"/>
      <c r="B1403"/>
      <c r="C1403"/>
      <c r="D1403"/>
    </row>
    <row r="1404" spans="1:4" x14ac:dyDescent="0.3">
      <c r="A1404"/>
      <c r="B1404"/>
      <c r="C1404"/>
      <c r="D1404"/>
    </row>
    <row r="1405" spans="1:4" x14ac:dyDescent="0.3">
      <c r="A1405"/>
      <c r="B1405"/>
      <c r="C1405"/>
      <c r="D1405"/>
    </row>
    <row r="1406" spans="1:4" x14ac:dyDescent="0.3">
      <c r="A1406"/>
      <c r="B1406"/>
      <c r="C1406"/>
      <c r="D1406"/>
    </row>
    <row r="1407" spans="1:4" x14ac:dyDescent="0.3">
      <c r="A1407"/>
      <c r="B1407"/>
      <c r="C1407"/>
      <c r="D1407"/>
    </row>
    <row r="1408" spans="1:4" x14ac:dyDescent="0.3">
      <c r="A1408"/>
      <c r="B1408"/>
      <c r="C1408"/>
      <c r="D1408"/>
    </row>
    <row r="1409" spans="1:4" x14ac:dyDescent="0.3">
      <c r="A1409"/>
      <c r="B1409"/>
      <c r="C1409"/>
      <c r="D1409"/>
    </row>
    <row r="1410" spans="1:4" x14ac:dyDescent="0.3">
      <c r="A1410"/>
      <c r="B1410"/>
      <c r="C1410"/>
      <c r="D1410"/>
    </row>
    <row r="1411" spans="1:4" x14ac:dyDescent="0.3">
      <c r="A1411"/>
      <c r="B1411"/>
      <c r="C1411"/>
      <c r="D1411"/>
    </row>
    <row r="1412" spans="1:4" x14ac:dyDescent="0.3">
      <c r="A1412"/>
      <c r="B1412"/>
      <c r="C1412"/>
      <c r="D1412"/>
    </row>
    <row r="1413" spans="1:4" x14ac:dyDescent="0.3">
      <c r="A1413"/>
      <c r="B1413"/>
      <c r="C1413"/>
      <c r="D1413"/>
    </row>
    <row r="1414" spans="1:4" x14ac:dyDescent="0.3">
      <c r="A1414"/>
      <c r="B1414"/>
      <c r="C1414"/>
      <c r="D1414"/>
    </row>
    <row r="1415" spans="1:4" x14ac:dyDescent="0.3">
      <c r="A1415"/>
      <c r="B1415"/>
      <c r="C1415"/>
      <c r="D1415"/>
    </row>
    <row r="1416" spans="1:4" x14ac:dyDescent="0.3">
      <c r="A1416"/>
      <c r="B1416"/>
      <c r="C1416"/>
      <c r="D1416"/>
    </row>
    <row r="1417" spans="1:4" x14ac:dyDescent="0.3">
      <c r="A1417"/>
      <c r="B1417"/>
      <c r="C1417"/>
      <c r="D1417"/>
    </row>
    <row r="1418" spans="1:4" x14ac:dyDescent="0.3">
      <c r="A1418"/>
      <c r="B1418"/>
      <c r="C1418"/>
      <c r="D1418"/>
    </row>
    <row r="1419" spans="1:4" x14ac:dyDescent="0.3">
      <c r="A1419"/>
      <c r="B1419"/>
      <c r="C1419"/>
      <c r="D1419"/>
    </row>
    <row r="1420" spans="1:4" x14ac:dyDescent="0.3">
      <c r="A1420"/>
      <c r="B1420"/>
      <c r="C1420"/>
      <c r="D1420"/>
    </row>
    <row r="1421" spans="1:4" x14ac:dyDescent="0.3">
      <c r="A1421"/>
      <c r="B1421"/>
      <c r="C1421"/>
      <c r="D1421"/>
    </row>
    <row r="1422" spans="1:4" x14ac:dyDescent="0.3">
      <c r="A1422"/>
      <c r="B1422"/>
      <c r="C1422"/>
      <c r="D1422"/>
    </row>
    <row r="1423" spans="1:4" x14ac:dyDescent="0.3">
      <c r="A1423"/>
      <c r="B1423"/>
      <c r="C1423"/>
      <c r="D1423"/>
    </row>
    <row r="1424" spans="1:4" x14ac:dyDescent="0.3">
      <c r="A1424"/>
      <c r="B1424"/>
      <c r="C1424"/>
      <c r="D1424"/>
    </row>
    <row r="1425" spans="1:4" x14ac:dyDescent="0.3">
      <c r="A1425"/>
      <c r="B1425"/>
      <c r="C1425"/>
      <c r="D1425"/>
    </row>
    <row r="1426" spans="1:4" x14ac:dyDescent="0.3">
      <c r="A1426"/>
      <c r="B1426"/>
      <c r="C1426"/>
      <c r="D1426"/>
    </row>
    <row r="1427" spans="1:4" x14ac:dyDescent="0.3">
      <c r="A1427"/>
      <c r="B1427"/>
      <c r="C1427"/>
      <c r="D1427"/>
    </row>
    <row r="1428" spans="1:4" x14ac:dyDescent="0.3">
      <c r="A1428"/>
      <c r="B1428"/>
      <c r="C1428"/>
      <c r="D1428"/>
    </row>
    <row r="1429" spans="1:4" x14ac:dyDescent="0.3">
      <c r="A1429"/>
      <c r="B1429"/>
      <c r="C1429"/>
      <c r="D1429"/>
    </row>
    <row r="1430" spans="1:4" x14ac:dyDescent="0.3">
      <c r="A1430"/>
      <c r="B1430"/>
      <c r="C1430"/>
      <c r="D1430"/>
    </row>
    <row r="1431" spans="1:4" x14ac:dyDescent="0.3">
      <c r="A1431"/>
      <c r="B1431"/>
      <c r="C1431"/>
      <c r="D1431"/>
    </row>
    <row r="1432" spans="1:4" x14ac:dyDescent="0.3">
      <c r="A1432"/>
      <c r="B1432"/>
      <c r="C1432"/>
      <c r="D1432"/>
    </row>
    <row r="1433" spans="1:4" x14ac:dyDescent="0.3">
      <c r="A1433"/>
      <c r="B1433"/>
      <c r="C1433"/>
      <c r="D1433"/>
    </row>
    <row r="1434" spans="1:4" x14ac:dyDescent="0.3">
      <c r="A1434"/>
      <c r="B1434"/>
      <c r="C1434"/>
      <c r="D1434"/>
    </row>
    <row r="1435" spans="1:4" x14ac:dyDescent="0.3">
      <c r="A1435"/>
      <c r="B1435"/>
      <c r="C1435"/>
      <c r="D1435"/>
    </row>
    <row r="1436" spans="1:4" x14ac:dyDescent="0.3">
      <c r="A1436"/>
      <c r="B1436"/>
      <c r="C1436"/>
      <c r="D1436"/>
    </row>
    <row r="1437" spans="1:4" x14ac:dyDescent="0.3">
      <c r="A1437"/>
      <c r="B1437"/>
      <c r="C1437"/>
      <c r="D1437"/>
    </row>
    <row r="1438" spans="1:4" x14ac:dyDescent="0.3">
      <c r="A1438"/>
      <c r="B1438"/>
      <c r="C1438"/>
      <c r="D1438"/>
    </row>
    <row r="1439" spans="1:4" x14ac:dyDescent="0.3">
      <c r="A1439"/>
      <c r="B1439"/>
      <c r="C1439"/>
      <c r="D1439"/>
    </row>
    <row r="1440" spans="1:4" x14ac:dyDescent="0.3">
      <c r="A1440"/>
      <c r="B1440"/>
      <c r="C1440"/>
      <c r="D1440"/>
    </row>
    <row r="1441" spans="1:4" x14ac:dyDescent="0.3">
      <c r="A1441"/>
      <c r="B1441"/>
      <c r="C1441"/>
      <c r="D1441"/>
    </row>
    <row r="1442" spans="1:4" x14ac:dyDescent="0.3">
      <c r="A1442"/>
      <c r="B1442"/>
      <c r="C1442"/>
      <c r="D1442"/>
    </row>
    <row r="1443" spans="1:4" x14ac:dyDescent="0.3">
      <c r="A1443"/>
      <c r="B1443"/>
      <c r="C1443"/>
      <c r="D1443"/>
    </row>
    <row r="1444" spans="1:4" x14ac:dyDescent="0.3">
      <c r="A1444"/>
      <c r="B1444"/>
      <c r="C1444"/>
      <c r="D1444"/>
    </row>
    <row r="1445" spans="1:4" x14ac:dyDescent="0.3">
      <c r="A1445"/>
      <c r="B1445"/>
      <c r="C1445"/>
      <c r="D1445"/>
    </row>
    <row r="1446" spans="1:4" x14ac:dyDescent="0.3">
      <c r="A1446"/>
      <c r="B1446"/>
      <c r="C1446"/>
      <c r="D1446"/>
    </row>
    <row r="1447" spans="1:4" x14ac:dyDescent="0.3">
      <c r="A1447"/>
      <c r="B1447"/>
      <c r="C1447"/>
      <c r="D1447"/>
    </row>
    <row r="1448" spans="1:4" x14ac:dyDescent="0.3">
      <c r="A1448"/>
      <c r="B1448"/>
      <c r="C1448"/>
      <c r="D1448"/>
    </row>
    <row r="1449" spans="1:4" x14ac:dyDescent="0.3">
      <c r="A1449"/>
      <c r="B1449"/>
      <c r="C1449"/>
      <c r="D1449"/>
    </row>
    <row r="1450" spans="1:4" x14ac:dyDescent="0.3">
      <c r="A1450"/>
      <c r="B1450"/>
      <c r="C1450"/>
      <c r="D1450"/>
    </row>
    <row r="1451" spans="1:4" x14ac:dyDescent="0.3">
      <c r="A1451"/>
      <c r="B1451"/>
      <c r="C1451"/>
      <c r="D1451"/>
    </row>
    <row r="1452" spans="1:4" x14ac:dyDescent="0.3">
      <c r="A1452"/>
      <c r="B1452"/>
      <c r="C1452"/>
      <c r="D1452"/>
    </row>
    <row r="1453" spans="1:4" x14ac:dyDescent="0.3">
      <c r="A1453"/>
      <c r="B1453"/>
      <c r="C1453"/>
      <c r="D1453"/>
    </row>
    <row r="1454" spans="1:4" x14ac:dyDescent="0.3">
      <c r="A1454"/>
      <c r="B1454"/>
      <c r="C1454"/>
      <c r="D1454"/>
    </row>
    <row r="1455" spans="1:4" x14ac:dyDescent="0.3">
      <c r="A1455"/>
      <c r="B1455"/>
      <c r="C1455"/>
      <c r="D1455"/>
    </row>
    <row r="1456" spans="1:4" x14ac:dyDescent="0.3">
      <c r="A1456"/>
      <c r="B1456"/>
      <c r="C1456"/>
      <c r="D1456"/>
    </row>
    <row r="1457" spans="1:4" x14ac:dyDescent="0.3">
      <c r="A1457"/>
      <c r="B1457"/>
      <c r="C1457"/>
      <c r="D1457"/>
    </row>
    <row r="1458" spans="1:4" x14ac:dyDescent="0.3">
      <c r="A1458"/>
      <c r="B1458"/>
      <c r="C1458"/>
      <c r="D1458"/>
    </row>
    <row r="1459" spans="1:4" x14ac:dyDescent="0.3">
      <c r="A1459"/>
      <c r="B1459"/>
      <c r="C1459"/>
      <c r="D1459"/>
    </row>
    <row r="1460" spans="1:4" x14ac:dyDescent="0.3">
      <c r="A1460"/>
      <c r="B1460"/>
      <c r="C1460"/>
      <c r="D1460"/>
    </row>
    <row r="1461" spans="1:4" x14ac:dyDescent="0.3">
      <c r="A1461"/>
      <c r="B1461"/>
      <c r="C1461"/>
      <c r="D1461"/>
    </row>
    <row r="1462" spans="1:4" x14ac:dyDescent="0.3">
      <c r="A1462"/>
      <c r="B1462"/>
      <c r="C1462"/>
      <c r="D1462"/>
    </row>
    <row r="1463" spans="1:4" x14ac:dyDescent="0.3">
      <c r="A1463"/>
      <c r="B1463"/>
      <c r="C1463"/>
      <c r="D1463"/>
    </row>
    <row r="1464" spans="1:4" x14ac:dyDescent="0.3">
      <c r="A1464"/>
      <c r="B1464"/>
      <c r="C1464"/>
      <c r="D1464"/>
    </row>
    <row r="1465" spans="1:4" x14ac:dyDescent="0.3">
      <c r="A1465"/>
      <c r="B1465"/>
      <c r="C1465"/>
      <c r="D1465"/>
    </row>
    <row r="1466" spans="1:4" x14ac:dyDescent="0.3">
      <c r="A1466"/>
      <c r="B1466"/>
      <c r="C1466"/>
      <c r="D1466"/>
    </row>
    <row r="1467" spans="1:4" x14ac:dyDescent="0.3">
      <c r="A1467"/>
      <c r="B1467"/>
      <c r="C1467"/>
      <c r="D1467"/>
    </row>
    <row r="1468" spans="1:4" x14ac:dyDescent="0.3">
      <c r="A1468"/>
      <c r="B1468"/>
      <c r="C1468"/>
      <c r="D1468"/>
    </row>
    <row r="1469" spans="1:4" x14ac:dyDescent="0.3">
      <c r="A1469"/>
      <c r="B1469"/>
      <c r="C1469"/>
      <c r="D1469"/>
    </row>
    <row r="1470" spans="1:4" x14ac:dyDescent="0.3">
      <c r="A1470"/>
      <c r="B1470"/>
      <c r="C1470"/>
      <c r="D1470"/>
    </row>
    <row r="1471" spans="1:4" x14ac:dyDescent="0.3">
      <c r="A1471"/>
      <c r="B1471"/>
      <c r="C1471"/>
      <c r="D1471"/>
    </row>
    <row r="1472" spans="1:4" x14ac:dyDescent="0.3">
      <c r="A1472"/>
      <c r="B1472"/>
      <c r="C1472"/>
      <c r="D1472"/>
    </row>
    <row r="1473" spans="1:4" x14ac:dyDescent="0.3">
      <c r="A1473"/>
      <c r="B1473"/>
      <c r="C1473"/>
      <c r="D1473"/>
    </row>
    <row r="1474" spans="1:4" x14ac:dyDescent="0.3">
      <c r="A1474"/>
      <c r="B1474"/>
      <c r="C1474"/>
      <c r="D1474"/>
    </row>
    <row r="1475" spans="1:4" x14ac:dyDescent="0.3">
      <c r="A1475"/>
      <c r="B1475"/>
      <c r="C1475"/>
      <c r="D1475"/>
    </row>
    <row r="1476" spans="1:4" x14ac:dyDescent="0.3">
      <c r="A1476"/>
      <c r="B1476"/>
      <c r="C1476"/>
      <c r="D1476"/>
    </row>
    <row r="1477" spans="1:4" x14ac:dyDescent="0.3">
      <c r="A1477"/>
      <c r="B1477"/>
      <c r="C1477"/>
      <c r="D1477"/>
    </row>
    <row r="1478" spans="1:4" x14ac:dyDescent="0.3">
      <c r="A1478"/>
      <c r="B1478"/>
      <c r="C1478"/>
      <c r="D1478"/>
    </row>
    <row r="1479" spans="1:4" x14ac:dyDescent="0.3">
      <c r="A1479"/>
      <c r="B1479"/>
      <c r="C1479"/>
      <c r="D1479"/>
    </row>
    <row r="1480" spans="1:4" x14ac:dyDescent="0.3">
      <c r="A1480"/>
      <c r="B1480"/>
      <c r="C1480"/>
      <c r="D1480"/>
    </row>
    <row r="1481" spans="1:4" x14ac:dyDescent="0.3">
      <c r="A1481"/>
      <c r="B1481"/>
      <c r="C1481"/>
      <c r="D1481"/>
    </row>
    <row r="1482" spans="1:4" x14ac:dyDescent="0.3">
      <c r="A1482"/>
      <c r="B1482"/>
      <c r="C1482"/>
      <c r="D1482"/>
    </row>
    <row r="1483" spans="1:4" x14ac:dyDescent="0.3">
      <c r="A1483"/>
      <c r="B1483"/>
      <c r="C1483"/>
      <c r="D1483"/>
    </row>
    <row r="1484" spans="1:4" x14ac:dyDescent="0.3">
      <c r="A1484"/>
      <c r="B1484"/>
      <c r="C1484"/>
      <c r="D1484"/>
    </row>
    <row r="1485" spans="1:4" x14ac:dyDescent="0.3">
      <c r="A1485"/>
      <c r="B1485"/>
      <c r="C1485"/>
      <c r="D1485"/>
    </row>
    <row r="1486" spans="1:4" x14ac:dyDescent="0.3">
      <c r="A1486"/>
      <c r="B1486"/>
      <c r="C1486"/>
      <c r="D1486"/>
    </row>
    <row r="1487" spans="1:4" x14ac:dyDescent="0.3">
      <c r="A1487"/>
      <c r="B1487"/>
      <c r="C1487"/>
      <c r="D1487"/>
    </row>
    <row r="1488" spans="1:4" x14ac:dyDescent="0.3">
      <c r="A1488"/>
      <c r="B1488"/>
      <c r="C1488"/>
      <c r="D1488"/>
    </row>
    <row r="1489" spans="1:4" x14ac:dyDescent="0.3">
      <c r="A1489"/>
      <c r="B1489"/>
      <c r="C1489"/>
      <c r="D1489"/>
    </row>
    <row r="1490" spans="1:4" x14ac:dyDescent="0.3">
      <c r="A1490"/>
      <c r="B1490"/>
      <c r="C1490"/>
      <c r="D1490"/>
    </row>
    <row r="1491" spans="1:4" x14ac:dyDescent="0.3">
      <c r="A1491"/>
      <c r="B1491"/>
      <c r="C1491"/>
      <c r="D1491"/>
    </row>
    <row r="1492" spans="1:4" x14ac:dyDescent="0.3">
      <c r="A1492"/>
      <c r="B1492"/>
      <c r="C1492"/>
      <c r="D1492"/>
    </row>
    <row r="1493" spans="1:4" x14ac:dyDescent="0.3">
      <c r="A1493"/>
      <c r="B1493"/>
      <c r="C1493"/>
      <c r="D1493"/>
    </row>
    <row r="1494" spans="1:4" x14ac:dyDescent="0.3">
      <c r="A1494"/>
      <c r="B1494"/>
      <c r="C1494"/>
      <c r="D1494"/>
    </row>
    <row r="1495" spans="1:4" x14ac:dyDescent="0.3">
      <c r="A1495"/>
      <c r="B1495"/>
      <c r="C1495"/>
      <c r="D1495"/>
    </row>
    <row r="1496" spans="1:4" x14ac:dyDescent="0.3">
      <c r="A1496"/>
      <c r="B1496"/>
      <c r="C1496"/>
      <c r="D1496"/>
    </row>
    <row r="1497" spans="1:4" x14ac:dyDescent="0.3">
      <c r="A1497"/>
      <c r="B1497"/>
      <c r="C1497"/>
      <c r="D1497"/>
    </row>
    <row r="1498" spans="1:4" x14ac:dyDescent="0.3">
      <c r="A1498"/>
      <c r="B1498"/>
      <c r="C1498"/>
      <c r="D1498"/>
    </row>
    <row r="1499" spans="1:4" x14ac:dyDescent="0.3">
      <c r="A1499"/>
      <c r="B1499"/>
      <c r="C1499"/>
      <c r="D1499"/>
    </row>
    <row r="1500" spans="1:4" x14ac:dyDescent="0.3">
      <c r="A1500"/>
      <c r="B1500"/>
      <c r="C1500"/>
      <c r="D1500"/>
    </row>
    <row r="1501" spans="1:4" x14ac:dyDescent="0.3">
      <c r="A1501"/>
      <c r="B1501"/>
      <c r="C1501"/>
      <c r="D1501"/>
    </row>
    <row r="1502" spans="1:4" x14ac:dyDescent="0.3">
      <c r="A1502"/>
      <c r="B1502"/>
      <c r="C1502"/>
      <c r="D1502"/>
    </row>
    <row r="1503" spans="1:4" x14ac:dyDescent="0.3">
      <c r="A1503"/>
      <c r="B1503"/>
      <c r="C1503"/>
      <c r="D1503"/>
    </row>
    <row r="1504" spans="1:4" x14ac:dyDescent="0.3">
      <c r="A1504"/>
      <c r="B1504"/>
      <c r="C1504"/>
      <c r="D1504"/>
    </row>
    <row r="1505" spans="1:4" x14ac:dyDescent="0.3">
      <c r="A1505"/>
      <c r="B1505"/>
      <c r="C1505"/>
      <c r="D1505"/>
    </row>
    <row r="1506" spans="1:4" x14ac:dyDescent="0.3">
      <c r="A1506"/>
      <c r="B1506"/>
      <c r="C1506"/>
      <c r="D1506"/>
    </row>
    <row r="1507" spans="1:4" x14ac:dyDescent="0.3">
      <c r="A1507"/>
      <c r="B1507"/>
      <c r="C1507"/>
      <c r="D1507"/>
    </row>
    <row r="1508" spans="1:4" x14ac:dyDescent="0.3">
      <c r="A1508"/>
      <c r="B1508"/>
      <c r="C1508"/>
      <c r="D1508"/>
    </row>
    <row r="1509" spans="1:4" x14ac:dyDescent="0.3">
      <c r="A1509"/>
      <c r="B1509"/>
      <c r="C1509"/>
      <c r="D1509"/>
    </row>
    <row r="1510" spans="1:4" x14ac:dyDescent="0.3">
      <c r="A1510"/>
      <c r="B1510"/>
      <c r="C1510"/>
      <c r="D1510"/>
    </row>
    <row r="1511" spans="1:4" x14ac:dyDescent="0.3">
      <c r="A1511"/>
      <c r="B1511"/>
      <c r="C1511"/>
      <c r="D1511"/>
    </row>
    <row r="1512" spans="1:4" x14ac:dyDescent="0.3">
      <c r="A1512"/>
      <c r="B1512"/>
      <c r="C1512"/>
      <c r="D1512"/>
    </row>
    <row r="1513" spans="1:4" x14ac:dyDescent="0.3">
      <c r="A1513"/>
      <c r="B1513"/>
      <c r="C1513"/>
      <c r="D1513"/>
    </row>
    <row r="1514" spans="1:4" x14ac:dyDescent="0.3">
      <c r="A1514"/>
      <c r="B1514"/>
      <c r="C1514"/>
      <c r="D1514"/>
    </row>
    <row r="1515" spans="1:4" x14ac:dyDescent="0.3">
      <c r="A1515"/>
      <c r="B1515"/>
      <c r="C1515"/>
      <c r="D1515"/>
    </row>
    <row r="1516" spans="1:4" x14ac:dyDescent="0.3">
      <c r="A1516"/>
      <c r="B1516"/>
      <c r="C1516"/>
      <c r="D15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A9BD-ECFE-44FF-AB6A-64AB44B65DA7}">
  <sheetPr filterMode="1"/>
  <dimension ref="A1:W2074"/>
  <sheetViews>
    <sheetView tabSelected="1" zoomScale="85" zoomScaleNormal="85" workbookViewId="0">
      <pane xSplit="1" ySplit="1" topLeftCell="B2040" activePane="bottomRight" state="frozen"/>
      <selection pane="topRight" activeCell="B1" sqref="B1"/>
      <selection pane="bottomLeft" activeCell="A3" sqref="A3"/>
      <selection pane="bottomRight" activeCell="O2063" sqref="O2063"/>
    </sheetView>
  </sheetViews>
  <sheetFormatPr defaultColWidth="8.77734375" defaultRowHeight="14.4" x14ac:dyDescent="0.3"/>
  <cols>
    <col min="1" max="2" width="16.88671875" style="32" customWidth="1"/>
    <col min="3" max="3" width="24.109375" style="32" bestFit="1" customWidth="1"/>
    <col min="4" max="4" width="22.33203125" style="32" customWidth="1"/>
    <col min="5" max="5" width="16.88671875" style="32" customWidth="1"/>
    <col min="6" max="6" width="41.109375" style="81" customWidth="1"/>
    <col min="7" max="10" width="16.88671875" style="82" hidden="1" customWidth="1"/>
    <col min="11" max="12" width="16.88671875" style="83" customWidth="1"/>
    <col min="13" max="13" width="16.88671875" style="4" customWidth="1"/>
    <col min="14" max="14" width="16.88671875" style="32" customWidth="1"/>
    <col min="15" max="15" width="45.5546875" style="32" bestFit="1" customWidth="1"/>
    <col min="16" max="16" width="10" style="4" customWidth="1"/>
    <col min="17" max="17" width="15" style="4" bestFit="1" customWidth="1"/>
    <col min="18" max="18" width="20.77734375" style="4" bestFit="1" customWidth="1"/>
    <col min="19" max="19" width="23.5546875" style="4" bestFit="1" customWidth="1"/>
    <col min="20" max="20" width="21.77734375" style="4" bestFit="1" customWidth="1"/>
    <col min="21" max="21" width="19.77734375" style="4" bestFit="1" customWidth="1"/>
    <col min="22" max="22" width="17.77734375" style="4" bestFit="1" customWidth="1"/>
    <col min="23" max="16384" width="8.77734375" style="4"/>
  </cols>
  <sheetData>
    <row r="1" spans="1:23" s="2" customFormat="1" ht="35.25" customHeight="1" x14ac:dyDescent="0.3">
      <c r="A1" s="56" t="s">
        <v>10</v>
      </c>
      <c r="B1" s="57" t="s">
        <v>2</v>
      </c>
      <c r="C1" s="57" t="s">
        <v>4</v>
      </c>
      <c r="D1" s="57" t="s">
        <v>24</v>
      </c>
      <c r="E1" s="57" t="s">
        <v>5</v>
      </c>
      <c r="F1" s="57" t="s">
        <v>6</v>
      </c>
      <c r="G1" s="58" t="s">
        <v>39</v>
      </c>
      <c r="H1" s="58" t="s">
        <v>40</v>
      </c>
      <c r="I1" s="58" t="s">
        <v>41</v>
      </c>
      <c r="J1" s="58" t="s">
        <v>1217</v>
      </c>
      <c r="K1" s="59" t="s">
        <v>45</v>
      </c>
      <c r="L1" s="59" t="s">
        <v>46</v>
      </c>
      <c r="M1" s="57" t="s">
        <v>1200</v>
      </c>
      <c r="N1" s="60" t="s">
        <v>11</v>
      </c>
      <c r="O1" s="57" t="s">
        <v>3</v>
      </c>
      <c r="P1" s="1"/>
    </row>
    <row r="2" spans="1:23" ht="14.4" hidden="1" customHeight="1" x14ac:dyDescent="0.3">
      <c r="A2" s="22" t="s">
        <v>20</v>
      </c>
      <c r="B2" s="21">
        <v>45994</v>
      </c>
      <c r="C2" s="22" t="s">
        <v>28</v>
      </c>
      <c r="D2" s="24" t="s">
        <v>65</v>
      </c>
      <c r="E2" s="24" t="s">
        <v>66</v>
      </c>
      <c r="F2" s="26" t="s">
        <v>67</v>
      </c>
      <c r="G2" s="21">
        <v>45994</v>
      </c>
      <c r="H2" s="21">
        <v>45994</v>
      </c>
      <c r="I2" s="61">
        <f>H2-G2</f>
        <v>0</v>
      </c>
      <c r="J2" s="61"/>
      <c r="K2" s="45">
        <v>0.33333333333333331</v>
      </c>
      <c r="L2" s="46">
        <v>0.64583333333333337</v>
      </c>
      <c r="M2" s="18">
        <f>MOD(L2-K2,1)*24</f>
        <v>7.5000000000000018</v>
      </c>
      <c r="N2" s="34" t="s">
        <v>0</v>
      </c>
    </row>
    <row r="3" spans="1:23" ht="14.4" hidden="1" customHeight="1" x14ac:dyDescent="0.3">
      <c r="A3" s="22" t="s">
        <v>20</v>
      </c>
      <c r="B3" s="21">
        <v>45994</v>
      </c>
      <c r="C3" s="22" t="s">
        <v>16</v>
      </c>
      <c r="D3" s="214" t="s">
        <v>65</v>
      </c>
      <c r="E3" s="216" t="s">
        <v>58</v>
      </c>
      <c r="F3" s="26" t="s">
        <v>59</v>
      </c>
      <c r="G3" s="218">
        <v>45989</v>
      </c>
      <c r="H3" s="219">
        <v>45993</v>
      </c>
      <c r="I3" s="214">
        <f>H3-G3</f>
        <v>4</v>
      </c>
      <c r="J3" s="78"/>
      <c r="K3" s="44">
        <v>0.3125</v>
      </c>
      <c r="L3" s="45">
        <v>0.6875</v>
      </c>
      <c r="M3" s="11">
        <f t="shared" ref="M3:M66" si="0">MOD(L3-K3,1)*24</f>
        <v>9</v>
      </c>
      <c r="N3" s="214" t="s">
        <v>0</v>
      </c>
    </row>
    <row r="4" spans="1:23" ht="14.4" hidden="1" customHeight="1" x14ac:dyDescent="0.3">
      <c r="A4" s="22" t="s">
        <v>20</v>
      </c>
      <c r="B4" s="21">
        <v>45994</v>
      </c>
      <c r="C4" s="22" t="s">
        <v>31</v>
      </c>
      <c r="D4" s="215"/>
      <c r="E4" s="217"/>
      <c r="F4" s="27"/>
      <c r="G4" s="217"/>
      <c r="H4" s="220"/>
      <c r="I4" s="215"/>
      <c r="J4" s="100"/>
      <c r="K4" s="44">
        <v>0.3125</v>
      </c>
      <c r="L4" s="45">
        <v>0.39583333333333331</v>
      </c>
      <c r="M4" s="11">
        <f t="shared" si="0"/>
        <v>1.9999999999999996</v>
      </c>
      <c r="N4" s="215"/>
    </row>
    <row r="5" spans="1:23" ht="14.4" hidden="1" customHeight="1" x14ac:dyDescent="0.3">
      <c r="A5" s="22" t="s">
        <v>20</v>
      </c>
      <c r="B5" s="21">
        <v>45994</v>
      </c>
      <c r="C5" s="22" t="s">
        <v>17</v>
      </c>
      <c r="D5" s="216" t="s">
        <v>65</v>
      </c>
      <c r="E5" s="216" t="s">
        <v>52</v>
      </c>
      <c r="F5" s="26" t="s">
        <v>68</v>
      </c>
      <c r="G5" s="218">
        <v>45988</v>
      </c>
      <c r="H5" s="219">
        <v>45992</v>
      </c>
      <c r="I5" s="219">
        <v>45994</v>
      </c>
      <c r="J5" s="101"/>
      <c r="K5" s="44">
        <v>0.3125</v>
      </c>
      <c r="L5" s="45">
        <v>0.52083333333333337</v>
      </c>
      <c r="M5" s="11">
        <f t="shared" si="0"/>
        <v>5.0000000000000009</v>
      </c>
      <c r="N5" s="214" t="s">
        <v>0</v>
      </c>
    </row>
    <row r="6" spans="1:23" ht="14.4" hidden="1" customHeight="1" x14ac:dyDescent="0.3">
      <c r="A6" s="22" t="s">
        <v>20</v>
      </c>
      <c r="B6" s="21">
        <v>45994</v>
      </c>
      <c r="C6" s="22" t="s">
        <v>31</v>
      </c>
      <c r="D6" s="217"/>
      <c r="E6" s="222"/>
      <c r="F6" s="27"/>
      <c r="G6" s="217"/>
      <c r="H6" s="220"/>
      <c r="I6" s="220"/>
      <c r="J6" s="19"/>
      <c r="K6" s="45">
        <v>0.39583333333333331</v>
      </c>
      <c r="L6" s="45">
        <v>0.47916666666666669</v>
      </c>
      <c r="M6" s="11">
        <f t="shared" si="0"/>
        <v>2.0000000000000009</v>
      </c>
      <c r="N6" s="215"/>
    </row>
    <row r="7" spans="1:23" ht="14.4" hidden="1" customHeight="1" x14ac:dyDescent="0.3">
      <c r="A7" s="22" t="s">
        <v>20</v>
      </c>
      <c r="B7" s="21">
        <v>45994</v>
      </c>
      <c r="C7" s="22" t="s">
        <v>17</v>
      </c>
      <c r="D7" s="20" t="s">
        <v>65</v>
      </c>
      <c r="E7" s="20" t="s">
        <v>96</v>
      </c>
      <c r="F7" s="3" t="s">
        <v>65</v>
      </c>
      <c r="G7" s="19">
        <v>45994</v>
      </c>
      <c r="H7" s="19">
        <v>45994</v>
      </c>
      <c r="I7" s="19">
        <v>45995</v>
      </c>
      <c r="J7" s="102"/>
      <c r="K7" s="44">
        <v>0.52083333333333337</v>
      </c>
      <c r="L7" s="45">
        <v>0.6875</v>
      </c>
      <c r="M7" s="11">
        <f t="shared" si="0"/>
        <v>3.9999999999999991</v>
      </c>
      <c r="N7" s="34" t="s">
        <v>0</v>
      </c>
    </row>
    <row r="8" spans="1:23" ht="14.4" hidden="1" customHeight="1" x14ac:dyDescent="0.3">
      <c r="A8" s="22" t="s">
        <v>20</v>
      </c>
      <c r="B8" s="21">
        <v>45994</v>
      </c>
      <c r="C8" s="22" t="s">
        <v>47</v>
      </c>
      <c r="D8" s="216" t="s">
        <v>65</v>
      </c>
      <c r="E8" s="221" t="s">
        <v>60</v>
      </c>
      <c r="F8" s="26" t="s">
        <v>69</v>
      </c>
      <c r="G8" s="219">
        <v>45989</v>
      </c>
      <c r="H8" s="219">
        <v>45992</v>
      </c>
      <c r="I8" s="219">
        <v>45994</v>
      </c>
      <c r="J8" s="102"/>
      <c r="K8" s="44">
        <v>0.33333333333333331</v>
      </c>
      <c r="L8" s="45">
        <v>0.70833333333333337</v>
      </c>
      <c r="M8" s="11">
        <f t="shared" si="0"/>
        <v>9.0000000000000018</v>
      </c>
      <c r="N8" s="214" t="s">
        <v>0</v>
      </c>
    </row>
    <row r="9" spans="1:23" ht="14.4" hidden="1" customHeight="1" x14ac:dyDescent="0.3">
      <c r="A9" s="22" t="s">
        <v>20</v>
      </c>
      <c r="B9" s="21">
        <v>45994</v>
      </c>
      <c r="C9" s="22" t="s">
        <v>31</v>
      </c>
      <c r="D9" s="217"/>
      <c r="E9" s="221"/>
      <c r="F9" s="27"/>
      <c r="G9" s="220"/>
      <c r="H9" s="220"/>
      <c r="I9" s="220"/>
      <c r="J9" s="102"/>
      <c r="K9" s="44">
        <v>0.625</v>
      </c>
      <c r="L9" s="45">
        <v>0.70833333333333337</v>
      </c>
      <c r="M9" s="11">
        <f t="shared" si="0"/>
        <v>2.0000000000000009</v>
      </c>
      <c r="N9" s="215"/>
    </row>
    <row r="10" spans="1:23" ht="14.4" hidden="1" customHeight="1" x14ac:dyDescent="0.3">
      <c r="A10" s="22" t="s">
        <v>20</v>
      </c>
      <c r="B10" s="21">
        <v>45994</v>
      </c>
      <c r="C10" s="22" t="s">
        <v>15</v>
      </c>
      <c r="D10" s="216" t="s">
        <v>65</v>
      </c>
      <c r="E10" s="216" t="s">
        <v>57</v>
      </c>
      <c r="F10" s="26" t="s">
        <v>70</v>
      </c>
      <c r="G10" s="219">
        <v>45989</v>
      </c>
      <c r="H10" s="219">
        <v>45994</v>
      </c>
      <c r="I10" s="219">
        <v>45993</v>
      </c>
      <c r="J10" s="102"/>
      <c r="K10" s="45">
        <v>0.33333333333333331</v>
      </c>
      <c r="L10" s="45">
        <v>0.45833333333333331</v>
      </c>
      <c r="M10" s="11">
        <f t="shared" si="0"/>
        <v>3</v>
      </c>
      <c r="N10" s="214" t="s">
        <v>0</v>
      </c>
    </row>
    <row r="11" spans="1:23" ht="14.4" hidden="1" customHeight="1" x14ac:dyDescent="0.3">
      <c r="A11" s="22" t="s">
        <v>20</v>
      </c>
      <c r="B11" s="21">
        <v>45994</v>
      </c>
      <c r="C11" s="22" t="s">
        <v>31</v>
      </c>
      <c r="D11" s="217"/>
      <c r="E11" s="217"/>
      <c r="F11" s="27"/>
      <c r="G11" s="220"/>
      <c r="H11" s="220"/>
      <c r="I11" s="220"/>
      <c r="J11" s="102"/>
      <c r="K11" s="45">
        <v>0.47916666666666669</v>
      </c>
      <c r="L11" s="46">
        <v>0.625</v>
      </c>
      <c r="M11" s="11">
        <f t="shared" si="0"/>
        <v>3.4999999999999996</v>
      </c>
      <c r="N11" s="215"/>
    </row>
    <row r="12" spans="1:23" ht="14.4" hidden="1" customHeight="1" x14ac:dyDescent="0.3">
      <c r="A12" s="22" t="s">
        <v>20</v>
      </c>
      <c r="B12" s="21">
        <v>45994</v>
      </c>
      <c r="C12" s="22" t="s">
        <v>15</v>
      </c>
      <c r="D12" s="14" t="s">
        <v>65</v>
      </c>
      <c r="E12" s="14" t="s">
        <v>92</v>
      </c>
      <c r="F12" s="27" t="s">
        <v>93</v>
      </c>
      <c r="G12" s="19">
        <v>45994</v>
      </c>
      <c r="H12" s="19">
        <v>45994</v>
      </c>
      <c r="I12" s="19">
        <v>45994</v>
      </c>
      <c r="J12" s="102"/>
      <c r="K12" s="45">
        <v>0.625</v>
      </c>
      <c r="L12" s="45">
        <v>0.70833333333333337</v>
      </c>
      <c r="M12" s="11">
        <f t="shared" si="0"/>
        <v>2.0000000000000009</v>
      </c>
      <c r="N12" s="63" t="s">
        <v>1</v>
      </c>
    </row>
    <row r="13" spans="1:23" ht="14.4" hidden="1" customHeight="1" x14ac:dyDescent="0.3">
      <c r="A13" s="22" t="s">
        <v>19</v>
      </c>
      <c r="B13" s="21">
        <v>45994</v>
      </c>
      <c r="C13" s="22" t="s">
        <v>48</v>
      </c>
      <c r="D13" s="14" t="s">
        <v>8</v>
      </c>
      <c r="E13" s="14" t="s">
        <v>71</v>
      </c>
      <c r="F13" s="27" t="s">
        <v>72</v>
      </c>
      <c r="G13" s="21">
        <v>45989</v>
      </c>
      <c r="H13" s="30">
        <v>45994</v>
      </c>
      <c r="I13" s="30">
        <v>45994</v>
      </c>
      <c r="J13" s="102"/>
      <c r="K13" s="45">
        <v>0.3125</v>
      </c>
      <c r="L13" s="45">
        <v>0.4375</v>
      </c>
      <c r="M13" s="11">
        <f t="shared" si="0"/>
        <v>3</v>
      </c>
      <c r="N13" s="22" t="s">
        <v>0</v>
      </c>
    </row>
    <row r="14" spans="1:23" ht="14.4" hidden="1" customHeight="1" x14ac:dyDescent="0.3">
      <c r="A14" s="22" t="s">
        <v>19</v>
      </c>
      <c r="B14" s="21">
        <v>45994</v>
      </c>
      <c r="C14" s="22" t="s">
        <v>48</v>
      </c>
      <c r="D14" s="14" t="s">
        <v>8</v>
      </c>
      <c r="E14" s="14" t="s">
        <v>73</v>
      </c>
      <c r="F14" s="27" t="s">
        <v>74</v>
      </c>
      <c r="G14" s="21">
        <v>45994</v>
      </c>
      <c r="H14" s="30">
        <v>45994</v>
      </c>
      <c r="I14" s="30">
        <v>45994</v>
      </c>
      <c r="J14" s="102"/>
      <c r="K14" s="45">
        <v>0.4375</v>
      </c>
      <c r="L14" s="45">
        <v>0.64583333333333337</v>
      </c>
      <c r="M14" s="11">
        <f t="shared" si="0"/>
        <v>5.0000000000000009</v>
      </c>
      <c r="N14" s="22" t="s">
        <v>0</v>
      </c>
    </row>
    <row r="15" spans="1:23" ht="28.8" hidden="1" customHeight="1" x14ac:dyDescent="0.3">
      <c r="A15" s="22" t="s">
        <v>19</v>
      </c>
      <c r="B15" s="21">
        <v>45994</v>
      </c>
      <c r="C15" s="22" t="s">
        <v>7</v>
      </c>
      <c r="D15" s="14" t="s">
        <v>8</v>
      </c>
      <c r="E15" s="14" t="s">
        <v>75</v>
      </c>
      <c r="F15" s="27" t="s">
        <v>76</v>
      </c>
      <c r="G15" s="21">
        <v>45994</v>
      </c>
      <c r="H15" s="21">
        <v>45994</v>
      </c>
      <c r="I15" s="21">
        <v>45994</v>
      </c>
      <c r="J15" s="102"/>
      <c r="K15" s="45">
        <v>0.3125</v>
      </c>
      <c r="L15" s="45">
        <v>0.52083333333333337</v>
      </c>
      <c r="M15" s="11">
        <f t="shared" si="0"/>
        <v>5.0000000000000009</v>
      </c>
      <c r="N15" s="22" t="s">
        <v>0</v>
      </c>
    </row>
    <row r="16" spans="1:23" s="32" customFormat="1" ht="14.4" hidden="1" customHeight="1" x14ac:dyDescent="0.3">
      <c r="A16" s="22" t="s">
        <v>19</v>
      </c>
      <c r="B16" s="21">
        <v>45994</v>
      </c>
      <c r="C16" s="22" t="s">
        <v>7</v>
      </c>
      <c r="D16" s="14" t="s">
        <v>8</v>
      </c>
      <c r="E16" s="20" t="s">
        <v>77</v>
      </c>
      <c r="F16" s="27" t="s">
        <v>78</v>
      </c>
      <c r="G16" s="21">
        <v>45994</v>
      </c>
      <c r="H16" s="21">
        <v>45994</v>
      </c>
      <c r="I16" s="21">
        <v>45994</v>
      </c>
      <c r="J16" s="102"/>
      <c r="K16" s="44">
        <v>0.3125</v>
      </c>
      <c r="L16" s="45">
        <v>0.39583333333333331</v>
      </c>
      <c r="M16" s="11">
        <f t="shared" si="0"/>
        <v>1.9999999999999996</v>
      </c>
      <c r="N16" s="22" t="s">
        <v>0</v>
      </c>
      <c r="P16" s="4"/>
      <c r="Q16" s="4"/>
      <c r="R16" s="4"/>
      <c r="S16" s="4"/>
      <c r="T16" s="4"/>
      <c r="U16" s="4"/>
      <c r="V16" s="4"/>
      <c r="W16" s="4"/>
    </row>
    <row r="17" spans="1:23" s="32" customFormat="1" ht="28.8" hidden="1" customHeight="1" x14ac:dyDescent="0.3">
      <c r="A17" s="22" t="s">
        <v>19</v>
      </c>
      <c r="B17" s="21">
        <v>45994</v>
      </c>
      <c r="C17" s="22" t="s">
        <v>7</v>
      </c>
      <c r="D17" s="14" t="s">
        <v>8</v>
      </c>
      <c r="E17" s="20" t="s">
        <v>94</v>
      </c>
      <c r="F17" s="27" t="s">
        <v>95</v>
      </c>
      <c r="G17" s="21">
        <v>45989</v>
      </c>
      <c r="H17" s="21">
        <v>45994</v>
      </c>
      <c r="I17" s="21">
        <v>45994</v>
      </c>
      <c r="J17" s="102"/>
      <c r="K17" s="44">
        <v>0.54166666666666663</v>
      </c>
      <c r="L17" s="45">
        <v>0.6875</v>
      </c>
      <c r="M17" s="11">
        <f t="shared" si="0"/>
        <v>3.5000000000000009</v>
      </c>
      <c r="N17" s="22" t="s">
        <v>0</v>
      </c>
      <c r="P17" s="4"/>
      <c r="Q17" s="4"/>
      <c r="R17" s="4"/>
      <c r="S17" s="4"/>
      <c r="T17" s="4"/>
      <c r="U17" s="4"/>
      <c r="V17" s="4"/>
      <c r="W17" s="4"/>
    </row>
    <row r="18" spans="1:23" s="32" customFormat="1" ht="14.4" hidden="1" customHeight="1" x14ac:dyDescent="0.3">
      <c r="A18" s="22" t="s">
        <v>21</v>
      </c>
      <c r="B18" s="21">
        <v>45994</v>
      </c>
      <c r="C18" s="22" t="s">
        <v>26</v>
      </c>
      <c r="D18" s="24" t="s">
        <v>24</v>
      </c>
      <c r="E18" s="24" t="s">
        <v>53</v>
      </c>
      <c r="F18" s="27" t="s">
        <v>79</v>
      </c>
      <c r="G18" s="21">
        <v>45989</v>
      </c>
      <c r="H18" s="21">
        <v>45994</v>
      </c>
      <c r="I18" s="21">
        <v>45994</v>
      </c>
      <c r="J18" s="102"/>
      <c r="K18" s="45">
        <v>0.33333333333333331</v>
      </c>
      <c r="L18" s="45">
        <v>0.70833333333333337</v>
      </c>
      <c r="M18" s="11">
        <f t="shared" si="0"/>
        <v>9.0000000000000018</v>
      </c>
      <c r="N18" s="22" t="s">
        <v>0</v>
      </c>
      <c r="P18" s="4"/>
      <c r="Q18" s="4"/>
      <c r="R18" s="4"/>
      <c r="S18" s="4"/>
      <c r="T18" s="4"/>
      <c r="U18" s="4"/>
      <c r="V18" s="4"/>
      <c r="W18" s="4"/>
    </row>
    <row r="19" spans="1:23" s="32" customFormat="1" ht="14.4" hidden="1" customHeight="1" x14ac:dyDescent="0.3">
      <c r="A19" s="22" t="s">
        <v>21</v>
      </c>
      <c r="B19" s="21">
        <v>45994</v>
      </c>
      <c r="C19" s="22" t="s">
        <v>50</v>
      </c>
      <c r="D19" s="24" t="s">
        <v>24</v>
      </c>
      <c r="E19" s="24" t="s">
        <v>80</v>
      </c>
      <c r="F19" s="27" t="s">
        <v>81</v>
      </c>
      <c r="G19" s="21">
        <v>45989</v>
      </c>
      <c r="H19" s="21">
        <v>45994</v>
      </c>
      <c r="I19" s="21">
        <v>45994</v>
      </c>
      <c r="J19" s="102"/>
      <c r="K19" s="45">
        <v>0.33333333333333331</v>
      </c>
      <c r="L19" s="45">
        <v>0.70833333333333337</v>
      </c>
      <c r="M19" s="11">
        <f t="shared" si="0"/>
        <v>9.0000000000000018</v>
      </c>
      <c r="N19" s="22" t="s">
        <v>0</v>
      </c>
      <c r="P19" s="4"/>
      <c r="Q19" s="4"/>
      <c r="R19" s="4"/>
      <c r="S19" s="4"/>
      <c r="T19" s="4"/>
      <c r="U19" s="4"/>
      <c r="V19" s="4"/>
      <c r="W19" s="4"/>
    </row>
    <row r="20" spans="1:23" s="32" customFormat="1" ht="14.4" hidden="1" customHeight="1" x14ac:dyDescent="0.3">
      <c r="A20" s="22" t="s">
        <v>21</v>
      </c>
      <c r="B20" s="21">
        <v>45994</v>
      </c>
      <c r="C20" s="22" t="s">
        <v>51</v>
      </c>
      <c r="D20" s="13" t="s">
        <v>24</v>
      </c>
      <c r="E20" s="24" t="s">
        <v>82</v>
      </c>
      <c r="F20" s="27" t="s">
        <v>83</v>
      </c>
      <c r="G20" s="21">
        <v>45994</v>
      </c>
      <c r="H20" s="21">
        <v>45994</v>
      </c>
      <c r="I20" s="21">
        <v>45994</v>
      </c>
      <c r="J20" s="102"/>
      <c r="K20" s="44">
        <v>0.3125</v>
      </c>
      <c r="L20" s="45">
        <v>0.6875</v>
      </c>
      <c r="M20" s="11">
        <f t="shared" si="0"/>
        <v>9</v>
      </c>
      <c r="N20" s="22" t="s">
        <v>0</v>
      </c>
      <c r="P20" s="4"/>
      <c r="Q20" s="4"/>
      <c r="R20" s="4"/>
      <c r="S20" s="4"/>
      <c r="T20" s="4"/>
      <c r="U20" s="4"/>
      <c r="V20" s="4"/>
      <c r="W20" s="4"/>
    </row>
    <row r="21" spans="1:23" s="32" customFormat="1" ht="14.4" hidden="1" customHeight="1" x14ac:dyDescent="0.3">
      <c r="A21" s="22" t="s">
        <v>21</v>
      </c>
      <c r="B21" s="21">
        <v>45994</v>
      </c>
      <c r="C21" s="22" t="s">
        <v>36</v>
      </c>
      <c r="D21" s="214" t="s">
        <v>8</v>
      </c>
      <c r="E21" s="214" t="s">
        <v>62</v>
      </c>
      <c r="F21" s="28" t="s">
        <v>84</v>
      </c>
      <c r="G21" s="21">
        <v>45994</v>
      </c>
      <c r="H21" s="223"/>
      <c r="I21" s="223">
        <v>45995</v>
      </c>
      <c r="J21" s="102"/>
      <c r="K21" s="45">
        <v>0.3125</v>
      </c>
      <c r="L21" s="45">
        <v>0.70833333333333337</v>
      </c>
      <c r="M21" s="11">
        <f t="shared" si="0"/>
        <v>9.5</v>
      </c>
      <c r="N21" s="227" t="s">
        <v>1</v>
      </c>
      <c r="P21" s="4"/>
      <c r="Q21" s="4"/>
      <c r="R21" s="4"/>
      <c r="S21" s="4"/>
      <c r="T21" s="4"/>
      <c r="U21" s="4"/>
      <c r="V21" s="4"/>
      <c r="W21" s="4"/>
    </row>
    <row r="22" spans="1:23" s="32" customFormat="1" ht="14.4" hidden="1" customHeight="1" x14ac:dyDescent="0.3">
      <c r="A22" s="22" t="s">
        <v>21</v>
      </c>
      <c r="B22" s="21">
        <v>45994</v>
      </c>
      <c r="C22" s="22" t="s">
        <v>18</v>
      </c>
      <c r="D22" s="215"/>
      <c r="E22" s="226"/>
      <c r="F22" s="29"/>
      <c r="G22" s="21">
        <v>45994</v>
      </c>
      <c r="H22" s="223"/>
      <c r="I22" s="223"/>
      <c r="J22" s="102"/>
      <c r="K22" s="45">
        <v>0.3125</v>
      </c>
      <c r="L22" s="45">
        <v>0.70833333333333337</v>
      </c>
      <c r="M22" s="11">
        <f t="shared" si="0"/>
        <v>9.5</v>
      </c>
      <c r="N22" s="228"/>
      <c r="P22" s="4"/>
      <c r="Q22" s="4"/>
      <c r="R22" s="4"/>
      <c r="S22" s="4"/>
      <c r="T22" s="4"/>
      <c r="U22" s="4"/>
      <c r="V22" s="4"/>
      <c r="W22" s="4"/>
    </row>
    <row r="23" spans="1:23" s="32" customFormat="1" ht="14.4" hidden="1" customHeight="1" x14ac:dyDescent="0.3">
      <c r="A23" s="22" t="s">
        <v>21</v>
      </c>
      <c r="B23" s="21">
        <v>45994</v>
      </c>
      <c r="C23" s="22" t="s">
        <v>56</v>
      </c>
      <c r="D23" s="24" t="s">
        <v>43</v>
      </c>
      <c r="E23" s="24" t="s">
        <v>63</v>
      </c>
      <c r="F23" s="25" t="s">
        <v>38</v>
      </c>
      <c r="G23" s="21">
        <v>45990</v>
      </c>
      <c r="H23" s="21">
        <v>45994</v>
      </c>
      <c r="I23" s="21"/>
      <c r="J23" s="102"/>
      <c r="K23" s="44">
        <v>0.3125</v>
      </c>
      <c r="L23" s="45">
        <v>0.6875</v>
      </c>
      <c r="M23" s="11">
        <f t="shared" si="0"/>
        <v>9</v>
      </c>
      <c r="N23" s="22" t="s">
        <v>30</v>
      </c>
      <c r="P23" s="4"/>
      <c r="Q23" s="4"/>
      <c r="R23" s="4"/>
      <c r="S23" s="4"/>
      <c r="T23" s="4"/>
      <c r="U23" s="4"/>
      <c r="V23" s="4"/>
      <c r="W23" s="4"/>
    </row>
    <row r="24" spans="1:23" s="32" customFormat="1" ht="14.4" hidden="1" customHeight="1" x14ac:dyDescent="0.3">
      <c r="A24" s="22" t="s">
        <v>21</v>
      </c>
      <c r="B24" s="21">
        <v>45994</v>
      </c>
      <c r="C24" s="22" t="s">
        <v>25</v>
      </c>
      <c r="D24" s="216" t="s">
        <v>54</v>
      </c>
      <c r="E24" s="216" t="s">
        <v>85</v>
      </c>
      <c r="F24" s="26" t="s">
        <v>86</v>
      </c>
      <c r="G24" s="219">
        <v>45994</v>
      </c>
      <c r="H24" s="223">
        <v>45994</v>
      </c>
      <c r="I24" s="223">
        <v>45995</v>
      </c>
      <c r="J24" s="102"/>
      <c r="K24" s="45">
        <v>0.3125</v>
      </c>
      <c r="L24" s="45">
        <v>0.6875</v>
      </c>
      <c r="M24" s="11">
        <f t="shared" si="0"/>
        <v>9</v>
      </c>
      <c r="N24" s="214" t="s">
        <v>0</v>
      </c>
      <c r="P24" s="4"/>
      <c r="Q24" s="4"/>
      <c r="R24" s="4"/>
      <c r="S24" s="4"/>
      <c r="T24" s="4"/>
      <c r="U24" s="4"/>
      <c r="V24" s="4"/>
      <c r="W24" s="4"/>
    </row>
    <row r="25" spans="1:23" s="32" customFormat="1" ht="14.4" hidden="1" customHeight="1" x14ac:dyDescent="0.3">
      <c r="A25" s="22" t="s">
        <v>21</v>
      </c>
      <c r="B25" s="21">
        <v>45994</v>
      </c>
      <c r="C25" s="22" t="s">
        <v>34</v>
      </c>
      <c r="D25" s="217"/>
      <c r="E25" s="217"/>
      <c r="F25" s="27"/>
      <c r="G25" s="220"/>
      <c r="H25" s="223"/>
      <c r="I25" s="223"/>
      <c r="J25" s="102"/>
      <c r="K25" s="44">
        <v>0.3125</v>
      </c>
      <c r="L25" s="45">
        <v>0.6875</v>
      </c>
      <c r="M25" s="11">
        <f t="shared" si="0"/>
        <v>9</v>
      </c>
      <c r="N25" s="215"/>
      <c r="P25" s="4"/>
      <c r="Q25" s="4"/>
      <c r="R25" s="4"/>
      <c r="S25" s="4"/>
      <c r="T25" s="4"/>
      <c r="U25" s="4"/>
      <c r="V25" s="4"/>
      <c r="W25" s="4"/>
    </row>
    <row r="26" spans="1:23" s="32" customFormat="1" ht="14.4" hidden="1" customHeight="1" x14ac:dyDescent="0.3">
      <c r="A26" s="22" t="s">
        <v>21</v>
      </c>
      <c r="B26" s="21">
        <v>45994</v>
      </c>
      <c r="C26" s="22" t="s">
        <v>49</v>
      </c>
      <c r="D26" s="216" t="s">
        <v>43</v>
      </c>
      <c r="E26" s="216" t="s">
        <v>87</v>
      </c>
      <c r="F26" s="26" t="s">
        <v>88</v>
      </c>
      <c r="G26" s="219">
        <v>45994</v>
      </c>
      <c r="H26" s="223">
        <v>45994</v>
      </c>
      <c r="I26" s="223">
        <v>45994</v>
      </c>
      <c r="J26" s="102"/>
      <c r="K26" s="44">
        <v>0.3125</v>
      </c>
      <c r="L26" s="45">
        <v>0.70833333333333337</v>
      </c>
      <c r="M26" s="11">
        <f t="shared" si="0"/>
        <v>9.5</v>
      </c>
      <c r="N26" s="224" t="s">
        <v>0</v>
      </c>
      <c r="P26" s="4"/>
      <c r="Q26" s="4"/>
      <c r="R26" s="4"/>
      <c r="S26" s="4"/>
      <c r="T26" s="4"/>
      <c r="U26" s="4"/>
      <c r="V26" s="4"/>
      <c r="W26" s="4"/>
    </row>
    <row r="27" spans="1:23" s="32" customFormat="1" ht="14.4" hidden="1" customHeight="1" x14ac:dyDescent="0.3">
      <c r="A27" s="22" t="s">
        <v>21</v>
      </c>
      <c r="B27" s="21">
        <v>45994</v>
      </c>
      <c r="C27" s="22" t="s">
        <v>55</v>
      </c>
      <c r="D27" s="217"/>
      <c r="E27" s="217"/>
      <c r="F27" s="27"/>
      <c r="G27" s="220"/>
      <c r="H27" s="223"/>
      <c r="I27" s="223"/>
      <c r="J27" s="70"/>
      <c r="K27" s="44">
        <v>0.3125</v>
      </c>
      <c r="L27" s="45">
        <v>0.70833333333333337</v>
      </c>
      <c r="M27" s="11">
        <f t="shared" si="0"/>
        <v>9.5</v>
      </c>
      <c r="N27" s="225"/>
      <c r="P27" s="4"/>
      <c r="Q27" s="4"/>
      <c r="R27" s="4"/>
      <c r="S27" s="4"/>
      <c r="T27" s="4"/>
      <c r="U27" s="4"/>
      <c r="V27" s="4"/>
      <c r="W27" s="4"/>
    </row>
    <row r="28" spans="1:23" s="32" customFormat="1" ht="14.4" hidden="1" customHeight="1" x14ac:dyDescent="0.3">
      <c r="A28" s="22" t="s">
        <v>20</v>
      </c>
      <c r="B28" s="21">
        <v>45994</v>
      </c>
      <c r="C28" s="22" t="s">
        <v>12</v>
      </c>
      <c r="D28" s="216" t="s">
        <v>44</v>
      </c>
      <c r="E28" s="216" t="s">
        <v>89</v>
      </c>
      <c r="F28" s="26" t="s">
        <v>90</v>
      </c>
      <c r="G28" s="219">
        <v>45994</v>
      </c>
      <c r="H28" s="223">
        <v>45997</v>
      </c>
      <c r="I28" s="223">
        <v>45997</v>
      </c>
      <c r="J28" s="21"/>
      <c r="K28" s="45">
        <v>0.3125</v>
      </c>
      <c r="L28" s="45">
        <v>0.54166666666666663</v>
      </c>
      <c r="M28" s="11">
        <f t="shared" si="0"/>
        <v>5.4999999999999991</v>
      </c>
      <c r="N28" s="224" t="s">
        <v>0</v>
      </c>
      <c r="P28" s="4"/>
      <c r="Q28" s="4"/>
      <c r="R28" s="4"/>
      <c r="S28" s="4"/>
      <c r="T28" s="4"/>
      <c r="U28" s="4"/>
      <c r="V28" s="4"/>
      <c r="W28" s="4"/>
    </row>
    <row r="29" spans="1:23" s="32" customFormat="1" ht="14.4" hidden="1" customHeight="1" x14ac:dyDescent="0.3">
      <c r="A29" s="22" t="s">
        <v>20</v>
      </c>
      <c r="B29" s="21">
        <v>45994</v>
      </c>
      <c r="C29" s="22" t="s">
        <v>14</v>
      </c>
      <c r="D29" s="217"/>
      <c r="E29" s="217"/>
      <c r="F29" s="27"/>
      <c r="G29" s="220"/>
      <c r="H29" s="223"/>
      <c r="I29" s="223"/>
      <c r="J29" s="21"/>
      <c r="K29" s="45">
        <v>0.3125</v>
      </c>
      <c r="L29" s="45">
        <v>0.54166666666666663</v>
      </c>
      <c r="M29" s="11">
        <f t="shared" si="0"/>
        <v>5.4999999999999991</v>
      </c>
      <c r="N29" s="225"/>
      <c r="P29" s="4"/>
      <c r="Q29" s="4"/>
      <c r="R29" s="4"/>
      <c r="S29" s="4"/>
      <c r="T29" s="4"/>
      <c r="U29" s="4"/>
      <c r="V29" s="4"/>
      <c r="W29" s="4"/>
    </row>
    <row r="30" spans="1:23" s="32" customFormat="1" ht="14.4" hidden="1" customHeight="1" x14ac:dyDescent="0.3">
      <c r="A30" s="22" t="s">
        <v>20</v>
      </c>
      <c r="B30" s="21">
        <v>45994</v>
      </c>
      <c r="C30" s="22" t="s">
        <v>33</v>
      </c>
      <c r="D30" s="216" t="s">
        <v>44</v>
      </c>
      <c r="E30" s="216" t="s">
        <v>64</v>
      </c>
      <c r="F30" s="25" t="s">
        <v>91</v>
      </c>
      <c r="G30" s="219">
        <v>45973</v>
      </c>
      <c r="H30" s="223">
        <v>46000</v>
      </c>
      <c r="I30" s="223">
        <v>46000</v>
      </c>
      <c r="J30" s="21"/>
      <c r="K30" s="45">
        <v>0.33333333333333331</v>
      </c>
      <c r="L30" s="45">
        <v>0.70833333333333337</v>
      </c>
      <c r="M30" s="11">
        <f t="shared" si="0"/>
        <v>9.0000000000000018</v>
      </c>
      <c r="N30" s="224" t="s">
        <v>0</v>
      </c>
      <c r="P30" s="4"/>
      <c r="Q30" s="4"/>
      <c r="R30" s="4"/>
      <c r="S30" s="4"/>
      <c r="T30" s="4"/>
      <c r="U30" s="4"/>
      <c r="V30" s="4"/>
      <c r="W30" s="4"/>
    </row>
    <row r="31" spans="1:23" s="32" customFormat="1" ht="14.4" hidden="1" customHeight="1" x14ac:dyDescent="0.3">
      <c r="A31" s="22" t="s">
        <v>20</v>
      </c>
      <c r="B31" s="21">
        <v>45994</v>
      </c>
      <c r="C31" s="22" t="s">
        <v>13</v>
      </c>
      <c r="D31" s="217"/>
      <c r="E31" s="217"/>
      <c r="F31" s="25"/>
      <c r="G31" s="220"/>
      <c r="H31" s="223"/>
      <c r="I31" s="223"/>
      <c r="J31" s="21"/>
      <c r="K31" s="45">
        <v>0.33333333333333331</v>
      </c>
      <c r="L31" s="45">
        <v>0.70833333333333337</v>
      </c>
      <c r="M31" s="11">
        <f t="shared" si="0"/>
        <v>9.0000000000000018</v>
      </c>
      <c r="N31" s="225"/>
      <c r="P31" s="4"/>
      <c r="Q31" s="4"/>
      <c r="R31" s="4"/>
      <c r="S31" s="4"/>
      <c r="T31" s="4"/>
      <c r="U31" s="4"/>
      <c r="V31" s="4"/>
      <c r="W31" s="4"/>
    </row>
    <row r="32" spans="1:23" s="32" customFormat="1" ht="14.4" hidden="1" customHeight="1" x14ac:dyDescent="0.3">
      <c r="A32" s="22" t="s">
        <v>20</v>
      </c>
      <c r="B32" s="21">
        <v>45994</v>
      </c>
      <c r="C32" s="22" t="s">
        <v>12</v>
      </c>
      <c r="D32" s="64" t="s">
        <v>82</v>
      </c>
      <c r="E32" s="24" t="s">
        <v>82</v>
      </c>
      <c r="F32" s="25" t="s">
        <v>61</v>
      </c>
      <c r="G32" s="30">
        <v>45994</v>
      </c>
      <c r="H32" s="30">
        <v>45994</v>
      </c>
      <c r="I32" s="30">
        <v>45994</v>
      </c>
      <c r="J32" s="30"/>
      <c r="K32" s="45">
        <v>0.64583333333333337</v>
      </c>
      <c r="L32" s="44">
        <v>0.6875</v>
      </c>
      <c r="M32" s="11">
        <f t="shared" si="0"/>
        <v>0.99999999999999911</v>
      </c>
      <c r="N32" s="22" t="s">
        <v>0</v>
      </c>
      <c r="P32" s="4"/>
      <c r="Q32" s="4"/>
      <c r="R32" s="4"/>
      <c r="S32" s="4"/>
      <c r="T32" s="4"/>
      <c r="U32" s="4"/>
      <c r="V32" s="4"/>
      <c r="W32" s="4"/>
    </row>
    <row r="33" spans="1:23" s="32" customFormat="1" ht="14.4" hidden="1" customHeight="1" x14ac:dyDescent="0.3">
      <c r="A33" s="22" t="s">
        <v>20</v>
      </c>
      <c r="B33" s="21">
        <v>45995</v>
      </c>
      <c r="C33" s="22" t="s">
        <v>28</v>
      </c>
      <c r="D33" s="24" t="s">
        <v>65</v>
      </c>
      <c r="E33" s="24" t="s">
        <v>113</v>
      </c>
      <c r="F33" s="25" t="s">
        <v>114</v>
      </c>
      <c r="G33" s="21">
        <v>45995</v>
      </c>
      <c r="H33" s="21">
        <v>45995</v>
      </c>
      <c r="I33" s="21">
        <v>45995</v>
      </c>
      <c r="J33" s="70"/>
      <c r="K33" s="44">
        <v>0.33333333333333331</v>
      </c>
      <c r="L33" s="45">
        <v>0.70833333333333337</v>
      </c>
      <c r="M33" s="11">
        <f t="shared" si="0"/>
        <v>9.0000000000000018</v>
      </c>
      <c r="N33" s="62" t="s">
        <v>0</v>
      </c>
      <c r="P33" s="4"/>
      <c r="Q33" s="4"/>
      <c r="R33" s="4"/>
      <c r="S33" s="4"/>
      <c r="T33" s="4"/>
      <c r="U33" s="4"/>
      <c r="V33" s="4"/>
      <c r="W33" s="4"/>
    </row>
    <row r="34" spans="1:23" s="32" customFormat="1" ht="14.4" hidden="1" customHeight="1" x14ac:dyDescent="0.3">
      <c r="A34" s="22" t="s">
        <v>20</v>
      </c>
      <c r="B34" s="21">
        <v>45995</v>
      </c>
      <c r="C34" s="22" t="s">
        <v>16</v>
      </c>
      <c r="D34" s="22" t="s">
        <v>65</v>
      </c>
      <c r="E34" s="24" t="s">
        <v>60</v>
      </c>
      <c r="F34" s="25" t="s">
        <v>59</v>
      </c>
      <c r="G34" s="30">
        <v>45989</v>
      </c>
      <c r="H34" s="21">
        <v>45995</v>
      </c>
      <c r="I34" s="21">
        <v>45995</v>
      </c>
      <c r="J34" s="70"/>
      <c r="K34" s="44">
        <v>0.3125</v>
      </c>
      <c r="L34" s="45">
        <v>0.6875</v>
      </c>
      <c r="M34" s="11">
        <f t="shared" si="0"/>
        <v>9</v>
      </c>
      <c r="N34" s="22" t="s">
        <v>0</v>
      </c>
      <c r="P34" s="4"/>
      <c r="Q34" s="4"/>
      <c r="R34" s="4"/>
      <c r="S34" s="4"/>
      <c r="T34" s="4"/>
      <c r="U34" s="4"/>
      <c r="V34" s="4"/>
      <c r="W34" s="4"/>
    </row>
    <row r="35" spans="1:23" s="32" customFormat="1" ht="14.55" hidden="1" customHeight="1" x14ac:dyDescent="0.3">
      <c r="A35" s="12" t="s">
        <v>20</v>
      </c>
      <c r="B35" s="19"/>
      <c r="C35" s="12" t="s">
        <v>31</v>
      </c>
      <c r="D35" s="12"/>
      <c r="E35" s="14"/>
      <c r="F35" s="27"/>
      <c r="G35" s="14"/>
      <c r="H35" s="19"/>
      <c r="I35" s="21">
        <v>45995</v>
      </c>
      <c r="J35" s="70"/>
      <c r="K35" s="44">
        <v>0.3125</v>
      </c>
      <c r="L35" s="45">
        <v>0.35416666666666669</v>
      </c>
      <c r="M35" s="11">
        <f t="shared" si="0"/>
        <v>1.0000000000000004</v>
      </c>
      <c r="N35" s="12"/>
      <c r="P35" s="4"/>
      <c r="Q35" s="4"/>
      <c r="R35" s="4"/>
      <c r="S35" s="4"/>
      <c r="T35" s="4"/>
      <c r="U35" s="4"/>
      <c r="V35" s="4"/>
      <c r="W35" s="4"/>
    </row>
    <row r="36" spans="1:23" s="32" customFormat="1" ht="14.4" hidden="1" customHeight="1" x14ac:dyDescent="0.3">
      <c r="A36" s="22" t="s">
        <v>20</v>
      </c>
      <c r="B36" s="21">
        <v>45995</v>
      </c>
      <c r="C36" s="22" t="s">
        <v>17</v>
      </c>
      <c r="D36" s="24" t="s">
        <v>65</v>
      </c>
      <c r="E36" s="24" t="s">
        <v>96</v>
      </c>
      <c r="F36" s="25" t="s">
        <v>112</v>
      </c>
      <c r="G36" s="21">
        <v>45994</v>
      </c>
      <c r="H36" s="21">
        <v>45995</v>
      </c>
      <c r="I36" s="23">
        <v>45995</v>
      </c>
      <c r="J36" s="103"/>
      <c r="K36" s="44">
        <v>0.3125</v>
      </c>
      <c r="L36" s="45">
        <v>0.6875</v>
      </c>
      <c r="M36" s="11">
        <f t="shared" si="0"/>
        <v>9</v>
      </c>
      <c r="N36" s="22" t="s">
        <v>0</v>
      </c>
      <c r="P36" s="4"/>
      <c r="Q36" s="4"/>
      <c r="R36" s="4"/>
      <c r="S36" s="4"/>
      <c r="T36" s="4"/>
      <c r="U36" s="4"/>
      <c r="V36" s="4"/>
      <c r="W36" s="4"/>
    </row>
    <row r="37" spans="1:23" s="32" customFormat="1" ht="14.4" hidden="1" customHeight="1" x14ac:dyDescent="0.3">
      <c r="A37" s="22" t="s">
        <v>20</v>
      </c>
      <c r="B37" s="17">
        <v>45995</v>
      </c>
      <c r="C37" s="22" t="s">
        <v>47</v>
      </c>
      <c r="D37" s="13" t="s">
        <v>65</v>
      </c>
      <c r="E37" s="24" t="s">
        <v>60</v>
      </c>
      <c r="F37" s="3" t="s">
        <v>115</v>
      </c>
      <c r="G37" s="23">
        <v>45989</v>
      </c>
      <c r="H37" s="23">
        <v>45995</v>
      </c>
      <c r="I37" s="21">
        <v>45995</v>
      </c>
      <c r="J37" s="70"/>
      <c r="K37" s="44">
        <v>0.33333333333333331</v>
      </c>
      <c r="L37" s="45">
        <v>0.70833333333333337</v>
      </c>
      <c r="M37" s="11">
        <f t="shared" si="0"/>
        <v>9.0000000000000018</v>
      </c>
      <c r="N37" s="18" t="s">
        <v>0</v>
      </c>
      <c r="P37" s="4"/>
      <c r="Q37" s="4"/>
      <c r="R37" s="4"/>
      <c r="S37" s="4"/>
      <c r="T37" s="4"/>
      <c r="U37" s="4"/>
      <c r="V37" s="4"/>
      <c r="W37" s="4"/>
    </row>
    <row r="38" spans="1:23" s="32" customFormat="1" ht="14.55" hidden="1" customHeight="1" x14ac:dyDescent="0.3">
      <c r="A38" s="22" t="s">
        <v>20</v>
      </c>
      <c r="B38" s="19"/>
      <c r="C38" s="22" t="s">
        <v>31</v>
      </c>
      <c r="D38" s="14"/>
      <c r="E38" s="24"/>
      <c r="F38" s="27"/>
      <c r="G38" s="19"/>
      <c r="H38" s="19"/>
      <c r="I38" s="21">
        <v>45995</v>
      </c>
      <c r="J38" s="21"/>
      <c r="K38" s="45">
        <v>0.39583333333333331</v>
      </c>
      <c r="L38" s="45">
        <v>0.47916666666666669</v>
      </c>
      <c r="M38" s="11">
        <f t="shared" si="0"/>
        <v>2.0000000000000009</v>
      </c>
      <c r="N38" s="12"/>
      <c r="P38" s="4"/>
      <c r="Q38" s="4"/>
      <c r="R38" s="4"/>
      <c r="S38" s="4"/>
      <c r="T38" s="4"/>
      <c r="U38" s="4"/>
      <c r="V38" s="4"/>
      <c r="W38" s="4"/>
    </row>
    <row r="39" spans="1:23" s="32" customFormat="1" ht="14.4" hidden="1" customHeight="1" x14ac:dyDescent="0.3">
      <c r="A39" s="22" t="s">
        <v>20</v>
      </c>
      <c r="B39" s="17">
        <v>45995</v>
      </c>
      <c r="C39" s="22" t="s">
        <v>15</v>
      </c>
      <c r="D39" s="24" t="s">
        <v>65</v>
      </c>
      <c r="E39" s="24" t="s">
        <v>92</v>
      </c>
      <c r="F39" s="25" t="s">
        <v>116</v>
      </c>
      <c r="G39" s="21">
        <v>45994</v>
      </c>
      <c r="H39" s="21">
        <v>45995</v>
      </c>
      <c r="I39" s="65">
        <v>45995</v>
      </c>
      <c r="J39" s="65"/>
      <c r="K39" s="45">
        <v>0.33333333333333331</v>
      </c>
      <c r="L39" s="45">
        <v>0.70833333333333337</v>
      </c>
      <c r="M39" s="11">
        <f t="shared" si="0"/>
        <v>9.0000000000000018</v>
      </c>
      <c r="N39" s="22" t="s">
        <v>0</v>
      </c>
      <c r="P39" s="4"/>
      <c r="Q39" s="4"/>
      <c r="R39" s="4"/>
      <c r="S39" s="4"/>
      <c r="T39" s="4"/>
      <c r="U39" s="4"/>
      <c r="V39" s="4"/>
      <c r="W39" s="4"/>
    </row>
    <row r="40" spans="1:23" s="32" customFormat="1" ht="14.55" hidden="1" customHeight="1" x14ac:dyDescent="0.3">
      <c r="A40" s="22" t="s">
        <v>20</v>
      </c>
      <c r="B40" s="19"/>
      <c r="C40" s="22" t="s">
        <v>31</v>
      </c>
      <c r="D40" s="14"/>
      <c r="E40" s="14"/>
      <c r="F40" s="27"/>
      <c r="G40" s="19"/>
      <c r="H40" s="19"/>
      <c r="I40" s="16">
        <v>45995</v>
      </c>
      <c r="J40" s="65"/>
      <c r="K40" s="46">
        <v>0.47916666666666669</v>
      </c>
      <c r="L40" s="46">
        <v>0.625</v>
      </c>
      <c r="M40" s="11">
        <f t="shared" si="0"/>
        <v>3.4999999999999996</v>
      </c>
      <c r="N40" s="12"/>
      <c r="P40" s="4"/>
      <c r="Q40" s="4"/>
      <c r="R40" s="4"/>
      <c r="S40" s="4"/>
      <c r="T40" s="4"/>
      <c r="U40" s="4"/>
      <c r="V40" s="4"/>
      <c r="W40" s="4"/>
    </row>
    <row r="41" spans="1:23" s="32" customFormat="1" ht="14.4" hidden="1" customHeight="1" x14ac:dyDescent="0.3">
      <c r="A41" s="22" t="s">
        <v>20</v>
      </c>
      <c r="B41" s="21">
        <v>45995</v>
      </c>
      <c r="C41" s="22" t="s">
        <v>31</v>
      </c>
      <c r="D41" s="24" t="s">
        <v>27</v>
      </c>
      <c r="E41" s="24" t="s">
        <v>117</v>
      </c>
      <c r="F41" s="25" t="s">
        <v>61</v>
      </c>
      <c r="G41" s="21">
        <v>45995</v>
      </c>
      <c r="H41" s="21">
        <v>45995</v>
      </c>
      <c r="I41" s="30">
        <v>45995</v>
      </c>
      <c r="J41" s="30"/>
      <c r="K41" s="45">
        <v>0.625</v>
      </c>
      <c r="L41" s="45">
        <v>0.70833333333333337</v>
      </c>
      <c r="M41" s="11">
        <f t="shared" si="0"/>
        <v>2.0000000000000009</v>
      </c>
      <c r="N41" s="42" t="s">
        <v>0</v>
      </c>
      <c r="P41" s="4"/>
      <c r="Q41" s="4"/>
      <c r="R41" s="4"/>
      <c r="S41" s="4"/>
      <c r="T41" s="4"/>
      <c r="U41" s="4"/>
      <c r="V41" s="4"/>
      <c r="W41" s="4"/>
    </row>
    <row r="42" spans="1:23" s="32" customFormat="1" ht="14.4" hidden="1" customHeight="1" x14ac:dyDescent="0.3">
      <c r="A42" s="22" t="s">
        <v>19</v>
      </c>
      <c r="B42" s="17">
        <v>45995</v>
      </c>
      <c r="C42" s="22" t="s">
        <v>48</v>
      </c>
      <c r="D42" s="20" t="s">
        <v>8</v>
      </c>
      <c r="E42" s="20" t="s">
        <v>75</v>
      </c>
      <c r="F42" s="3" t="s">
        <v>108</v>
      </c>
      <c r="G42" s="65">
        <v>45994</v>
      </c>
      <c r="H42" s="65">
        <v>45995</v>
      </c>
      <c r="I42" s="30">
        <v>45995</v>
      </c>
      <c r="J42" s="35"/>
      <c r="K42" s="46">
        <v>0.3125</v>
      </c>
      <c r="L42" s="46">
        <v>0.39583333333333331</v>
      </c>
      <c r="M42" s="11">
        <f t="shared" si="0"/>
        <v>1.9999999999999996</v>
      </c>
      <c r="N42" s="34" t="s">
        <v>0</v>
      </c>
      <c r="P42" s="4"/>
      <c r="Q42" s="4"/>
      <c r="R42" s="4"/>
      <c r="S42" s="4"/>
      <c r="T42" s="4"/>
      <c r="U42" s="4"/>
      <c r="V42" s="4"/>
      <c r="W42" s="4"/>
    </row>
    <row r="43" spans="1:23" s="32" customFormat="1" ht="14.55" hidden="1" customHeight="1" x14ac:dyDescent="0.3">
      <c r="A43" s="22" t="s">
        <v>19</v>
      </c>
      <c r="B43" s="19"/>
      <c r="C43" s="22" t="s">
        <v>107</v>
      </c>
      <c r="D43" s="14"/>
      <c r="E43" s="14"/>
      <c r="F43" s="27"/>
      <c r="G43" s="35"/>
      <c r="H43" s="35"/>
      <c r="I43" s="16">
        <v>45995</v>
      </c>
      <c r="J43" s="16"/>
      <c r="K43" s="45">
        <v>0.35416666666666669</v>
      </c>
      <c r="L43" s="45">
        <v>0.39583333333333331</v>
      </c>
      <c r="M43" s="11">
        <f t="shared" si="0"/>
        <v>0.99999999999999911</v>
      </c>
      <c r="N43" s="66"/>
      <c r="P43" s="4"/>
      <c r="Q43" s="4"/>
      <c r="R43" s="4"/>
      <c r="S43" s="4"/>
      <c r="T43" s="4"/>
      <c r="U43" s="4"/>
      <c r="V43" s="4"/>
      <c r="W43" s="4"/>
    </row>
    <row r="44" spans="1:23" s="32" customFormat="1" ht="14.4" hidden="1" customHeight="1" x14ac:dyDescent="0.3">
      <c r="A44" s="22" t="s">
        <v>19</v>
      </c>
      <c r="B44" s="17">
        <v>45995</v>
      </c>
      <c r="C44" s="22" t="s">
        <v>48</v>
      </c>
      <c r="D44" s="13" t="s">
        <v>8</v>
      </c>
      <c r="E44" s="13" t="s">
        <v>77</v>
      </c>
      <c r="F44" s="26" t="s">
        <v>108</v>
      </c>
      <c r="G44" s="17">
        <v>45994</v>
      </c>
      <c r="H44" s="16">
        <v>45995</v>
      </c>
      <c r="I44" s="16">
        <v>45995</v>
      </c>
      <c r="J44" s="16"/>
      <c r="K44" s="45">
        <v>0.39583333333333331</v>
      </c>
      <c r="L44" s="45">
        <v>0.45833333333333331</v>
      </c>
      <c r="M44" s="11">
        <f t="shared" si="0"/>
        <v>1.5</v>
      </c>
      <c r="N44" s="62" t="s">
        <v>0</v>
      </c>
      <c r="P44" s="4"/>
      <c r="Q44" s="4"/>
      <c r="R44" s="4"/>
      <c r="S44" s="4"/>
      <c r="T44" s="4"/>
      <c r="U44" s="4"/>
      <c r="V44" s="4"/>
      <c r="W44" s="4"/>
    </row>
    <row r="45" spans="1:23" s="32" customFormat="1" ht="14.55" hidden="1" customHeight="1" x14ac:dyDescent="0.3">
      <c r="A45" s="22" t="s">
        <v>19</v>
      </c>
      <c r="B45" s="19"/>
      <c r="C45" s="22" t="s">
        <v>107</v>
      </c>
      <c r="D45" s="14"/>
      <c r="E45" s="14"/>
      <c r="F45" s="27"/>
      <c r="G45" s="19"/>
      <c r="H45" s="35"/>
      <c r="I45" s="35"/>
      <c r="J45" s="35"/>
      <c r="K45" s="45">
        <v>0.39583333333333331</v>
      </c>
      <c r="L45" s="45">
        <v>0.45833333333333331</v>
      </c>
      <c r="M45" s="11">
        <f t="shared" si="0"/>
        <v>1.5</v>
      </c>
      <c r="N45" s="66"/>
      <c r="P45" s="4"/>
      <c r="Q45" s="4"/>
      <c r="R45" s="4"/>
      <c r="S45" s="4"/>
      <c r="T45" s="4"/>
      <c r="U45" s="4"/>
      <c r="V45" s="4"/>
      <c r="W45" s="4"/>
    </row>
    <row r="46" spans="1:23" s="32" customFormat="1" ht="14.4" hidden="1" customHeight="1" x14ac:dyDescent="0.3">
      <c r="A46" s="22" t="s">
        <v>19</v>
      </c>
      <c r="B46" s="17">
        <v>45995</v>
      </c>
      <c r="C46" s="22" t="s">
        <v>48</v>
      </c>
      <c r="D46" s="13" t="s">
        <v>8</v>
      </c>
      <c r="E46" s="13" t="s">
        <v>105</v>
      </c>
      <c r="F46" s="26" t="s">
        <v>108</v>
      </c>
      <c r="G46" s="17">
        <v>45995</v>
      </c>
      <c r="H46" s="16">
        <v>45995</v>
      </c>
      <c r="I46" s="16">
        <v>45995</v>
      </c>
      <c r="J46" s="16"/>
      <c r="K46" s="45">
        <v>0.60416666666666663</v>
      </c>
      <c r="L46" s="45">
        <v>0.6875</v>
      </c>
      <c r="M46" s="11">
        <f t="shared" si="0"/>
        <v>2.0000000000000009</v>
      </c>
      <c r="N46" s="62" t="s">
        <v>0</v>
      </c>
      <c r="P46" s="4"/>
      <c r="Q46" s="4"/>
      <c r="R46" s="4"/>
      <c r="S46" s="4"/>
      <c r="T46" s="4"/>
      <c r="U46" s="4"/>
      <c r="V46" s="4"/>
      <c r="W46" s="4"/>
    </row>
    <row r="47" spans="1:23" s="32" customFormat="1" ht="14.55" hidden="1" customHeight="1" x14ac:dyDescent="0.3">
      <c r="A47" s="22" t="s">
        <v>19</v>
      </c>
      <c r="B47" s="19"/>
      <c r="C47" s="22" t="s">
        <v>107</v>
      </c>
      <c r="D47" s="14"/>
      <c r="E47" s="14"/>
      <c r="F47" s="27"/>
      <c r="G47" s="19"/>
      <c r="H47" s="35"/>
      <c r="I47" s="35"/>
      <c r="J47" s="35"/>
      <c r="K47" s="45">
        <v>0.64583333333333337</v>
      </c>
      <c r="L47" s="45">
        <v>0.6875</v>
      </c>
      <c r="M47" s="11">
        <f t="shared" si="0"/>
        <v>0.99999999999999911</v>
      </c>
      <c r="N47" s="66"/>
      <c r="P47" s="4"/>
      <c r="Q47" s="4"/>
      <c r="R47" s="4"/>
      <c r="S47" s="4"/>
      <c r="T47" s="4"/>
      <c r="U47" s="4"/>
      <c r="V47" s="4"/>
      <c r="W47" s="4"/>
    </row>
    <row r="48" spans="1:23" s="32" customFormat="1" ht="28.95" hidden="1" customHeight="1" x14ac:dyDescent="0.3">
      <c r="A48" s="22" t="s">
        <v>19</v>
      </c>
      <c r="B48" s="21">
        <v>45995</v>
      </c>
      <c r="C48" s="22" t="s">
        <v>7</v>
      </c>
      <c r="D48" s="216" t="s">
        <v>8</v>
      </c>
      <c r="E48" s="216" t="s">
        <v>104</v>
      </c>
      <c r="F48" s="26" t="s">
        <v>76</v>
      </c>
      <c r="G48" s="17">
        <v>45979</v>
      </c>
      <c r="H48" s="17">
        <v>45995</v>
      </c>
      <c r="I48" s="17"/>
      <c r="J48" s="17"/>
      <c r="K48" s="47">
        <v>0.54166666666666663</v>
      </c>
      <c r="L48" s="47">
        <v>0.6875</v>
      </c>
      <c r="M48" s="11">
        <f t="shared" si="0"/>
        <v>3.5000000000000009</v>
      </c>
      <c r="N48" s="224" t="s">
        <v>0</v>
      </c>
      <c r="P48" s="4"/>
      <c r="Q48" s="4"/>
      <c r="R48" s="4"/>
      <c r="S48" s="4"/>
      <c r="T48" s="4"/>
      <c r="U48" s="4"/>
      <c r="V48" s="4"/>
      <c r="W48" s="4"/>
    </row>
    <row r="49" spans="1:23" s="32" customFormat="1" ht="14.4" hidden="1" customHeight="1" x14ac:dyDescent="0.3">
      <c r="A49" s="22" t="s">
        <v>19</v>
      </c>
      <c r="B49" s="21">
        <v>45995</v>
      </c>
      <c r="C49" s="22" t="s">
        <v>9</v>
      </c>
      <c r="D49" s="217"/>
      <c r="E49" s="217"/>
      <c r="F49" s="27"/>
      <c r="G49" s="19"/>
      <c r="H49" s="19"/>
      <c r="I49" s="19"/>
      <c r="J49" s="23"/>
      <c r="K49" s="47">
        <v>0.54166666666666663</v>
      </c>
      <c r="L49" s="47">
        <v>0.6875</v>
      </c>
      <c r="M49" s="11">
        <f t="shared" si="0"/>
        <v>3.5000000000000009</v>
      </c>
      <c r="N49" s="225"/>
      <c r="P49" s="4"/>
      <c r="Q49" s="4"/>
      <c r="R49" s="4"/>
      <c r="S49" s="4"/>
      <c r="T49" s="4"/>
      <c r="U49" s="4"/>
      <c r="V49" s="4"/>
      <c r="W49" s="4"/>
    </row>
    <row r="50" spans="1:23" s="32" customFormat="1" ht="14.55" hidden="1" customHeight="1" x14ac:dyDescent="0.3">
      <c r="A50" s="22" t="s">
        <v>19</v>
      </c>
      <c r="B50" s="17">
        <v>45995</v>
      </c>
      <c r="C50" s="22" t="s">
        <v>7</v>
      </c>
      <c r="D50" s="13" t="s">
        <v>8</v>
      </c>
      <c r="E50" s="24" t="s">
        <v>105</v>
      </c>
      <c r="F50" s="25" t="s">
        <v>106</v>
      </c>
      <c r="G50" s="17">
        <v>45995</v>
      </c>
      <c r="H50" s="17">
        <v>45995</v>
      </c>
      <c r="I50" s="17">
        <v>45995</v>
      </c>
      <c r="J50" s="17"/>
      <c r="K50" s="47">
        <v>0.3125</v>
      </c>
      <c r="L50" s="47">
        <v>0.52083333333333337</v>
      </c>
      <c r="M50" s="11">
        <f t="shared" si="0"/>
        <v>5.0000000000000009</v>
      </c>
      <c r="N50" s="62" t="s">
        <v>0</v>
      </c>
      <c r="P50" s="4"/>
      <c r="Q50" s="4"/>
      <c r="R50" s="4"/>
      <c r="S50" s="4"/>
      <c r="T50" s="4"/>
      <c r="U50" s="4"/>
      <c r="V50" s="4"/>
      <c r="W50" s="4"/>
    </row>
    <row r="51" spans="1:23" s="32" customFormat="1" ht="14.55" hidden="1" customHeight="1" x14ac:dyDescent="0.3">
      <c r="A51" s="22" t="s">
        <v>19</v>
      </c>
      <c r="B51" s="19"/>
      <c r="C51" s="22" t="s">
        <v>9</v>
      </c>
      <c r="D51" s="14"/>
      <c r="E51" s="24"/>
      <c r="F51" s="27"/>
      <c r="G51" s="19"/>
      <c r="H51" s="19"/>
      <c r="I51" s="21">
        <v>45995</v>
      </c>
      <c r="J51" s="19"/>
      <c r="K51" s="46"/>
      <c r="L51" s="46"/>
      <c r="M51" s="11">
        <f t="shared" si="0"/>
        <v>0</v>
      </c>
      <c r="N51" s="66"/>
      <c r="P51" s="4"/>
      <c r="Q51" s="4"/>
      <c r="R51" s="4"/>
      <c r="S51" s="4"/>
      <c r="T51" s="4"/>
      <c r="U51" s="4"/>
      <c r="V51" s="4"/>
      <c r="W51" s="4"/>
    </row>
    <row r="52" spans="1:23" s="32" customFormat="1" ht="14.4" hidden="1" customHeight="1" x14ac:dyDescent="0.3">
      <c r="A52" s="22" t="s">
        <v>21</v>
      </c>
      <c r="B52" s="21">
        <v>45995</v>
      </c>
      <c r="C52" s="22" t="s">
        <v>26</v>
      </c>
      <c r="D52" s="24" t="s">
        <v>24</v>
      </c>
      <c r="E52" s="24" t="s">
        <v>53</v>
      </c>
      <c r="F52" s="25" t="s">
        <v>109</v>
      </c>
      <c r="G52" s="21">
        <v>45995</v>
      </c>
      <c r="H52" s="21">
        <v>45995</v>
      </c>
      <c r="I52" s="21">
        <v>45995</v>
      </c>
      <c r="J52" s="21"/>
      <c r="K52" s="45">
        <v>0.33333333333333331</v>
      </c>
      <c r="L52" s="45">
        <v>0.70833333333333337</v>
      </c>
      <c r="M52" s="11">
        <f t="shared" si="0"/>
        <v>9.0000000000000018</v>
      </c>
      <c r="N52" s="62" t="s">
        <v>0</v>
      </c>
      <c r="P52" s="4"/>
      <c r="Q52" s="4"/>
      <c r="R52" s="4"/>
      <c r="S52" s="4"/>
      <c r="T52" s="4"/>
      <c r="U52" s="4"/>
      <c r="V52" s="4"/>
      <c r="W52" s="4"/>
    </row>
    <row r="53" spans="1:23" s="32" customFormat="1" ht="14.4" hidden="1" customHeight="1" x14ac:dyDescent="0.3">
      <c r="A53" s="22" t="s">
        <v>21</v>
      </c>
      <c r="B53" s="21">
        <v>45995</v>
      </c>
      <c r="C53" s="22" t="s">
        <v>50</v>
      </c>
      <c r="D53" s="24" t="s">
        <v>27</v>
      </c>
      <c r="E53" s="24" t="s">
        <v>110</v>
      </c>
      <c r="F53" s="27" t="s">
        <v>111</v>
      </c>
      <c r="G53" s="21">
        <v>45995</v>
      </c>
      <c r="H53" s="21">
        <v>45995</v>
      </c>
      <c r="I53" s="21">
        <v>45995</v>
      </c>
      <c r="J53" s="21"/>
      <c r="K53" s="45">
        <v>0.33333333333333331</v>
      </c>
      <c r="L53" s="45">
        <v>0.70833333333333337</v>
      </c>
      <c r="M53" s="11">
        <f t="shared" si="0"/>
        <v>9.0000000000000018</v>
      </c>
      <c r="N53" s="62" t="s">
        <v>0</v>
      </c>
      <c r="P53" s="4"/>
      <c r="Q53" s="4"/>
      <c r="R53" s="4"/>
      <c r="S53" s="4"/>
      <c r="T53" s="4"/>
      <c r="U53" s="4"/>
      <c r="V53" s="4"/>
      <c r="W53" s="4"/>
    </row>
    <row r="54" spans="1:23" s="32" customFormat="1" ht="14.4" hidden="1" customHeight="1" x14ac:dyDescent="0.3">
      <c r="A54" s="22" t="s">
        <v>21</v>
      </c>
      <c r="B54" s="21">
        <v>45995</v>
      </c>
      <c r="C54" s="22" t="s">
        <v>51</v>
      </c>
      <c r="D54" s="24" t="s">
        <v>27</v>
      </c>
      <c r="E54" s="24" t="s">
        <v>110</v>
      </c>
      <c r="F54" s="27" t="s">
        <v>111</v>
      </c>
      <c r="G54" s="21">
        <v>45995</v>
      </c>
      <c r="H54" s="21">
        <v>45995</v>
      </c>
      <c r="I54" s="21">
        <v>45995</v>
      </c>
      <c r="J54" s="70"/>
      <c r="K54" s="44">
        <v>0.3125</v>
      </c>
      <c r="L54" s="45">
        <v>0.6875</v>
      </c>
      <c r="M54" s="11">
        <f t="shared" si="0"/>
        <v>9</v>
      </c>
      <c r="N54" s="62" t="s">
        <v>0</v>
      </c>
      <c r="P54" s="4"/>
      <c r="Q54" s="4"/>
      <c r="R54" s="4"/>
      <c r="S54" s="4"/>
      <c r="T54" s="4"/>
      <c r="U54" s="4"/>
      <c r="V54" s="4"/>
      <c r="W54" s="4"/>
    </row>
    <row r="55" spans="1:23" s="32" customFormat="1" ht="14.4" hidden="1" customHeight="1" x14ac:dyDescent="0.3">
      <c r="A55" s="22" t="s">
        <v>21</v>
      </c>
      <c r="B55" s="17">
        <v>45995</v>
      </c>
      <c r="C55" s="22" t="s">
        <v>36</v>
      </c>
      <c r="D55" s="11" t="s">
        <v>8</v>
      </c>
      <c r="E55" s="11" t="s">
        <v>62</v>
      </c>
      <c r="F55" s="28" t="s">
        <v>84</v>
      </c>
      <c r="G55" s="17">
        <v>45994</v>
      </c>
      <c r="H55" s="21">
        <v>45995</v>
      </c>
      <c r="I55" s="21">
        <v>45995</v>
      </c>
      <c r="J55" s="21"/>
      <c r="K55" s="45">
        <v>0.3125</v>
      </c>
      <c r="L55" s="45">
        <v>0.70833333333333337</v>
      </c>
      <c r="M55" s="11">
        <f t="shared" si="0"/>
        <v>9.5</v>
      </c>
      <c r="N55" s="62" t="s">
        <v>0</v>
      </c>
      <c r="P55" s="4"/>
      <c r="Q55" s="4"/>
      <c r="R55" s="4"/>
      <c r="S55" s="4"/>
      <c r="T55" s="4"/>
      <c r="U55" s="4"/>
      <c r="V55" s="4"/>
      <c r="W55" s="4"/>
    </row>
    <row r="56" spans="1:23" s="32" customFormat="1" ht="14.55" hidden="1" customHeight="1" x14ac:dyDescent="0.3">
      <c r="A56" s="22" t="s">
        <v>21</v>
      </c>
      <c r="B56" s="19"/>
      <c r="C56" s="22" t="s">
        <v>18</v>
      </c>
      <c r="D56" s="12"/>
      <c r="E56" s="18"/>
      <c r="F56" s="29"/>
      <c r="G56" s="19"/>
      <c r="H56" s="21"/>
      <c r="I56" s="21"/>
      <c r="J56" s="21"/>
      <c r="K56" s="45">
        <v>0.3125</v>
      </c>
      <c r="L56" s="45">
        <v>0.70833333333333337</v>
      </c>
      <c r="M56" s="11">
        <f t="shared" si="0"/>
        <v>9.5</v>
      </c>
      <c r="N56" s="66"/>
      <c r="P56" s="4"/>
      <c r="Q56" s="4"/>
      <c r="R56" s="4"/>
      <c r="S56" s="4"/>
      <c r="T56" s="4"/>
      <c r="U56" s="4"/>
      <c r="V56" s="4"/>
      <c r="W56" s="4"/>
    </row>
    <row r="57" spans="1:23" s="32" customFormat="1" ht="14.4" hidden="1" customHeight="1" x14ac:dyDescent="0.3">
      <c r="A57" s="22" t="s">
        <v>21</v>
      </c>
      <c r="B57" s="21">
        <v>45995</v>
      </c>
      <c r="C57" s="22" t="s">
        <v>56</v>
      </c>
      <c r="D57" s="24" t="s">
        <v>43</v>
      </c>
      <c r="E57" s="24" t="s">
        <v>63</v>
      </c>
      <c r="F57" s="25" t="s">
        <v>38</v>
      </c>
      <c r="G57" s="21">
        <v>45990</v>
      </c>
      <c r="H57" s="21">
        <v>45995</v>
      </c>
      <c r="I57" s="17">
        <v>45995</v>
      </c>
      <c r="J57" s="101"/>
      <c r="K57" s="44">
        <v>0.3125</v>
      </c>
      <c r="L57" s="45">
        <v>0.5</v>
      </c>
      <c r="M57" s="11">
        <f t="shared" si="0"/>
        <v>4.5</v>
      </c>
      <c r="N57" s="22" t="s">
        <v>0</v>
      </c>
      <c r="P57" s="4"/>
      <c r="Q57" s="4"/>
      <c r="R57" s="4"/>
      <c r="S57" s="4"/>
      <c r="T57" s="4"/>
      <c r="U57" s="4"/>
      <c r="V57" s="4"/>
      <c r="W57" s="4"/>
    </row>
    <row r="58" spans="1:23" s="32" customFormat="1" ht="14.4" hidden="1" customHeight="1" x14ac:dyDescent="0.3">
      <c r="A58" s="22" t="s">
        <v>21</v>
      </c>
      <c r="B58" s="17">
        <v>45995</v>
      </c>
      <c r="C58" s="22" t="s">
        <v>25</v>
      </c>
      <c r="D58" s="216" t="s">
        <v>54</v>
      </c>
      <c r="E58" s="216" t="s">
        <v>85</v>
      </c>
      <c r="F58" s="26" t="s">
        <v>119</v>
      </c>
      <c r="G58" s="17">
        <v>45995</v>
      </c>
      <c r="H58" s="17">
        <v>45995</v>
      </c>
      <c r="I58" s="17">
        <v>45995</v>
      </c>
      <c r="J58" s="17"/>
      <c r="K58" s="45">
        <v>0.3125</v>
      </c>
      <c r="L58" s="45">
        <v>0.70833333333333337</v>
      </c>
      <c r="M58" s="11">
        <f t="shared" si="0"/>
        <v>9.5</v>
      </c>
      <c r="N58" s="224" t="s">
        <v>0</v>
      </c>
      <c r="P58" s="4"/>
      <c r="Q58" s="4"/>
      <c r="R58" s="4"/>
      <c r="S58" s="4"/>
      <c r="T58" s="4"/>
      <c r="U58" s="4"/>
      <c r="V58" s="4"/>
      <c r="W58" s="4"/>
    </row>
    <row r="59" spans="1:23" s="32" customFormat="1" ht="14.55" hidden="1" customHeight="1" x14ac:dyDescent="0.3">
      <c r="A59" s="22" t="s">
        <v>21</v>
      </c>
      <c r="B59" s="19"/>
      <c r="C59" s="22" t="s">
        <v>118</v>
      </c>
      <c r="D59" s="222"/>
      <c r="E59" s="222"/>
      <c r="F59" s="3"/>
      <c r="G59" s="23"/>
      <c r="H59" s="23"/>
      <c r="I59" s="17">
        <v>45995</v>
      </c>
      <c r="J59" s="101"/>
      <c r="K59" s="44">
        <v>0.3125</v>
      </c>
      <c r="L59" s="45">
        <v>0.70833333333333337</v>
      </c>
      <c r="M59" s="11">
        <f t="shared" si="0"/>
        <v>9.5</v>
      </c>
      <c r="N59" s="231"/>
      <c r="P59" s="4"/>
      <c r="Q59" s="4"/>
      <c r="R59" s="4"/>
      <c r="S59" s="4"/>
      <c r="T59" s="4"/>
      <c r="U59" s="4"/>
      <c r="V59" s="4"/>
      <c r="W59" s="4"/>
    </row>
    <row r="60" spans="1:23" s="32" customFormat="1" ht="14.4" hidden="1" customHeight="1" x14ac:dyDescent="0.3">
      <c r="A60" s="22" t="s">
        <v>21</v>
      </c>
      <c r="B60" s="17">
        <v>45995</v>
      </c>
      <c r="C60" s="22" t="s">
        <v>118</v>
      </c>
      <c r="D60" s="217"/>
      <c r="E60" s="217"/>
      <c r="F60" s="27"/>
      <c r="G60" s="17">
        <v>45995</v>
      </c>
      <c r="H60" s="17">
        <v>45995</v>
      </c>
      <c r="I60" s="17">
        <v>45995</v>
      </c>
      <c r="J60" s="101"/>
      <c r="K60" s="44">
        <v>0.5</v>
      </c>
      <c r="L60" s="45">
        <v>0.6875</v>
      </c>
      <c r="M60" s="11">
        <f t="shared" si="0"/>
        <v>4.5</v>
      </c>
      <c r="N60" s="225"/>
      <c r="P60" s="4"/>
      <c r="Q60" s="4"/>
      <c r="R60" s="4"/>
      <c r="S60" s="4"/>
      <c r="T60" s="4"/>
      <c r="U60" s="4"/>
      <c r="V60" s="4"/>
      <c r="W60" s="4"/>
    </row>
    <row r="61" spans="1:23" s="32" customFormat="1" ht="14.55" hidden="1" customHeight="1" x14ac:dyDescent="0.3">
      <c r="A61" s="22" t="s">
        <v>21</v>
      </c>
      <c r="B61" s="17">
        <v>45995</v>
      </c>
      <c r="C61" s="22" t="s">
        <v>118</v>
      </c>
      <c r="D61" s="24" t="s">
        <v>43</v>
      </c>
      <c r="E61" s="24" t="s">
        <v>63</v>
      </c>
      <c r="F61" s="3" t="s">
        <v>125</v>
      </c>
      <c r="G61" s="21">
        <v>45995</v>
      </c>
      <c r="H61" s="21">
        <v>45994</v>
      </c>
      <c r="I61" s="17">
        <v>45995</v>
      </c>
      <c r="J61" s="101"/>
      <c r="K61" s="44">
        <v>0.5</v>
      </c>
      <c r="L61" s="45">
        <v>0.66666666666666663</v>
      </c>
      <c r="M61" s="11">
        <f t="shared" si="0"/>
        <v>3.9999999999999991</v>
      </c>
      <c r="N61" s="42" t="s">
        <v>0</v>
      </c>
      <c r="P61" s="4"/>
      <c r="Q61" s="4"/>
      <c r="R61" s="4"/>
      <c r="S61" s="4"/>
      <c r="T61" s="4"/>
      <c r="U61" s="4"/>
      <c r="V61" s="4"/>
      <c r="W61" s="4"/>
    </row>
    <row r="62" spans="1:23" s="32" customFormat="1" ht="14.4" hidden="1" customHeight="1" x14ac:dyDescent="0.3">
      <c r="A62" s="22" t="s">
        <v>21</v>
      </c>
      <c r="B62" s="21">
        <v>45995</v>
      </c>
      <c r="C62" s="22" t="s">
        <v>55</v>
      </c>
      <c r="D62" s="24" t="s">
        <v>43</v>
      </c>
      <c r="E62" s="13" t="s">
        <v>120</v>
      </c>
      <c r="F62" s="26" t="s">
        <v>121</v>
      </c>
      <c r="G62" s="19">
        <v>45995</v>
      </c>
      <c r="H62" s="21">
        <v>45995</v>
      </c>
      <c r="I62" s="21"/>
      <c r="J62" s="70"/>
      <c r="K62" s="44">
        <v>0.3125</v>
      </c>
      <c r="L62" s="45">
        <v>0.5</v>
      </c>
      <c r="M62" s="11">
        <f t="shared" si="0"/>
        <v>4.5</v>
      </c>
      <c r="N62" s="67" t="s">
        <v>1</v>
      </c>
      <c r="P62" s="4"/>
      <c r="Q62" s="4"/>
      <c r="R62" s="4"/>
      <c r="S62" s="4"/>
      <c r="T62" s="4"/>
      <c r="U62" s="4"/>
      <c r="V62" s="4"/>
      <c r="W62" s="4"/>
    </row>
    <row r="63" spans="1:23" s="32" customFormat="1" ht="14.4" hidden="1" customHeight="1" x14ac:dyDescent="0.3">
      <c r="A63" s="22" t="s">
        <v>20</v>
      </c>
      <c r="B63" s="17">
        <v>45995</v>
      </c>
      <c r="C63" s="22" t="s">
        <v>12</v>
      </c>
      <c r="D63" s="20" t="s">
        <v>44</v>
      </c>
      <c r="E63" s="13" t="s">
        <v>97</v>
      </c>
      <c r="F63" s="26" t="s">
        <v>98</v>
      </c>
      <c r="G63" s="17">
        <v>45995</v>
      </c>
      <c r="H63" s="21">
        <v>45999</v>
      </c>
      <c r="I63" s="17"/>
      <c r="J63" s="17"/>
      <c r="K63" s="45">
        <v>0.3125</v>
      </c>
      <c r="L63" s="45">
        <v>0.54166666666666663</v>
      </c>
      <c r="M63" s="11">
        <f t="shared" si="0"/>
        <v>5.4999999999999991</v>
      </c>
      <c r="N63" s="34" t="s">
        <v>0</v>
      </c>
      <c r="P63" s="4"/>
      <c r="Q63" s="4"/>
      <c r="R63" s="4"/>
      <c r="S63" s="4"/>
      <c r="T63" s="4"/>
      <c r="U63" s="4"/>
      <c r="V63" s="4"/>
      <c r="W63" s="4"/>
    </row>
    <row r="64" spans="1:23" s="32" customFormat="1" ht="14.55" hidden="1" customHeight="1" x14ac:dyDescent="0.3">
      <c r="A64" s="22" t="s">
        <v>20</v>
      </c>
      <c r="B64" s="19"/>
      <c r="C64" s="22" t="s">
        <v>14</v>
      </c>
      <c r="D64" s="14"/>
      <c r="E64" s="14"/>
      <c r="F64" s="27"/>
      <c r="G64" s="19"/>
      <c r="H64" s="21"/>
      <c r="I64" s="21"/>
      <c r="J64" s="21"/>
      <c r="K64" s="45">
        <v>0.3125</v>
      </c>
      <c r="L64" s="45">
        <v>0.54166666666666663</v>
      </c>
      <c r="M64" s="11">
        <f t="shared" si="0"/>
        <v>5.4999999999999991</v>
      </c>
      <c r="N64" s="66"/>
      <c r="P64" s="4"/>
      <c r="Q64" s="4"/>
      <c r="R64" s="4"/>
      <c r="S64" s="4"/>
      <c r="T64" s="4"/>
      <c r="U64" s="4"/>
      <c r="V64" s="4"/>
      <c r="W64" s="4"/>
    </row>
    <row r="65" spans="1:23" s="32" customFormat="1" ht="14.4" hidden="1" customHeight="1" x14ac:dyDescent="0.3">
      <c r="A65" s="22" t="s">
        <v>20</v>
      </c>
      <c r="B65" s="17">
        <v>45995</v>
      </c>
      <c r="C65" s="22" t="s">
        <v>33</v>
      </c>
      <c r="D65" s="216" t="s">
        <v>44</v>
      </c>
      <c r="E65" s="216" t="s">
        <v>99</v>
      </c>
      <c r="F65" s="26" t="s">
        <v>100</v>
      </c>
      <c r="G65" s="219">
        <v>45995</v>
      </c>
      <c r="H65" s="219">
        <v>45999</v>
      </c>
      <c r="I65" s="219"/>
      <c r="J65" s="17"/>
      <c r="K65" s="45">
        <v>0.27083333333333331</v>
      </c>
      <c r="L65" s="45">
        <v>0.64583333333333337</v>
      </c>
      <c r="M65" s="11">
        <f t="shared" si="0"/>
        <v>9.0000000000000018</v>
      </c>
      <c r="N65" s="227" t="s">
        <v>1</v>
      </c>
      <c r="P65" s="4"/>
      <c r="Q65" s="4"/>
      <c r="R65" s="4"/>
      <c r="S65" s="4"/>
      <c r="T65" s="4"/>
      <c r="U65" s="4"/>
      <c r="V65" s="4"/>
      <c r="W65" s="4"/>
    </row>
    <row r="66" spans="1:23" s="32" customFormat="1" ht="14.55" hidden="1" customHeight="1" x14ac:dyDescent="0.3">
      <c r="A66" s="22" t="s">
        <v>20</v>
      </c>
      <c r="B66" s="19"/>
      <c r="C66" s="22" t="s">
        <v>13</v>
      </c>
      <c r="D66" s="222"/>
      <c r="E66" s="222"/>
      <c r="F66" s="3"/>
      <c r="G66" s="229"/>
      <c r="H66" s="229"/>
      <c r="I66" s="229"/>
      <c r="J66" s="23"/>
      <c r="K66" s="45">
        <v>0.27083333333333331</v>
      </c>
      <c r="L66" s="45">
        <v>0.64583333333333337</v>
      </c>
      <c r="M66" s="11">
        <f t="shared" si="0"/>
        <v>9.0000000000000018</v>
      </c>
      <c r="N66" s="230"/>
      <c r="P66" s="4"/>
      <c r="Q66" s="4"/>
      <c r="R66" s="4"/>
      <c r="S66" s="4"/>
      <c r="T66" s="4"/>
      <c r="U66" s="4"/>
      <c r="V66" s="4"/>
      <c r="W66" s="4"/>
    </row>
    <row r="67" spans="1:23" s="32" customFormat="1" ht="14.4" hidden="1" customHeight="1" x14ac:dyDescent="0.3">
      <c r="A67" s="22" t="s">
        <v>20</v>
      </c>
      <c r="B67" s="17">
        <v>45995</v>
      </c>
      <c r="C67" s="22" t="s">
        <v>13</v>
      </c>
      <c r="D67" s="217"/>
      <c r="E67" s="217"/>
      <c r="F67" s="27"/>
      <c r="G67" s="220"/>
      <c r="H67" s="220"/>
      <c r="I67" s="220"/>
      <c r="J67" s="19"/>
      <c r="K67" s="45">
        <v>0.27083333333333331</v>
      </c>
      <c r="L67" s="45">
        <v>0.54166666666666663</v>
      </c>
      <c r="M67" s="11">
        <f t="shared" ref="M67:M130" si="1">MOD(L67-K67,1)*24</f>
        <v>6.5</v>
      </c>
      <c r="N67" s="228"/>
      <c r="P67" s="4"/>
      <c r="Q67" s="4"/>
      <c r="R67" s="4"/>
      <c r="S67" s="4"/>
      <c r="T67" s="4"/>
      <c r="U67" s="4"/>
      <c r="V67" s="4"/>
      <c r="W67" s="4"/>
    </row>
    <row r="68" spans="1:23" s="32" customFormat="1" ht="14.4" hidden="1" customHeight="1" x14ac:dyDescent="0.3">
      <c r="A68" s="22" t="s">
        <v>20</v>
      </c>
      <c r="B68" s="21">
        <v>45995</v>
      </c>
      <c r="C68" s="22" t="s">
        <v>12</v>
      </c>
      <c r="D68" s="64" t="s">
        <v>27</v>
      </c>
      <c r="E68" s="24" t="s">
        <v>82</v>
      </c>
      <c r="F68" s="26" t="s">
        <v>61</v>
      </c>
      <c r="G68" s="16">
        <v>45995</v>
      </c>
      <c r="H68" s="16">
        <v>45995</v>
      </c>
      <c r="I68" s="16">
        <v>45995</v>
      </c>
      <c r="J68" s="16"/>
      <c r="K68" s="45">
        <v>0.64583333333333337</v>
      </c>
      <c r="L68" s="44">
        <v>0.6875</v>
      </c>
      <c r="M68" s="11">
        <f t="shared" si="1"/>
        <v>0.99999999999999911</v>
      </c>
      <c r="N68" s="62" t="s">
        <v>0</v>
      </c>
      <c r="P68" s="4"/>
      <c r="Q68" s="4"/>
      <c r="R68" s="4"/>
      <c r="S68" s="4"/>
      <c r="T68" s="4"/>
      <c r="U68" s="4"/>
      <c r="V68" s="4"/>
      <c r="W68" s="4"/>
    </row>
    <row r="69" spans="1:23" s="32" customFormat="1" ht="14.4" hidden="1" customHeight="1" x14ac:dyDescent="0.3">
      <c r="A69" s="22" t="s">
        <v>20</v>
      </c>
      <c r="B69" s="17">
        <v>45995</v>
      </c>
      <c r="C69" s="22" t="s">
        <v>12</v>
      </c>
      <c r="D69" s="20" t="s">
        <v>44</v>
      </c>
      <c r="E69" s="13" t="s">
        <v>122</v>
      </c>
      <c r="F69" s="26" t="s">
        <v>98</v>
      </c>
      <c r="G69" s="17">
        <v>45995</v>
      </c>
      <c r="H69" s="21">
        <v>45997</v>
      </c>
      <c r="I69" s="16">
        <v>45995</v>
      </c>
      <c r="J69" s="16"/>
      <c r="K69" s="45">
        <v>0.58333333333333337</v>
      </c>
      <c r="L69" s="45">
        <v>0.64583333333333337</v>
      </c>
      <c r="M69" s="11">
        <f t="shared" si="1"/>
        <v>1.5</v>
      </c>
      <c r="N69" s="62" t="s">
        <v>0</v>
      </c>
      <c r="P69" s="4"/>
      <c r="Q69" s="4"/>
      <c r="R69" s="4"/>
      <c r="S69" s="4"/>
      <c r="T69" s="4"/>
      <c r="U69" s="4"/>
      <c r="V69" s="4"/>
      <c r="W69" s="4"/>
    </row>
    <row r="70" spans="1:23" s="32" customFormat="1" ht="28.8" hidden="1" customHeight="1" x14ac:dyDescent="0.3">
      <c r="A70" s="22" t="s">
        <v>20</v>
      </c>
      <c r="B70" s="21">
        <v>45995</v>
      </c>
      <c r="C70" s="22" t="s">
        <v>101</v>
      </c>
      <c r="D70" s="64" t="s">
        <v>44</v>
      </c>
      <c r="E70" s="31" t="s">
        <v>102</v>
      </c>
      <c r="F70" s="25" t="s">
        <v>103</v>
      </c>
      <c r="G70" s="30">
        <v>45995</v>
      </c>
      <c r="H70" s="30">
        <v>45996</v>
      </c>
      <c r="I70" s="30">
        <v>45995</v>
      </c>
      <c r="J70" s="30"/>
      <c r="K70" s="45">
        <v>0.3125</v>
      </c>
      <c r="L70" s="44">
        <v>0.6875</v>
      </c>
      <c r="M70" s="11">
        <f t="shared" si="1"/>
        <v>9</v>
      </c>
      <c r="N70" s="42" t="s">
        <v>0</v>
      </c>
      <c r="P70" s="4"/>
      <c r="Q70" s="4"/>
      <c r="R70" s="4"/>
      <c r="S70" s="4"/>
      <c r="T70" s="4"/>
      <c r="U70" s="4"/>
      <c r="V70" s="4"/>
      <c r="W70" s="4"/>
    </row>
    <row r="71" spans="1:23" s="32" customFormat="1" ht="14.4" hidden="1" customHeight="1" x14ac:dyDescent="0.3">
      <c r="A71" s="22" t="s">
        <v>20</v>
      </c>
      <c r="B71" s="21">
        <v>45995</v>
      </c>
      <c r="C71" s="22" t="s">
        <v>33</v>
      </c>
      <c r="D71" s="214" t="s">
        <v>44</v>
      </c>
      <c r="E71" s="214" t="s">
        <v>123</v>
      </c>
      <c r="F71" s="26" t="s">
        <v>124</v>
      </c>
      <c r="G71" s="219">
        <v>45995</v>
      </c>
      <c r="H71" s="219">
        <v>45997</v>
      </c>
      <c r="I71" s="218"/>
      <c r="J71" s="16"/>
      <c r="K71" s="48">
        <v>0.54166666666666663</v>
      </c>
      <c r="L71" s="45">
        <v>0.6875</v>
      </c>
      <c r="M71" s="11">
        <f t="shared" si="1"/>
        <v>3.5000000000000009</v>
      </c>
      <c r="N71" s="214" t="s">
        <v>1</v>
      </c>
      <c r="P71" s="4"/>
      <c r="Q71" s="4"/>
      <c r="R71" s="4"/>
      <c r="S71" s="4"/>
      <c r="T71" s="4"/>
      <c r="U71" s="4"/>
      <c r="V71" s="4"/>
      <c r="W71" s="4"/>
    </row>
    <row r="72" spans="1:23" s="32" customFormat="1" ht="14.4" hidden="1" customHeight="1" x14ac:dyDescent="0.3">
      <c r="A72" s="22" t="s">
        <v>20</v>
      </c>
      <c r="B72" s="21">
        <v>45995</v>
      </c>
      <c r="C72" s="22" t="s">
        <v>13</v>
      </c>
      <c r="D72" s="215"/>
      <c r="E72" s="215"/>
      <c r="F72" s="27"/>
      <c r="G72" s="220"/>
      <c r="H72" s="220"/>
      <c r="I72" s="232"/>
      <c r="J72" s="35"/>
      <c r="K72" s="48">
        <v>0.54166666666666663</v>
      </c>
      <c r="L72" s="45">
        <v>0.6875</v>
      </c>
      <c r="M72" s="11">
        <f t="shared" si="1"/>
        <v>3.5000000000000009</v>
      </c>
      <c r="N72" s="215"/>
      <c r="P72" s="4"/>
      <c r="Q72" s="4"/>
      <c r="R72" s="4"/>
      <c r="S72" s="4"/>
      <c r="T72" s="4"/>
      <c r="U72" s="4"/>
      <c r="V72" s="4"/>
      <c r="W72" s="4"/>
    </row>
    <row r="73" spans="1:23" s="32" customFormat="1" ht="14.4" hidden="1" customHeight="1" x14ac:dyDescent="0.3">
      <c r="A73" s="22" t="s">
        <v>20</v>
      </c>
      <c r="B73" s="21">
        <v>45996</v>
      </c>
      <c r="C73" s="22" t="s">
        <v>28</v>
      </c>
      <c r="D73" s="216" t="s">
        <v>65</v>
      </c>
      <c r="E73" s="216" t="s">
        <v>113</v>
      </c>
      <c r="F73" s="26" t="s">
        <v>147</v>
      </c>
      <c r="G73" s="219">
        <v>45995</v>
      </c>
      <c r="H73" s="219">
        <v>45996</v>
      </c>
      <c r="I73" s="219">
        <v>45996</v>
      </c>
      <c r="J73" s="101"/>
      <c r="K73" s="44">
        <v>0.33333333333333331</v>
      </c>
      <c r="L73" s="45">
        <v>0.70833333333333337</v>
      </c>
      <c r="M73" s="11">
        <f t="shared" si="1"/>
        <v>9.0000000000000018</v>
      </c>
      <c r="N73" s="214" t="s">
        <v>0</v>
      </c>
      <c r="P73" s="4"/>
      <c r="Q73" s="4"/>
      <c r="R73" s="4"/>
      <c r="S73" s="4"/>
      <c r="T73" s="4"/>
      <c r="U73" s="4"/>
      <c r="V73" s="4"/>
      <c r="W73" s="4"/>
    </row>
    <row r="74" spans="1:23" s="32" customFormat="1" ht="14.4" hidden="1" customHeight="1" x14ac:dyDescent="0.3">
      <c r="A74" s="22" t="s">
        <v>20</v>
      </c>
      <c r="B74" s="21">
        <v>45996</v>
      </c>
      <c r="C74" s="22" t="s">
        <v>31</v>
      </c>
      <c r="D74" s="217"/>
      <c r="E74" s="217"/>
      <c r="F74" s="27"/>
      <c r="G74" s="220"/>
      <c r="H74" s="220"/>
      <c r="I74" s="220"/>
      <c r="J74" s="102"/>
      <c r="K74" s="44">
        <v>0.3125</v>
      </c>
      <c r="L74" s="45">
        <v>0.35416666666666669</v>
      </c>
      <c r="M74" s="11">
        <f t="shared" si="1"/>
        <v>1.0000000000000004</v>
      </c>
      <c r="N74" s="215"/>
      <c r="P74" s="4"/>
      <c r="Q74" s="4"/>
      <c r="R74" s="4"/>
      <c r="S74" s="4"/>
      <c r="T74" s="4"/>
      <c r="U74" s="4"/>
      <c r="V74" s="4"/>
      <c r="W74" s="4"/>
    </row>
    <row r="75" spans="1:23" s="32" customFormat="1" ht="14.4" hidden="1" customHeight="1" x14ac:dyDescent="0.3">
      <c r="A75" s="22" t="s">
        <v>20</v>
      </c>
      <c r="B75" s="21">
        <v>45996</v>
      </c>
      <c r="C75" s="22" t="s">
        <v>28</v>
      </c>
      <c r="D75" s="216" t="s">
        <v>65</v>
      </c>
      <c r="E75" s="216" t="s">
        <v>60</v>
      </c>
      <c r="F75" s="26" t="s">
        <v>115</v>
      </c>
      <c r="G75" s="219">
        <v>45995</v>
      </c>
      <c r="H75" s="219">
        <v>45996</v>
      </c>
      <c r="I75" s="219"/>
      <c r="J75" s="101"/>
      <c r="K75" s="44"/>
      <c r="L75" s="45"/>
      <c r="M75" s="11">
        <f t="shared" si="1"/>
        <v>0</v>
      </c>
      <c r="N75" s="214" t="s">
        <v>1</v>
      </c>
      <c r="P75" s="4"/>
      <c r="Q75" s="4"/>
      <c r="R75" s="4"/>
      <c r="S75" s="4"/>
      <c r="T75" s="4"/>
      <c r="U75" s="4"/>
      <c r="V75" s="4"/>
      <c r="W75" s="4"/>
    </row>
    <row r="76" spans="1:23" s="32" customFormat="1" ht="14.4" hidden="1" customHeight="1" x14ac:dyDescent="0.3">
      <c r="A76" s="22" t="s">
        <v>20</v>
      </c>
      <c r="B76" s="21">
        <v>45996</v>
      </c>
      <c r="C76" s="22" t="s">
        <v>31</v>
      </c>
      <c r="D76" s="217"/>
      <c r="E76" s="217"/>
      <c r="F76" s="27"/>
      <c r="G76" s="220"/>
      <c r="H76" s="220"/>
      <c r="I76" s="220"/>
      <c r="J76" s="102"/>
      <c r="K76" s="44"/>
      <c r="L76" s="45"/>
      <c r="M76" s="11">
        <f t="shared" si="1"/>
        <v>0</v>
      </c>
      <c r="N76" s="215"/>
      <c r="P76" s="4"/>
      <c r="Q76" s="4"/>
      <c r="R76" s="4"/>
      <c r="S76" s="4"/>
      <c r="T76" s="4"/>
      <c r="U76" s="4"/>
      <c r="V76" s="4"/>
      <c r="W76" s="4"/>
    </row>
    <row r="77" spans="1:23" s="32" customFormat="1" ht="14.4" hidden="1" customHeight="1" x14ac:dyDescent="0.3">
      <c r="A77" s="22" t="s">
        <v>20</v>
      </c>
      <c r="B77" s="21">
        <v>45996</v>
      </c>
      <c r="C77" s="22" t="s">
        <v>16</v>
      </c>
      <c r="D77" s="214" t="s">
        <v>65</v>
      </c>
      <c r="E77" s="216" t="s">
        <v>60</v>
      </c>
      <c r="F77" s="26" t="s">
        <v>59</v>
      </c>
      <c r="G77" s="218">
        <v>45989</v>
      </c>
      <c r="H77" s="219">
        <v>45996</v>
      </c>
      <c r="I77" s="219">
        <v>45996</v>
      </c>
      <c r="J77" s="101"/>
      <c r="K77" s="44">
        <v>0.3125</v>
      </c>
      <c r="L77" s="45">
        <v>0.6875</v>
      </c>
      <c r="M77" s="11">
        <f t="shared" si="1"/>
        <v>9</v>
      </c>
      <c r="N77" s="214" t="s">
        <v>0</v>
      </c>
      <c r="P77" s="4"/>
      <c r="Q77" s="4"/>
      <c r="R77" s="4"/>
      <c r="S77" s="4"/>
      <c r="T77" s="4"/>
      <c r="U77" s="4"/>
      <c r="V77" s="4"/>
      <c r="W77" s="4"/>
    </row>
    <row r="78" spans="1:23" s="32" customFormat="1" ht="14.4" hidden="1" customHeight="1" x14ac:dyDescent="0.3">
      <c r="A78" s="22" t="s">
        <v>20</v>
      </c>
      <c r="B78" s="21">
        <v>45996</v>
      </c>
      <c r="C78" s="22" t="s">
        <v>31</v>
      </c>
      <c r="D78" s="215"/>
      <c r="E78" s="217"/>
      <c r="F78" s="27"/>
      <c r="G78" s="232"/>
      <c r="H78" s="220"/>
      <c r="I78" s="220"/>
      <c r="J78" s="19"/>
      <c r="K78" s="45">
        <v>0.35416666666666669</v>
      </c>
      <c r="L78" s="45">
        <v>0.4375</v>
      </c>
      <c r="M78" s="11">
        <f t="shared" si="1"/>
        <v>1.9999999999999996</v>
      </c>
      <c r="N78" s="215"/>
      <c r="P78" s="4"/>
      <c r="Q78" s="4"/>
      <c r="R78" s="4"/>
      <c r="S78" s="4"/>
      <c r="T78" s="4"/>
      <c r="U78" s="4"/>
      <c r="V78" s="4"/>
      <c r="W78" s="4"/>
    </row>
    <row r="79" spans="1:23" s="32" customFormat="1" ht="14.4" hidden="1" customHeight="1" x14ac:dyDescent="0.3">
      <c r="A79" s="22" t="s">
        <v>20</v>
      </c>
      <c r="B79" s="21">
        <v>45996</v>
      </c>
      <c r="C79" s="22" t="s">
        <v>17</v>
      </c>
      <c r="D79" s="24" t="s">
        <v>65</v>
      </c>
      <c r="E79" s="24" t="s">
        <v>96</v>
      </c>
      <c r="F79" s="25" t="s">
        <v>126</v>
      </c>
      <c r="G79" s="21">
        <v>45994</v>
      </c>
      <c r="H79" s="21">
        <v>45996</v>
      </c>
      <c r="I79" s="21">
        <v>45996</v>
      </c>
      <c r="J79" s="70"/>
      <c r="K79" s="44">
        <v>0.3125</v>
      </c>
      <c r="L79" s="45">
        <v>0.6875</v>
      </c>
      <c r="M79" s="11">
        <f t="shared" si="1"/>
        <v>9</v>
      </c>
      <c r="N79" s="11" t="s">
        <v>0</v>
      </c>
      <c r="P79" s="4"/>
      <c r="Q79" s="4"/>
      <c r="R79" s="4"/>
      <c r="S79" s="4"/>
      <c r="T79" s="4"/>
      <c r="U79" s="4"/>
      <c r="V79" s="4"/>
      <c r="W79" s="4"/>
    </row>
    <row r="80" spans="1:23" s="32" customFormat="1" ht="14.4" hidden="1" customHeight="1" x14ac:dyDescent="0.3">
      <c r="A80" s="22" t="s">
        <v>20</v>
      </c>
      <c r="B80" s="21">
        <v>45996</v>
      </c>
      <c r="C80" s="22" t="s">
        <v>47</v>
      </c>
      <c r="D80" s="13" t="s">
        <v>65</v>
      </c>
      <c r="E80" s="24" t="s">
        <v>60</v>
      </c>
      <c r="F80" s="3" t="s">
        <v>115</v>
      </c>
      <c r="G80" s="23">
        <v>45989</v>
      </c>
      <c r="H80" s="23">
        <v>45995</v>
      </c>
      <c r="I80" s="23"/>
      <c r="J80" s="103"/>
      <c r="K80" s="44">
        <v>0.33333333333333331</v>
      </c>
      <c r="L80" s="45">
        <v>0.70833333333333337</v>
      </c>
      <c r="M80" s="11">
        <f t="shared" si="1"/>
        <v>9.0000000000000018</v>
      </c>
      <c r="N80" s="11" t="s">
        <v>1</v>
      </c>
      <c r="P80" s="4"/>
      <c r="Q80" s="4"/>
      <c r="R80" s="4"/>
      <c r="S80" s="4"/>
      <c r="T80" s="4"/>
      <c r="U80" s="4"/>
      <c r="V80" s="4"/>
      <c r="W80" s="4"/>
    </row>
    <row r="81" spans="1:23" s="32" customFormat="1" ht="14.4" hidden="1" customHeight="1" x14ac:dyDescent="0.3">
      <c r="A81" s="22" t="s">
        <v>20</v>
      </c>
      <c r="B81" s="21">
        <v>45996</v>
      </c>
      <c r="C81" s="22" t="s">
        <v>15</v>
      </c>
      <c r="D81" s="216" t="s">
        <v>65</v>
      </c>
      <c r="E81" s="216" t="s">
        <v>92</v>
      </c>
      <c r="F81" s="26" t="s">
        <v>59</v>
      </c>
      <c r="G81" s="219">
        <v>45994</v>
      </c>
      <c r="H81" s="219">
        <v>45996</v>
      </c>
      <c r="I81" s="219">
        <v>45996</v>
      </c>
      <c r="J81" s="101"/>
      <c r="K81" s="44">
        <v>0.33333333333333331</v>
      </c>
      <c r="L81" s="45">
        <v>0.70833333333333337</v>
      </c>
      <c r="M81" s="11">
        <f t="shared" si="1"/>
        <v>9.0000000000000018</v>
      </c>
      <c r="N81" s="214" t="s">
        <v>0</v>
      </c>
      <c r="P81" s="4"/>
      <c r="Q81" s="4"/>
      <c r="R81" s="4"/>
      <c r="S81" s="4"/>
      <c r="T81" s="4"/>
      <c r="U81" s="4"/>
      <c r="V81" s="4"/>
      <c r="W81" s="4"/>
    </row>
    <row r="82" spans="1:23" s="32" customFormat="1" ht="14.4" hidden="1" customHeight="1" x14ac:dyDescent="0.3">
      <c r="A82" s="22" t="s">
        <v>20</v>
      </c>
      <c r="B82" s="21">
        <v>45996</v>
      </c>
      <c r="C82" s="22" t="s">
        <v>31</v>
      </c>
      <c r="D82" s="217"/>
      <c r="E82" s="217"/>
      <c r="F82" s="27"/>
      <c r="G82" s="220"/>
      <c r="H82" s="220"/>
      <c r="I82" s="220"/>
      <c r="J82" s="19"/>
      <c r="K82" s="45">
        <v>0.4375</v>
      </c>
      <c r="L82" s="45">
        <v>0.5</v>
      </c>
      <c r="M82" s="11">
        <f t="shared" si="1"/>
        <v>1.5</v>
      </c>
      <c r="N82" s="215"/>
      <c r="P82" s="4"/>
      <c r="Q82" s="4"/>
      <c r="R82" s="4"/>
      <c r="S82" s="4"/>
      <c r="T82" s="4"/>
      <c r="U82" s="4"/>
      <c r="V82" s="4"/>
      <c r="W82" s="4"/>
    </row>
    <row r="83" spans="1:23" s="32" customFormat="1" ht="14.4" hidden="1" customHeight="1" x14ac:dyDescent="0.3">
      <c r="A83" s="22" t="s">
        <v>20</v>
      </c>
      <c r="B83" s="21">
        <v>45996</v>
      </c>
      <c r="C83" s="22" t="s">
        <v>31</v>
      </c>
      <c r="D83" s="24" t="s">
        <v>27</v>
      </c>
      <c r="E83" s="24" t="s">
        <v>117</v>
      </c>
      <c r="F83" s="25" t="s">
        <v>61</v>
      </c>
      <c r="G83" s="21">
        <v>45996</v>
      </c>
      <c r="H83" s="21">
        <v>45996</v>
      </c>
      <c r="I83" s="21">
        <v>45996</v>
      </c>
      <c r="J83" s="21"/>
      <c r="K83" s="45">
        <v>0.625</v>
      </c>
      <c r="L83" s="45">
        <v>0.70833333333333337</v>
      </c>
      <c r="M83" s="11">
        <f t="shared" si="1"/>
        <v>2.0000000000000009</v>
      </c>
      <c r="N83" s="11" t="s">
        <v>0</v>
      </c>
      <c r="P83" s="4"/>
      <c r="Q83" s="4"/>
      <c r="R83" s="4"/>
      <c r="S83" s="4"/>
      <c r="T83" s="4"/>
      <c r="U83" s="4"/>
      <c r="V83" s="4"/>
      <c r="W83" s="4"/>
    </row>
    <row r="84" spans="1:23" s="32" customFormat="1" ht="14.4" hidden="1" customHeight="1" x14ac:dyDescent="0.3">
      <c r="A84" s="22" t="s">
        <v>19</v>
      </c>
      <c r="B84" s="21">
        <v>45996</v>
      </c>
      <c r="C84" s="22" t="s">
        <v>48</v>
      </c>
      <c r="D84" s="20" t="s">
        <v>8</v>
      </c>
      <c r="E84" s="20" t="s">
        <v>131</v>
      </c>
      <c r="F84" s="3" t="s">
        <v>132</v>
      </c>
      <c r="G84" s="65">
        <v>45996</v>
      </c>
      <c r="H84" s="65">
        <v>45996</v>
      </c>
      <c r="I84" s="65"/>
      <c r="J84" s="65"/>
      <c r="K84" s="46">
        <v>0.3125</v>
      </c>
      <c r="L84" s="46">
        <v>0.4375</v>
      </c>
      <c r="M84" s="11">
        <f t="shared" si="1"/>
        <v>3</v>
      </c>
      <c r="N84" s="11" t="s">
        <v>1</v>
      </c>
      <c r="P84" s="4"/>
      <c r="Q84" s="4"/>
      <c r="R84" s="4"/>
      <c r="S84" s="4"/>
      <c r="T84" s="4"/>
      <c r="U84" s="4"/>
      <c r="V84" s="4"/>
      <c r="W84" s="4"/>
    </row>
    <row r="85" spans="1:23" s="32" customFormat="1" ht="14.4" hidden="1" customHeight="1" x14ac:dyDescent="0.3">
      <c r="A85" s="22" t="s">
        <v>19</v>
      </c>
      <c r="B85" s="21">
        <v>45996</v>
      </c>
      <c r="C85" s="22" t="s">
        <v>48</v>
      </c>
      <c r="D85" s="13" t="s">
        <v>8</v>
      </c>
      <c r="E85" s="20" t="s">
        <v>104</v>
      </c>
      <c r="F85" s="26" t="s">
        <v>108</v>
      </c>
      <c r="G85" s="65">
        <v>45996</v>
      </c>
      <c r="H85" s="65">
        <v>45996</v>
      </c>
      <c r="I85" s="65">
        <v>45996</v>
      </c>
      <c r="J85" s="65"/>
      <c r="K85" s="45">
        <v>0.4375</v>
      </c>
      <c r="L85" s="45">
        <v>0.14583333333333334</v>
      </c>
      <c r="M85" s="11">
        <f t="shared" si="1"/>
        <v>17</v>
      </c>
      <c r="N85" s="11" t="s">
        <v>0</v>
      </c>
      <c r="P85" s="4"/>
      <c r="Q85" s="4"/>
      <c r="R85" s="4"/>
      <c r="S85" s="4"/>
      <c r="T85" s="4"/>
      <c r="U85" s="4"/>
      <c r="V85" s="4"/>
      <c r="W85" s="4"/>
    </row>
    <row r="86" spans="1:23" s="32" customFormat="1" ht="14.4" hidden="1" customHeight="1" x14ac:dyDescent="0.3">
      <c r="A86" s="22" t="s">
        <v>19</v>
      </c>
      <c r="B86" s="21">
        <v>45996</v>
      </c>
      <c r="C86" s="22" t="s">
        <v>48</v>
      </c>
      <c r="D86" s="13" t="s">
        <v>8</v>
      </c>
      <c r="E86" s="13" t="s">
        <v>105</v>
      </c>
      <c r="F86" s="26" t="s">
        <v>108</v>
      </c>
      <c r="G86" s="65">
        <v>45996</v>
      </c>
      <c r="H86" s="65">
        <v>45996</v>
      </c>
      <c r="I86" s="65">
        <v>45996</v>
      </c>
      <c r="J86" s="65"/>
      <c r="K86" s="45">
        <v>0.60416666666666663</v>
      </c>
      <c r="L86" s="45">
        <v>0.6875</v>
      </c>
      <c r="M86" s="11">
        <f t="shared" si="1"/>
        <v>2.0000000000000009</v>
      </c>
      <c r="N86" s="11" t="s">
        <v>0</v>
      </c>
      <c r="P86" s="4"/>
      <c r="Q86" s="4"/>
      <c r="R86" s="4"/>
      <c r="S86" s="4"/>
      <c r="T86" s="4"/>
      <c r="U86" s="4"/>
      <c r="V86" s="4"/>
      <c r="W86" s="4"/>
    </row>
    <row r="87" spans="1:23" s="32" customFormat="1" ht="28.95" hidden="1" customHeight="1" x14ac:dyDescent="0.3">
      <c r="A87" s="22" t="s">
        <v>19</v>
      </c>
      <c r="B87" s="21">
        <v>45996</v>
      </c>
      <c r="C87" s="22" t="s">
        <v>7</v>
      </c>
      <c r="D87" s="216" t="s">
        <v>8</v>
      </c>
      <c r="E87" s="216" t="s">
        <v>105</v>
      </c>
      <c r="F87" s="26" t="s">
        <v>130</v>
      </c>
      <c r="G87" s="219">
        <v>45996</v>
      </c>
      <c r="H87" s="219">
        <v>45996</v>
      </c>
      <c r="I87" s="219">
        <v>45996</v>
      </c>
      <c r="J87" s="17"/>
      <c r="K87" s="47">
        <v>0.3125</v>
      </c>
      <c r="L87" s="47">
        <v>0.54166666666666663</v>
      </c>
      <c r="M87" s="11">
        <f t="shared" si="1"/>
        <v>5.4999999999999991</v>
      </c>
      <c r="N87" s="214" t="s">
        <v>0</v>
      </c>
      <c r="P87" s="4"/>
      <c r="Q87" s="4"/>
      <c r="R87" s="4"/>
      <c r="S87" s="4"/>
      <c r="T87" s="4"/>
      <c r="U87" s="4"/>
      <c r="V87" s="4"/>
      <c r="W87" s="4"/>
    </row>
    <row r="88" spans="1:23" s="32" customFormat="1" ht="14.4" hidden="1" customHeight="1" x14ac:dyDescent="0.3">
      <c r="A88" s="22" t="s">
        <v>19</v>
      </c>
      <c r="B88" s="21">
        <v>45996</v>
      </c>
      <c r="C88" s="22" t="s">
        <v>9</v>
      </c>
      <c r="D88" s="217"/>
      <c r="E88" s="217"/>
      <c r="F88" s="27"/>
      <c r="G88" s="220"/>
      <c r="H88" s="220"/>
      <c r="I88" s="220"/>
      <c r="J88" s="19"/>
      <c r="K88" s="46">
        <v>0.3125</v>
      </c>
      <c r="L88" s="46">
        <v>0.54166666666666663</v>
      </c>
      <c r="M88" s="11">
        <f t="shared" si="1"/>
        <v>5.4999999999999991</v>
      </c>
      <c r="N88" s="215"/>
      <c r="P88" s="4"/>
      <c r="Q88" s="4"/>
      <c r="R88" s="4"/>
      <c r="S88" s="4"/>
      <c r="T88" s="4"/>
      <c r="U88" s="4"/>
      <c r="V88" s="4"/>
      <c r="W88" s="4"/>
    </row>
    <row r="89" spans="1:23" s="32" customFormat="1" ht="28.95" hidden="1" customHeight="1" x14ac:dyDescent="0.3">
      <c r="A89" s="22" t="s">
        <v>19</v>
      </c>
      <c r="B89" s="21">
        <v>45996</v>
      </c>
      <c r="C89" s="22" t="s">
        <v>7</v>
      </c>
      <c r="D89" s="216" t="s">
        <v>8</v>
      </c>
      <c r="E89" s="216" t="s">
        <v>133</v>
      </c>
      <c r="F89" s="26" t="s">
        <v>134</v>
      </c>
      <c r="G89" s="219">
        <v>45996</v>
      </c>
      <c r="H89" s="219">
        <v>45996</v>
      </c>
      <c r="I89" s="219">
        <v>45996</v>
      </c>
      <c r="J89" s="17"/>
      <c r="K89" s="47">
        <v>0.58333333333333337</v>
      </c>
      <c r="L89" s="45">
        <v>0.6875</v>
      </c>
      <c r="M89" s="11">
        <f t="shared" si="1"/>
        <v>2.4999999999999991</v>
      </c>
      <c r="N89" s="214" t="s">
        <v>0</v>
      </c>
      <c r="P89" s="4"/>
      <c r="Q89" s="4"/>
      <c r="R89" s="4"/>
      <c r="S89" s="4"/>
      <c r="T89" s="4"/>
      <c r="U89" s="4"/>
      <c r="V89" s="4"/>
      <c r="W89" s="4"/>
    </row>
    <row r="90" spans="1:23" s="32" customFormat="1" ht="14.4" hidden="1" customHeight="1" x14ac:dyDescent="0.3">
      <c r="A90" s="22" t="s">
        <v>19</v>
      </c>
      <c r="B90" s="21">
        <v>45996</v>
      </c>
      <c r="C90" s="22" t="s">
        <v>9</v>
      </c>
      <c r="D90" s="217"/>
      <c r="E90" s="217"/>
      <c r="F90" s="27"/>
      <c r="G90" s="220"/>
      <c r="H90" s="220"/>
      <c r="I90" s="220"/>
      <c r="J90" s="23"/>
      <c r="K90" s="47">
        <v>0.58333333333333337</v>
      </c>
      <c r="L90" s="45">
        <v>0.6875</v>
      </c>
      <c r="M90" s="11">
        <f t="shared" si="1"/>
        <v>2.4999999999999991</v>
      </c>
      <c r="N90" s="215"/>
      <c r="P90" s="4"/>
      <c r="Q90" s="4"/>
      <c r="R90" s="4"/>
      <c r="S90" s="4"/>
      <c r="T90" s="4"/>
      <c r="U90" s="4"/>
      <c r="V90" s="4"/>
      <c r="W90" s="4"/>
    </row>
    <row r="91" spans="1:23" s="32" customFormat="1" ht="14.4" hidden="1" customHeight="1" x14ac:dyDescent="0.3">
      <c r="A91" s="22" t="s">
        <v>21</v>
      </c>
      <c r="B91" s="21">
        <v>45996</v>
      </c>
      <c r="C91" s="22" t="s">
        <v>26</v>
      </c>
      <c r="D91" s="24" t="s">
        <v>24</v>
      </c>
      <c r="E91" s="24" t="s">
        <v>53</v>
      </c>
      <c r="F91" s="25" t="s">
        <v>127</v>
      </c>
      <c r="G91" s="21">
        <v>45996</v>
      </c>
      <c r="H91" s="21">
        <v>45996</v>
      </c>
      <c r="I91" s="21">
        <v>45996</v>
      </c>
      <c r="J91" s="21"/>
      <c r="K91" s="45">
        <v>0.33333333333333331</v>
      </c>
      <c r="L91" s="45">
        <v>0.5</v>
      </c>
      <c r="M91" s="11">
        <f t="shared" si="1"/>
        <v>4</v>
      </c>
      <c r="N91" s="11" t="s">
        <v>0</v>
      </c>
      <c r="P91" s="4"/>
      <c r="Q91" s="4"/>
      <c r="R91" s="4"/>
      <c r="S91" s="4"/>
      <c r="T91" s="4"/>
      <c r="U91" s="4"/>
      <c r="V91" s="4"/>
      <c r="W91" s="4"/>
    </row>
    <row r="92" spans="1:23" s="32" customFormat="1" ht="14.4" hidden="1" customHeight="1" x14ac:dyDescent="0.3">
      <c r="A92" s="22" t="s">
        <v>21</v>
      </c>
      <c r="B92" s="21">
        <v>45996</v>
      </c>
      <c r="C92" s="22" t="s">
        <v>26</v>
      </c>
      <c r="D92" s="24" t="s">
        <v>24</v>
      </c>
      <c r="E92" s="24" t="s">
        <v>128</v>
      </c>
      <c r="F92" s="25" t="s">
        <v>129</v>
      </c>
      <c r="G92" s="21">
        <v>45996</v>
      </c>
      <c r="H92" s="21">
        <v>45996</v>
      </c>
      <c r="I92" s="21"/>
      <c r="J92" s="21"/>
      <c r="K92" s="45">
        <v>0.5</v>
      </c>
      <c r="L92" s="45">
        <v>0.75</v>
      </c>
      <c r="M92" s="11">
        <f t="shared" si="1"/>
        <v>6</v>
      </c>
      <c r="N92" s="11" t="s">
        <v>1</v>
      </c>
      <c r="P92" s="4"/>
      <c r="Q92" s="4"/>
      <c r="R92" s="4"/>
      <c r="S92" s="4"/>
      <c r="T92" s="4"/>
      <c r="U92" s="4"/>
      <c r="V92" s="4"/>
      <c r="W92" s="4"/>
    </row>
    <row r="93" spans="1:23" s="32" customFormat="1" ht="14.4" hidden="1" customHeight="1" x14ac:dyDescent="0.3">
      <c r="A93" s="22" t="s">
        <v>21</v>
      </c>
      <c r="B93" s="21">
        <v>45996</v>
      </c>
      <c r="C93" s="22" t="s">
        <v>50</v>
      </c>
      <c r="D93" s="24" t="s">
        <v>27</v>
      </c>
      <c r="E93" s="24" t="s">
        <v>110</v>
      </c>
      <c r="F93" s="27" t="s">
        <v>111</v>
      </c>
      <c r="G93" s="21">
        <v>45996</v>
      </c>
      <c r="H93" s="21">
        <v>45996</v>
      </c>
      <c r="I93" s="21">
        <v>45996</v>
      </c>
      <c r="J93" s="21"/>
      <c r="K93" s="45">
        <v>0.33333333333333331</v>
      </c>
      <c r="L93" s="45">
        <v>0.70833333333333337</v>
      </c>
      <c r="M93" s="11">
        <f t="shared" si="1"/>
        <v>9.0000000000000018</v>
      </c>
      <c r="N93" s="11" t="s">
        <v>0</v>
      </c>
      <c r="P93" s="4"/>
      <c r="Q93" s="4"/>
      <c r="R93" s="4"/>
      <c r="S93" s="4"/>
      <c r="T93" s="4"/>
      <c r="U93" s="4"/>
      <c r="V93" s="4"/>
      <c r="W93" s="4"/>
    </row>
    <row r="94" spans="1:23" s="32" customFormat="1" ht="14.4" hidden="1" customHeight="1" x14ac:dyDescent="0.3">
      <c r="A94" s="22" t="s">
        <v>21</v>
      </c>
      <c r="B94" s="21">
        <v>45996</v>
      </c>
      <c r="C94" s="22" t="s">
        <v>51</v>
      </c>
      <c r="D94" s="24" t="s">
        <v>27</v>
      </c>
      <c r="E94" s="24" t="s">
        <v>110</v>
      </c>
      <c r="F94" s="27" t="s">
        <v>111</v>
      </c>
      <c r="G94" s="21">
        <v>45996</v>
      </c>
      <c r="H94" s="21">
        <v>45996</v>
      </c>
      <c r="I94" s="21">
        <v>45996</v>
      </c>
      <c r="J94" s="70"/>
      <c r="K94" s="44">
        <v>0.3125</v>
      </c>
      <c r="L94" s="45">
        <v>0.6875</v>
      </c>
      <c r="M94" s="11">
        <f t="shared" si="1"/>
        <v>9</v>
      </c>
      <c r="N94" s="11" t="s">
        <v>0</v>
      </c>
      <c r="P94" s="4"/>
      <c r="Q94" s="4"/>
      <c r="R94" s="4"/>
      <c r="S94" s="4"/>
      <c r="T94" s="4"/>
      <c r="U94" s="4"/>
      <c r="V94" s="4"/>
      <c r="W94" s="4"/>
    </row>
    <row r="95" spans="1:23" s="32" customFormat="1" ht="14.4" hidden="1" customHeight="1" x14ac:dyDescent="0.3">
      <c r="A95" s="22" t="s">
        <v>21</v>
      </c>
      <c r="B95" s="21">
        <v>45996</v>
      </c>
      <c r="C95" s="22" t="s">
        <v>18</v>
      </c>
      <c r="D95" s="214" t="s">
        <v>8</v>
      </c>
      <c r="E95" s="214" t="s">
        <v>141</v>
      </c>
      <c r="F95" s="28" t="s">
        <v>84</v>
      </c>
      <c r="G95" s="219">
        <v>45995</v>
      </c>
      <c r="H95" s="219">
        <v>45996</v>
      </c>
      <c r="I95" s="21"/>
      <c r="J95" s="21"/>
      <c r="K95" s="45">
        <v>0.3125</v>
      </c>
      <c r="L95" s="45">
        <v>0.5</v>
      </c>
      <c r="M95" s="11">
        <f t="shared" si="1"/>
        <v>4.5</v>
      </c>
      <c r="N95" s="214" t="s">
        <v>1</v>
      </c>
      <c r="P95" s="4"/>
      <c r="Q95" s="4"/>
      <c r="R95" s="4"/>
      <c r="S95" s="4"/>
      <c r="T95" s="4"/>
      <c r="U95" s="4"/>
      <c r="V95" s="4"/>
      <c r="W95" s="4"/>
    </row>
    <row r="96" spans="1:23" s="32" customFormat="1" ht="14.4" hidden="1" customHeight="1" x14ac:dyDescent="0.3">
      <c r="A96" s="22" t="s">
        <v>21</v>
      </c>
      <c r="B96" s="21">
        <v>45996</v>
      </c>
      <c r="C96" s="22" t="s">
        <v>36</v>
      </c>
      <c r="D96" s="215"/>
      <c r="E96" s="215"/>
      <c r="F96" s="29"/>
      <c r="G96" s="220"/>
      <c r="H96" s="220"/>
      <c r="I96" s="21"/>
      <c r="J96" s="21"/>
      <c r="K96" s="45">
        <v>0.3125</v>
      </c>
      <c r="L96" s="45">
        <v>0.5</v>
      </c>
      <c r="M96" s="11">
        <f t="shared" si="1"/>
        <v>4.5</v>
      </c>
      <c r="N96" s="215"/>
      <c r="P96" s="4"/>
      <c r="Q96" s="4"/>
      <c r="R96" s="4"/>
      <c r="S96" s="4"/>
      <c r="T96" s="4"/>
      <c r="U96" s="4"/>
      <c r="V96" s="4"/>
      <c r="W96" s="4"/>
    </row>
    <row r="97" spans="1:23" s="32" customFormat="1" ht="14.4" hidden="1" customHeight="1" x14ac:dyDescent="0.3">
      <c r="A97" s="22" t="s">
        <v>21</v>
      </c>
      <c r="B97" s="21">
        <v>45996</v>
      </c>
      <c r="C97" s="22" t="s">
        <v>56</v>
      </c>
      <c r="D97" s="24" t="s">
        <v>43</v>
      </c>
      <c r="E97" s="24" t="s">
        <v>142</v>
      </c>
      <c r="F97" s="25" t="s">
        <v>143</v>
      </c>
      <c r="G97" s="21">
        <v>45996</v>
      </c>
      <c r="H97" s="21">
        <v>45996</v>
      </c>
      <c r="I97" s="21"/>
      <c r="J97" s="70"/>
      <c r="K97" s="44">
        <v>0.3125</v>
      </c>
      <c r="L97" s="45">
        <v>0.66666666666666663</v>
      </c>
      <c r="M97" s="11">
        <f t="shared" si="1"/>
        <v>8.5</v>
      </c>
      <c r="N97" s="11" t="s">
        <v>0</v>
      </c>
      <c r="P97" s="4"/>
      <c r="Q97" s="4"/>
      <c r="R97" s="4"/>
      <c r="S97" s="4"/>
      <c r="T97" s="4"/>
      <c r="U97" s="4"/>
      <c r="V97" s="4"/>
      <c r="W97" s="4"/>
    </row>
    <row r="98" spans="1:23" s="32" customFormat="1" ht="14.4" hidden="1" customHeight="1" x14ac:dyDescent="0.3">
      <c r="A98" s="22" t="s">
        <v>21</v>
      </c>
      <c r="B98" s="21">
        <v>45996</v>
      </c>
      <c r="C98" s="22" t="s">
        <v>56</v>
      </c>
      <c r="D98" s="13" t="s">
        <v>8</v>
      </c>
      <c r="E98" s="13" t="s">
        <v>148</v>
      </c>
      <c r="F98" s="26" t="s">
        <v>149</v>
      </c>
      <c r="G98" s="21">
        <v>45996</v>
      </c>
      <c r="H98" s="21">
        <v>45996</v>
      </c>
      <c r="I98" s="21"/>
      <c r="J98" s="21"/>
      <c r="K98" s="45">
        <v>0.66666666666666663</v>
      </c>
      <c r="L98" s="45">
        <v>0.70833333333333337</v>
      </c>
      <c r="M98" s="11">
        <f t="shared" si="1"/>
        <v>1.0000000000000018</v>
      </c>
      <c r="N98" s="11" t="s">
        <v>0</v>
      </c>
      <c r="P98" s="4"/>
      <c r="Q98" s="4"/>
      <c r="R98" s="4"/>
      <c r="S98" s="4"/>
      <c r="T98" s="4"/>
      <c r="U98" s="4"/>
      <c r="V98" s="4"/>
      <c r="W98" s="4"/>
    </row>
    <row r="99" spans="1:23" s="32" customFormat="1" ht="28.95" hidden="1" customHeight="1" x14ac:dyDescent="0.3">
      <c r="A99" s="22" t="s">
        <v>21</v>
      </c>
      <c r="B99" s="21">
        <v>45996</v>
      </c>
      <c r="C99" s="22" t="s">
        <v>25</v>
      </c>
      <c r="D99" s="216" t="s">
        <v>54</v>
      </c>
      <c r="E99" s="216" t="s">
        <v>144</v>
      </c>
      <c r="F99" s="26" t="s">
        <v>86</v>
      </c>
      <c r="G99" s="21">
        <v>45996</v>
      </c>
      <c r="H99" s="21">
        <v>45996</v>
      </c>
      <c r="I99" s="21">
        <v>45996</v>
      </c>
      <c r="J99" s="21"/>
      <c r="K99" s="45">
        <v>0.3125</v>
      </c>
      <c r="L99" s="45">
        <v>0.70833333333333337</v>
      </c>
      <c r="M99" s="11">
        <f t="shared" si="1"/>
        <v>9.5</v>
      </c>
      <c r="N99" s="214" t="s">
        <v>0</v>
      </c>
      <c r="P99" s="4"/>
      <c r="Q99" s="4"/>
      <c r="R99" s="4"/>
      <c r="S99" s="4"/>
      <c r="T99" s="4"/>
      <c r="U99" s="4"/>
      <c r="V99" s="4"/>
      <c r="W99" s="4"/>
    </row>
    <row r="100" spans="1:23" s="32" customFormat="1" ht="14.4" hidden="1" customHeight="1" x14ac:dyDescent="0.3">
      <c r="A100" s="12" t="s">
        <v>21</v>
      </c>
      <c r="B100" s="19">
        <v>45996</v>
      </c>
      <c r="C100" s="12" t="s">
        <v>118</v>
      </c>
      <c r="D100" s="217"/>
      <c r="E100" s="217"/>
      <c r="F100" s="27"/>
      <c r="G100" s="21">
        <v>45996</v>
      </c>
      <c r="H100" s="21">
        <v>45996</v>
      </c>
      <c r="I100" s="21">
        <v>45996</v>
      </c>
      <c r="J100" s="21"/>
      <c r="K100" s="45">
        <v>0.3125</v>
      </c>
      <c r="L100" s="45">
        <v>0.70833333333333337</v>
      </c>
      <c r="M100" s="11">
        <f t="shared" si="1"/>
        <v>9.5</v>
      </c>
      <c r="N100" s="215"/>
      <c r="P100" s="4"/>
      <c r="Q100" s="4"/>
      <c r="R100" s="4"/>
      <c r="S100" s="4"/>
      <c r="T100" s="4"/>
      <c r="U100" s="4"/>
      <c r="V100" s="4"/>
      <c r="W100" s="4"/>
    </row>
    <row r="101" spans="1:23" s="32" customFormat="1" ht="14.4" hidden="1" customHeight="1" x14ac:dyDescent="0.3">
      <c r="A101" s="22" t="s">
        <v>21</v>
      </c>
      <c r="B101" s="21">
        <v>45996</v>
      </c>
      <c r="C101" s="22" t="s">
        <v>55</v>
      </c>
      <c r="D101" s="24" t="s">
        <v>43</v>
      </c>
      <c r="E101" s="13" t="s">
        <v>145</v>
      </c>
      <c r="F101" s="26" t="s">
        <v>146</v>
      </c>
      <c r="G101" s="21">
        <v>45996</v>
      </c>
      <c r="H101" s="21">
        <v>45997</v>
      </c>
      <c r="I101" s="21"/>
      <c r="J101" s="70"/>
      <c r="K101" s="44">
        <v>0.3125</v>
      </c>
      <c r="L101" s="45">
        <v>0.72916666666666663</v>
      </c>
      <c r="M101" s="11">
        <f t="shared" si="1"/>
        <v>10</v>
      </c>
      <c r="N101" s="67" t="s">
        <v>1</v>
      </c>
      <c r="P101" s="4"/>
      <c r="Q101" s="4"/>
      <c r="R101" s="4"/>
      <c r="S101" s="4"/>
      <c r="T101" s="4"/>
      <c r="U101" s="4"/>
      <c r="V101" s="4"/>
      <c r="W101" s="4"/>
    </row>
    <row r="102" spans="1:23" s="32" customFormat="1" ht="14.4" hidden="1" customHeight="1" x14ac:dyDescent="0.3">
      <c r="A102" s="22" t="s">
        <v>20</v>
      </c>
      <c r="B102" s="21">
        <v>45996</v>
      </c>
      <c r="C102" s="22" t="s">
        <v>135</v>
      </c>
      <c r="D102" s="216" t="s">
        <v>44</v>
      </c>
      <c r="E102" s="216" t="s">
        <v>64</v>
      </c>
      <c r="F102" s="26" t="s">
        <v>136</v>
      </c>
      <c r="G102" s="219">
        <v>45996</v>
      </c>
      <c r="H102" s="219">
        <v>46001</v>
      </c>
      <c r="I102" s="219">
        <v>45996</v>
      </c>
      <c r="J102" s="17"/>
      <c r="K102" s="45">
        <v>0.3125</v>
      </c>
      <c r="L102" s="45">
        <v>0.72916666666666663</v>
      </c>
      <c r="M102" s="11">
        <f t="shared" si="1"/>
        <v>10</v>
      </c>
      <c r="N102" s="214" t="s">
        <v>0</v>
      </c>
      <c r="P102" s="4"/>
      <c r="Q102" s="4"/>
      <c r="R102" s="4"/>
      <c r="S102" s="4"/>
      <c r="T102" s="4"/>
      <c r="U102" s="4"/>
      <c r="V102" s="4"/>
      <c r="W102" s="4"/>
    </row>
    <row r="103" spans="1:23" s="32" customFormat="1" ht="14.4" hidden="1" customHeight="1" x14ac:dyDescent="0.3">
      <c r="A103" s="22" t="s">
        <v>20</v>
      </c>
      <c r="B103" s="21">
        <v>45996</v>
      </c>
      <c r="C103" s="22" t="s">
        <v>14</v>
      </c>
      <c r="D103" s="217"/>
      <c r="E103" s="217"/>
      <c r="F103" s="27"/>
      <c r="G103" s="220"/>
      <c r="H103" s="220"/>
      <c r="I103" s="220"/>
      <c r="J103" s="19"/>
      <c r="K103" s="45">
        <v>0.3125</v>
      </c>
      <c r="L103" s="45">
        <v>0.54166666666666663</v>
      </c>
      <c r="M103" s="11">
        <f t="shared" si="1"/>
        <v>5.4999999999999991</v>
      </c>
      <c r="N103" s="215"/>
      <c r="P103" s="4"/>
      <c r="Q103" s="4"/>
      <c r="R103" s="4"/>
      <c r="S103" s="4"/>
      <c r="T103" s="4"/>
      <c r="U103" s="4"/>
      <c r="V103" s="4"/>
      <c r="W103" s="4"/>
    </row>
    <row r="104" spans="1:23" s="32" customFormat="1" ht="14.4" hidden="1" customHeight="1" x14ac:dyDescent="0.3">
      <c r="A104" s="22" t="s">
        <v>20</v>
      </c>
      <c r="B104" s="21">
        <v>45996</v>
      </c>
      <c r="C104" s="22" t="s">
        <v>135</v>
      </c>
      <c r="D104" s="13" t="s">
        <v>44</v>
      </c>
      <c r="E104" s="20" t="s">
        <v>151</v>
      </c>
      <c r="F104" s="3"/>
      <c r="G104" s="19">
        <v>45996</v>
      </c>
      <c r="H104" s="21">
        <v>45996</v>
      </c>
      <c r="I104" s="21">
        <v>45996</v>
      </c>
      <c r="J104" s="21"/>
      <c r="K104" s="45">
        <v>0.58333333333333337</v>
      </c>
      <c r="L104" s="45">
        <v>0.70833333333333337</v>
      </c>
      <c r="M104" s="11">
        <f t="shared" si="1"/>
        <v>3</v>
      </c>
      <c r="N104" s="34" t="s">
        <v>0</v>
      </c>
      <c r="P104" s="4"/>
      <c r="Q104" s="4"/>
      <c r="R104" s="4"/>
      <c r="S104" s="4"/>
      <c r="T104" s="4"/>
      <c r="U104" s="4"/>
      <c r="V104" s="4"/>
      <c r="W104" s="4"/>
    </row>
    <row r="105" spans="1:23" s="32" customFormat="1" ht="14.4" hidden="1" customHeight="1" x14ac:dyDescent="0.3">
      <c r="A105" s="22" t="s">
        <v>20</v>
      </c>
      <c r="B105" s="21">
        <v>45996</v>
      </c>
      <c r="C105" s="22" t="s">
        <v>33</v>
      </c>
      <c r="D105" s="13" t="s">
        <v>44</v>
      </c>
      <c r="E105" s="13" t="s">
        <v>123</v>
      </c>
      <c r="F105" s="26" t="s">
        <v>137</v>
      </c>
      <c r="G105" s="21">
        <v>45996</v>
      </c>
      <c r="H105" s="21">
        <v>45996</v>
      </c>
      <c r="I105" s="21">
        <v>45996</v>
      </c>
      <c r="J105" s="21"/>
      <c r="K105" s="45">
        <v>0.33333333333333331</v>
      </c>
      <c r="L105" s="45">
        <v>0.45833333333333331</v>
      </c>
      <c r="M105" s="11">
        <f t="shared" si="1"/>
        <v>3</v>
      </c>
      <c r="N105" s="34" t="s">
        <v>0</v>
      </c>
      <c r="P105" s="4"/>
      <c r="Q105" s="4"/>
      <c r="R105" s="4"/>
      <c r="S105" s="4"/>
      <c r="T105" s="4"/>
      <c r="U105" s="4"/>
      <c r="V105" s="4"/>
      <c r="W105" s="4"/>
    </row>
    <row r="106" spans="1:23" s="32" customFormat="1" ht="14.4" hidden="1" customHeight="1" x14ac:dyDescent="0.3">
      <c r="A106" s="22" t="s">
        <v>20</v>
      </c>
      <c r="B106" s="21">
        <v>45996</v>
      </c>
      <c r="C106" s="22" t="s">
        <v>13</v>
      </c>
      <c r="D106" s="24" t="s">
        <v>27</v>
      </c>
      <c r="E106" s="24" t="s">
        <v>150</v>
      </c>
      <c r="F106" s="25" t="s">
        <v>138</v>
      </c>
      <c r="G106" s="21">
        <v>45996</v>
      </c>
      <c r="H106" s="21">
        <v>45996</v>
      </c>
      <c r="I106" s="21">
        <v>45996</v>
      </c>
      <c r="J106" s="21"/>
      <c r="K106" s="45">
        <v>0.33333333333333331</v>
      </c>
      <c r="L106" s="45">
        <v>0.70833333333333337</v>
      </c>
      <c r="M106" s="11">
        <f t="shared" si="1"/>
        <v>9.0000000000000018</v>
      </c>
      <c r="N106" s="62" t="s">
        <v>0</v>
      </c>
      <c r="P106" s="4"/>
      <c r="Q106" s="4"/>
      <c r="R106" s="4"/>
      <c r="S106" s="4"/>
      <c r="T106" s="4"/>
      <c r="U106" s="4"/>
      <c r="V106" s="4"/>
      <c r="W106" s="4"/>
    </row>
    <row r="107" spans="1:23" s="32" customFormat="1" ht="14.4" hidden="1" customHeight="1" x14ac:dyDescent="0.3">
      <c r="A107" s="22" t="s">
        <v>20</v>
      </c>
      <c r="B107" s="21">
        <v>45996</v>
      </c>
      <c r="C107" s="22" t="s">
        <v>12</v>
      </c>
      <c r="D107" s="20" t="s">
        <v>44</v>
      </c>
      <c r="E107" s="24" t="s">
        <v>102</v>
      </c>
      <c r="F107" s="26" t="s">
        <v>139</v>
      </c>
      <c r="G107" s="21">
        <v>45996</v>
      </c>
      <c r="H107" s="21">
        <v>45996</v>
      </c>
      <c r="I107" s="21">
        <v>45996</v>
      </c>
      <c r="J107" s="21"/>
      <c r="K107" s="45">
        <v>0.29166666666666669</v>
      </c>
      <c r="L107" s="44">
        <v>0.5</v>
      </c>
      <c r="M107" s="11">
        <f t="shared" si="1"/>
        <v>5</v>
      </c>
      <c r="N107" s="11" t="s">
        <v>0</v>
      </c>
      <c r="P107" s="4"/>
      <c r="Q107" s="4"/>
      <c r="R107" s="4"/>
      <c r="S107" s="4"/>
      <c r="T107" s="4"/>
      <c r="U107" s="4"/>
      <c r="V107" s="4"/>
      <c r="W107" s="4"/>
    </row>
    <row r="108" spans="1:23" s="32" customFormat="1" ht="14.4" hidden="1" customHeight="1" x14ac:dyDescent="0.3">
      <c r="A108" s="22" t="s">
        <v>20</v>
      </c>
      <c r="B108" s="21">
        <v>45996</v>
      </c>
      <c r="C108" s="22" t="s">
        <v>12</v>
      </c>
      <c r="D108" s="24" t="s">
        <v>27</v>
      </c>
      <c r="E108" s="24" t="s">
        <v>117</v>
      </c>
      <c r="F108" s="25" t="s">
        <v>140</v>
      </c>
      <c r="G108" s="21">
        <v>45996</v>
      </c>
      <c r="H108" s="21">
        <v>45996</v>
      </c>
      <c r="I108" s="21">
        <v>45996</v>
      </c>
      <c r="J108" s="21"/>
      <c r="K108" s="45">
        <v>0.54166666666666663</v>
      </c>
      <c r="L108" s="45">
        <v>0.64583333333333337</v>
      </c>
      <c r="M108" s="11">
        <f t="shared" si="1"/>
        <v>2.5000000000000018</v>
      </c>
      <c r="N108" s="11" t="s">
        <v>0</v>
      </c>
      <c r="P108" s="4"/>
      <c r="Q108" s="4"/>
      <c r="R108" s="4"/>
      <c r="S108" s="4"/>
      <c r="T108" s="4"/>
      <c r="U108" s="4"/>
      <c r="V108" s="4"/>
      <c r="W108" s="4"/>
    </row>
    <row r="109" spans="1:23" s="32" customFormat="1" ht="14.4" hidden="1" customHeight="1" x14ac:dyDescent="0.3">
      <c r="A109" s="22" t="s">
        <v>20</v>
      </c>
      <c r="B109" s="21">
        <v>45999</v>
      </c>
      <c r="C109" s="22" t="s">
        <v>28</v>
      </c>
      <c r="D109" s="216" t="s">
        <v>65</v>
      </c>
      <c r="E109" s="216" t="s">
        <v>158</v>
      </c>
      <c r="F109" s="26" t="s">
        <v>159</v>
      </c>
      <c r="G109" s="219">
        <v>45999</v>
      </c>
      <c r="H109" s="219">
        <v>45999</v>
      </c>
      <c r="I109" s="219">
        <v>45999</v>
      </c>
      <c r="J109" s="101"/>
      <c r="K109" s="44">
        <v>0.33333333333333331</v>
      </c>
      <c r="L109" s="45">
        <v>0.45833333333333331</v>
      </c>
      <c r="M109" s="11">
        <f t="shared" si="1"/>
        <v>3</v>
      </c>
      <c r="N109" s="214" t="s">
        <v>0</v>
      </c>
      <c r="P109" s="4"/>
      <c r="Q109" s="4"/>
      <c r="R109" s="4"/>
      <c r="S109" s="4"/>
      <c r="T109" s="4"/>
      <c r="U109" s="4"/>
      <c r="V109" s="4"/>
      <c r="W109" s="4"/>
    </row>
    <row r="110" spans="1:23" s="32" customFormat="1" ht="14.4" hidden="1" customHeight="1" x14ac:dyDescent="0.3">
      <c r="A110" s="22" t="s">
        <v>20</v>
      </c>
      <c r="B110" s="21">
        <v>45999</v>
      </c>
      <c r="C110" s="22" t="s">
        <v>31</v>
      </c>
      <c r="D110" s="217"/>
      <c r="E110" s="217"/>
      <c r="F110" s="27"/>
      <c r="G110" s="220"/>
      <c r="H110" s="220"/>
      <c r="I110" s="220"/>
      <c r="J110" s="102"/>
      <c r="K110" s="44">
        <v>0.3125</v>
      </c>
      <c r="L110" s="45">
        <v>0.35416666666666669</v>
      </c>
      <c r="M110" s="11">
        <f t="shared" si="1"/>
        <v>1.0000000000000004</v>
      </c>
      <c r="N110" s="215"/>
      <c r="P110" s="4"/>
      <c r="Q110" s="4"/>
      <c r="R110" s="4"/>
      <c r="S110" s="4"/>
      <c r="T110" s="4"/>
      <c r="U110" s="4"/>
      <c r="V110" s="4"/>
      <c r="W110" s="4"/>
    </row>
    <row r="111" spans="1:23" s="32" customFormat="1" ht="14.4" hidden="1" customHeight="1" x14ac:dyDescent="0.3">
      <c r="A111" s="22" t="s">
        <v>20</v>
      </c>
      <c r="B111" s="21">
        <v>45999</v>
      </c>
      <c r="C111" s="22" t="s">
        <v>28</v>
      </c>
      <c r="D111" s="216" t="s">
        <v>65</v>
      </c>
      <c r="E111" s="216" t="s">
        <v>113</v>
      </c>
      <c r="F111" s="26" t="s">
        <v>160</v>
      </c>
      <c r="G111" s="219">
        <v>45995</v>
      </c>
      <c r="H111" s="219">
        <v>45999</v>
      </c>
      <c r="I111" s="219">
        <v>45999</v>
      </c>
      <c r="J111" s="17"/>
      <c r="K111" s="45">
        <v>0.45833333333333331</v>
      </c>
      <c r="L111" s="45">
        <v>0.8125</v>
      </c>
      <c r="M111" s="11">
        <f t="shared" si="1"/>
        <v>8.5</v>
      </c>
      <c r="N111" s="214" t="s">
        <v>0</v>
      </c>
      <c r="P111" s="4"/>
      <c r="Q111" s="4"/>
      <c r="R111" s="4"/>
      <c r="S111" s="4"/>
      <c r="T111" s="4"/>
      <c r="U111" s="4"/>
      <c r="V111" s="4"/>
      <c r="W111" s="4"/>
    </row>
    <row r="112" spans="1:23" s="32" customFormat="1" ht="14.4" hidden="1" customHeight="1" x14ac:dyDescent="0.3">
      <c r="A112" s="22" t="s">
        <v>20</v>
      </c>
      <c r="B112" s="21">
        <v>45999</v>
      </c>
      <c r="C112" s="22" t="s">
        <v>31</v>
      </c>
      <c r="D112" s="217"/>
      <c r="E112" s="217"/>
      <c r="F112" s="27"/>
      <c r="G112" s="220"/>
      <c r="H112" s="220"/>
      <c r="I112" s="220"/>
      <c r="J112" s="19"/>
      <c r="K112" s="45">
        <v>0.35416666666666669</v>
      </c>
      <c r="L112" s="45">
        <v>0.4375</v>
      </c>
      <c r="M112" s="11">
        <f t="shared" si="1"/>
        <v>1.9999999999999996</v>
      </c>
      <c r="N112" s="215"/>
      <c r="P112" s="4"/>
      <c r="Q112" s="4"/>
      <c r="R112" s="4"/>
      <c r="S112" s="4"/>
      <c r="T112" s="4"/>
      <c r="U112" s="4"/>
      <c r="V112" s="4"/>
      <c r="W112" s="4"/>
    </row>
    <row r="113" spans="1:23" s="32" customFormat="1" ht="14.4" hidden="1" customHeight="1" x14ac:dyDescent="0.3">
      <c r="A113" s="22" t="s">
        <v>20</v>
      </c>
      <c r="B113" s="21">
        <v>45999</v>
      </c>
      <c r="C113" s="22" t="s">
        <v>16</v>
      </c>
      <c r="D113" s="214" t="s">
        <v>65</v>
      </c>
      <c r="E113" s="216" t="s">
        <v>161</v>
      </c>
      <c r="F113" s="26" t="s">
        <v>162</v>
      </c>
      <c r="G113" s="219">
        <v>45997</v>
      </c>
      <c r="H113" s="219">
        <v>45999</v>
      </c>
      <c r="I113" s="219">
        <v>45999</v>
      </c>
      <c r="J113" s="101"/>
      <c r="K113" s="44">
        <v>0.3125</v>
      </c>
      <c r="L113" s="45">
        <v>0.77083333333333337</v>
      </c>
      <c r="M113" s="11">
        <f t="shared" si="1"/>
        <v>11</v>
      </c>
      <c r="N113" s="214" t="s">
        <v>0</v>
      </c>
      <c r="P113" s="4"/>
      <c r="Q113" s="4"/>
      <c r="R113" s="4"/>
      <c r="S113" s="4"/>
      <c r="T113" s="4"/>
      <c r="U113" s="4"/>
      <c r="V113" s="4"/>
      <c r="W113" s="4"/>
    </row>
    <row r="114" spans="1:23" s="32" customFormat="1" ht="14.4" hidden="1" customHeight="1" x14ac:dyDescent="0.3">
      <c r="A114" s="22" t="s">
        <v>20</v>
      </c>
      <c r="B114" s="21">
        <v>45999</v>
      </c>
      <c r="C114" s="22" t="s">
        <v>31</v>
      </c>
      <c r="D114" s="215"/>
      <c r="E114" s="217"/>
      <c r="F114" s="27"/>
      <c r="G114" s="220"/>
      <c r="H114" s="220"/>
      <c r="I114" s="220"/>
      <c r="J114" s="19"/>
      <c r="K114" s="45">
        <v>0.4375</v>
      </c>
      <c r="L114" s="45">
        <v>0.47916666666666669</v>
      </c>
      <c r="M114" s="11">
        <f t="shared" si="1"/>
        <v>1.0000000000000004</v>
      </c>
      <c r="N114" s="215"/>
      <c r="P114" s="4"/>
      <c r="Q114" s="4"/>
      <c r="R114" s="4"/>
      <c r="S114" s="4"/>
      <c r="T114" s="4"/>
      <c r="U114" s="4"/>
      <c r="V114" s="4"/>
      <c r="W114" s="4"/>
    </row>
    <row r="115" spans="1:23" s="32" customFormat="1" ht="14.4" hidden="1" customHeight="1" x14ac:dyDescent="0.3">
      <c r="A115" s="22" t="s">
        <v>20</v>
      </c>
      <c r="B115" s="21">
        <v>45999</v>
      </c>
      <c r="C115" s="22" t="s">
        <v>17</v>
      </c>
      <c r="D115" s="216" t="s">
        <v>65</v>
      </c>
      <c r="E115" s="216" t="s">
        <v>163</v>
      </c>
      <c r="F115" s="26" t="s">
        <v>68</v>
      </c>
      <c r="G115" s="21">
        <v>45996</v>
      </c>
      <c r="H115" s="21">
        <v>45999</v>
      </c>
      <c r="I115" s="21">
        <v>45999</v>
      </c>
      <c r="J115" s="70"/>
      <c r="K115" s="44">
        <v>0.3125</v>
      </c>
      <c r="L115" s="45">
        <v>0.47916666666666669</v>
      </c>
      <c r="M115" s="11">
        <f t="shared" si="1"/>
        <v>4</v>
      </c>
      <c r="N115" s="214" t="s">
        <v>0</v>
      </c>
      <c r="P115" s="4"/>
      <c r="Q115" s="4"/>
      <c r="R115" s="4"/>
      <c r="S115" s="4"/>
      <c r="T115" s="4"/>
      <c r="U115" s="4"/>
      <c r="V115" s="4"/>
      <c r="W115" s="4"/>
    </row>
    <row r="116" spans="1:23" s="32" customFormat="1" ht="14.4" hidden="1" customHeight="1" x14ac:dyDescent="0.3">
      <c r="A116" s="22" t="s">
        <v>20</v>
      </c>
      <c r="B116" s="21">
        <v>45999</v>
      </c>
      <c r="C116" s="22"/>
      <c r="D116" s="217"/>
      <c r="E116" s="217"/>
      <c r="F116" s="27"/>
      <c r="G116" s="21">
        <v>45996</v>
      </c>
      <c r="H116" s="21">
        <v>45999</v>
      </c>
      <c r="I116" s="21">
        <v>45999</v>
      </c>
      <c r="J116" s="70"/>
      <c r="K116" s="44">
        <v>0.3125</v>
      </c>
      <c r="L116" s="45">
        <v>0.47916666666666669</v>
      </c>
      <c r="M116" s="11">
        <f t="shared" si="1"/>
        <v>4</v>
      </c>
      <c r="N116" s="215"/>
      <c r="P116" s="4"/>
      <c r="Q116" s="4"/>
      <c r="R116" s="4"/>
      <c r="S116" s="4"/>
      <c r="T116" s="4"/>
      <c r="U116" s="4"/>
      <c r="V116" s="4"/>
      <c r="W116" s="4"/>
    </row>
    <row r="117" spans="1:23" s="32" customFormat="1" ht="28.8" hidden="1" customHeight="1" x14ac:dyDescent="0.3">
      <c r="A117" s="22" t="s">
        <v>20</v>
      </c>
      <c r="B117" s="21">
        <v>45999</v>
      </c>
      <c r="C117" s="22" t="s">
        <v>17</v>
      </c>
      <c r="D117" s="13" t="s">
        <v>65</v>
      </c>
      <c r="E117" s="20" t="s">
        <v>197</v>
      </c>
      <c r="F117" s="3" t="s">
        <v>198</v>
      </c>
      <c r="G117" s="21">
        <v>45999</v>
      </c>
      <c r="H117" s="21">
        <v>45999</v>
      </c>
      <c r="I117" s="21">
        <v>45999</v>
      </c>
      <c r="J117" s="70"/>
      <c r="K117" s="44">
        <v>0.47916666666666669</v>
      </c>
      <c r="L117" s="45">
        <v>0.77083333333333337</v>
      </c>
      <c r="M117" s="11">
        <f t="shared" si="1"/>
        <v>7</v>
      </c>
      <c r="N117" s="34" t="s">
        <v>0</v>
      </c>
      <c r="P117" s="4"/>
      <c r="Q117" s="4"/>
      <c r="R117" s="4"/>
      <c r="S117" s="4"/>
      <c r="T117" s="4"/>
      <c r="U117" s="4"/>
      <c r="V117" s="4"/>
      <c r="W117" s="4"/>
    </row>
    <row r="118" spans="1:23" s="32" customFormat="1" ht="14.4" hidden="1" customHeight="1" x14ac:dyDescent="0.3">
      <c r="A118" s="22" t="s">
        <v>20</v>
      </c>
      <c r="B118" s="21">
        <v>45999</v>
      </c>
      <c r="C118" s="22" t="s">
        <v>47</v>
      </c>
      <c r="D118" s="13" t="s">
        <v>65</v>
      </c>
      <c r="E118" s="20" t="s">
        <v>60</v>
      </c>
      <c r="F118" s="3" t="s">
        <v>164</v>
      </c>
      <c r="G118" s="17">
        <v>45989</v>
      </c>
      <c r="H118" s="21">
        <v>45999</v>
      </c>
      <c r="I118" s="21">
        <v>45999</v>
      </c>
      <c r="J118" s="70"/>
      <c r="K118" s="44">
        <v>0.33333333333333331</v>
      </c>
      <c r="L118" s="45">
        <v>0.47916666666666669</v>
      </c>
      <c r="M118" s="11">
        <f t="shared" si="1"/>
        <v>3.5000000000000009</v>
      </c>
      <c r="N118" s="34" t="s">
        <v>0</v>
      </c>
      <c r="P118" s="4"/>
      <c r="Q118" s="4"/>
      <c r="R118" s="4"/>
      <c r="S118" s="4"/>
      <c r="T118" s="4"/>
      <c r="U118" s="4"/>
      <c r="V118" s="4"/>
      <c r="W118" s="4"/>
    </row>
    <row r="119" spans="1:23" s="32" customFormat="1" ht="14.4" hidden="1" customHeight="1" x14ac:dyDescent="0.3">
      <c r="A119" s="22" t="s">
        <v>20</v>
      </c>
      <c r="B119" s="21">
        <v>45999</v>
      </c>
      <c r="C119" s="22" t="s">
        <v>15</v>
      </c>
      <c r="D119" s="216" t="s">
        <v>65</v>
      </c>
      <c r="E119" s="216" t="s">
        <v>92</v>
      </c>
      <c r="F119" s="26" t="s">
        <v>162</v>
      </c>
      <c r="G119" s="219">
        <v>45994</v>
      </c>
      <c r="H119" s="219">
        <v>45999</v>
      </c>
      <c r="I119" s="219">
        <v>45999</v>
      </c>
      <c r="J119" s="101"/>
      <c r="K119" s="44">
        <v>0.41666666666666669</v>
      </c>
      <c r="L119" s="45">
        <v>0.79166666666666663</v>
      </c>
      <c r="M119" s="11">
        <f t="shared" si="1"/>
        <v>8.9999999999999982</v>
      </c>
      <c r="N119" s="214" t="s">
        <v>0</v>
      </c>
      <c r="P119" s="4"/>
      <c r="Q119" s="4"/>
      <c r="R119" s="4"/>
      <c r="S119" s="4"/>
      <c r="T119" s="4"/>
      <c r="U119" s="4"/>
      <c r="V119" s="4"/>
      <c r="W119" s="4"/>
    </row>
    <row r="120" spans="1:23" s="32" customFormat="1" ht="14.4" hidden="1" customHeight="1" x14ac:dyDescent="0.3">
      <c r="A120" s="22" t="s">
        <v>20</v>
      </c>
      <c r="B120" s="21">
        <v>45999</v>
      </c>
      <c r="C120" s="22" t="s">
        <v>31</v>
      </c>
      <c r="D120" s="217"/>
      <c r="E120" s="217"/>
      <c r="F120" s="27"/>
      <c r="G120" s="220"/>
      <c r="H120" s="220"/>
      <c r="I120" s="220"/>
      <c r="J120" s="19"/>
      <c r="K120" s="45">
        <v>0.47916666666666669</v>
      </c>
      <c r="L120" s="45">
        <v>0.54166666666666663</v>
      </c>
      <c r="M120" s="11">
        <f t="shared" si="1"/>
        <v>1.4999999999999987</v>
      </c>
      <c r="N120" s="215"/>
      <c r="P120" s="4"/>
      <c r="Q120" s="4"/>
      <c r="R120" s="4"/>
      <c r="S120" s="4"/>
      <c r="T120" s="4"/>
      <c r="U120" s="4"/>
      <c r="V120" s="4"/>
      <c r="W120" s="4"/>
    </row>
    <row r="121" spans="1:23" s="32" customFormat="1" ht="14.4" hidden="1" customHeight="1" x14ac:dyDescent="0.3">
      <c r="A121" s="22" t="s">
        <v>20</v>
      </c>
      <c r="B121" s="21">
        <v>45999</v>
      </c>
      <c r="C121" s="22" t="s">
        <v>15</v>
      </c>
      <c r="D121" s="216" t="s">
        <v>65</v>
      </c>
      <c r="E121" s="216" t="s">
        <v>165</v>
      </c>
      <c r="F121" s="26" t="s">
        <v>166</v>
      </c>
      <c r="G121" s="21">
        <v>45999</v>
      </c>
      <c r="H121" s="21">
        <v>45999</v>
      </c>
      <c r="I121" s="21">
        <v>45999</v>
      </c>
      <c r="J121" s="21"/>
      <c r="K121" s="45">
        <v>0.33333333333333331</v>
      </c>
      <c r="L121" s="45">
        <v>0.41666666666666669</v>
      </c>
      <c r="M121" s="11">
        <f t="shared" si="1"/>
        <v>2.0000000000000009</v>
      </c>
      <c r="N121" s="214" t="s">
        <v>0</v>
      </c>
      <c r="P121" s="4"/>
      <c r="Q121" s="4"/>
      <c r="R121" s="4"/>
      <c r="S121" s="4"/>
      <c r="T121" s="4"/>
      <c r="U121" s="4"/>
      <c r="V121" s="4"/>
      <c r="W121" s="4"/>
    </row>
    <row r="122" spans="1:23" s="32" customFormat="1" ht="14.4" hidden="1" customHeight="1" x14ac:dyDescent="0.3">
      <c r="A122" s="22" t="s">
        <v>20</v>
      </c>
      <c r="B122" s="21">
        <v>45999</v>
      </c>
      <c r="C122" s="22" t="s">
        <v>35</v>
      </c>
      <c r="D122" s="217"/>
      <c r="E122" s="217"/>
      <c r="F122" s="27"/>
      <c r="G122" s="21">
        <v>45999</v>
      </c>
      <c r="H122" s="21">
        <v>45999</v>
      </c>
      <c r="I122" s="21">
        <v>45999</v>
      </c>
      <c r="J122" s="21"/>
      <c r="K122" s="45">
        <v>0.33333333333333331</v>
      </c>
      <c r="L122" s="45">
        <v>0.41666666666666669</v>
      </c>
      <c r="M122" s="11">
        <f t="shared" si="1"/>
        <v>2.0000000000000009</v>
      </c>
      <c r="N122" s="215"/>
      <c r="P122" s="4"/>
      <c r="Q122" s="4"/>
      <c r="R122" s="4"/>
      <c r="S122" s="4"/>
      <c r="T122" s="4"/>
      <c r="U122" s="4"/>
      <c r="V122" s="4"/>
      <c r="W122" s="4"/>
    </row>
    <row r="123" spans="1:23" s="32" customFormat="1" ht="14.4" hidden="1" customHeight="1" x14ac:dyDescent="0.3">
      <c r="A123" s="22" t="s">
        <v>20</v>
      </c>
      <c r="B123" s="21">
        <v>45999</v>
      </c>
      <c r="C123" s="22" t="s">
        <v>31</v>
      </c>
      <c r="D123" s="24" t="s">
        <v>27</v>
      </c>
      <c r="E123" s="24" t="s">
        <v>117</v>
      </c>
      <c r="F123" s="25" t="s">
        <v>61</v>
      </c>
      <c r="G123" s="21">
        <v>45999</v>
      </c>
      <c r="H123" s="21">
        <v>45999</v>
      </c>
      <c r="I123" s="21">
        <v>45999</v>
      </c>
      <c r="J123" s="21"/>
      <c r="K123" s="45">
        <v>0.58333333333333337</v>
      </c>
      <c r="L123" s="45">
        <v>0.70833333333333337</v>
      </c>
      <c r="M123" s="11">
        <f t="shared" si="1"/>
        <v>3</v>
      </c>
      <c r="N123" s="11" t="s">
        <v>0</v>
      </c>
      <c r="P123" s="4"/>
      <c r="Q123" s="4"/>
      <c r="R123" s="4"/>
      <c r="S123" s="4"/>
      <c r="T123" s="4"/>
      <c r="U123" s="4"/>
      <c r="V123" s="4"/>
      <c r="W123" s="4"/>
    </row>
    <row r="124" spans="1:23" s="32" customFormat="1" ht="14.4" hidden="1" customHeight="1" x14ac:dyDescent="0.3">
      <c r="A124" s="22" t="s">
        <v>19</v>
      </c>
      <c r="B124" s="21">
        <v>45999</v>
      </c>
      <c r="C124" s="22" t="s">
        <v>7</v>
      </c>
      <c r="D124" s="216" t="s">
        <v>8</v>
      </c>
      <c r="E124" s="216" t="s">
        <v>168</v>
      </c>
      <c r="F124" s="26" t="s">
        <v>169</v>
      </c>
      <c r="G124" s="219">
        <v>45997</v>
      </c>
      <c r="H124" s="219">
        <v>45999</v>
      </c>
      <c r="I124" s="219">
        <v>45999</v>
      </c>
      <c r="J124" s="17"/>
      <c r="K124" s="47">
        <v>0.3125</v>
      </c>
      <c r="L124" s="47">
        <v>0.54166666666666663</v>
      </c>
      <c r="M124" s="11">
        <f t="shared" si="1"/>
        <v>5.4999999999999991</v>
      </c>
      <c r="N124" s="214" t="s">
        <v>0</v>
      </c>
      <c r="P124" s="4"/>
      <c r="Q124" s="4"/>
      <c r="R124" s="4"/>
      <c r="S124" s="4"/>
      <c r="T124" s="4"/>
      <c r="U124" s="4"/>
      <c r="V124" s="4"/>
      <c r="W124" s="4"/>
    </row>
    <row r="125" spans="1:23" s="32" customFormat="1" ht="14.4" hidden="1" customHeight="1" x14ac:dyDescent="0.3">
      <c r="A125" s="22" t="s">
        <v>19</v>
      </c>
      <c r="B125" s="21">
        <v>45999</v>
      </c>
      <c r="C125" s="22" t="s">
        <v>167</v>
      </c>
      <c r="D125" s="217"/>
      <c r="E125" s="217"/>
      <c r="F125" s="27"/>
      <c r="G125" s="220"/>
      <c r="H125" s="220"/>
      <c r="I125" s="220"/>
      <c r="J125" s="19"/>
      <c r="K125" s="46">
        <v>0.3125</v>
      </c>
      <c r="L125" s="46">
        <v>0.54166666666666663</v>
      </c>
      <c r="M125" s="11">
        <f t="shared" si="1"/>
        <v>5.4999999999999991</v>
      </c>
      <c r="N125" s="215"/>
      <c r="P125" s="4"/>
      <c r="Q125" s="4"/>
      <c r="R125" s="4"/>
      <c r="S125" s="4"/>
      <c r="T125" s="4"/>
      <c r="U125" s="4"/>
      <c r="V125" s="4"/>
      <c r="W125" s="4"/>
    </row>
    <row r="126" spans="1:23" s="32" customFormat="1" ht="14.4" hidden="1" customHeight="1" x14ac:dyDescent="0.3">
      <c r="A126" s="22" t="s">
        <v>19</v>
      </c>
      <c r="B126" s="21">
        <v>45999</v>
      </c>
      <c r="C126" s="22">
        <v>142744</v>
      </c>
      <c r="D126" s="216" t="s">
        <v>8</v>
      </c>
      <c r="E126" s="216" t="s">
        <v>170</v>
      </c>
      <c r="F126" s="26" t="s">
        <v>194</v>
      </c>
      <c r="G126" s="219">
        <v>45999</v>
      </c>
      <c r="H126" s="219">
        <v>45999</v>
      </c>
      <c r="I126" s="219"/>
      <c r="J126" s="17"/>
      <c r="K126" s="47">
        <v>0.3125</v>
      </c>
      <c r="L126" s="45">
        <v>0.5</v>
      </c>
      <c r="M126" s="11">
        <f t="shared" si="1"/>
        <v>4.5</v>
      </c>
      <c r="N126" s="214" t="s">
        <v>30</v>
      </c>
      <c r="P126" s="4"/>
      <c r="Q126" s="4"/>
      <c r="R126" s="4"/>
      <c r="S126" s="4"/>
      <c r="T126" s="4"/>
      <c r="U126" s="4"/>
      <c r="V126" s="4"/>
      <c r="W126" s="4"/>
    </row>
    <row r="127" spans="1:23" s="32" customFormat="1" ht="14.4" hidden="1" customHeight="1" x14ac:dyDescent="0.3">
      <c r="A127" s="22" t="s">
        <v>19</v>
      </c>
      <c r="B127" s="21">
        <v>45999</v>
      </c>
      <c r="C127" s="22">
        <v>143344</v>
      </c>
      <c r="D127" s="217"/>
      <c r="E127" s="217"/>
      <c r="F127" s="27"/>
      <c r="G127" s="220"/>
      <c r="H127" s="220"/>
      <c r="I127" s="220"/>
      <c r="J127" s="19"/>
      <c r="K127" s="46">
        <v>0.3125</v>
      </c>
      <c r="L127" s="45">
        <v>0.5</v>
      </c>
      <c r="M127" s="11">
        <f t="shared" si="1"/>
        <v>4.5</v>
      </c>
      <c r="N127" s="215"/>
      <c r="P127" s="4"/>
      <c r="Q127" s="4"/>
      <c r="R127" s="4"/>
      <c r="S127" s="4"/>
      <c r="T127" s="4"/>
      <c r="U127" s="4"/>
      <c r="V127" s="4"/>
      <c r="W127" s="4"/>
    </row>
    <row r="128" spans="1:23" s="32" customFormat="1" ht="14.4" hidden="1" customHeight="1" x14ac:dyDescent="0.3">
      <c r="A128" s="22" t="s">
        <v>19</v>
      </c>
      <c r="B128" s="21">
        <v>45999</v>
      </c>
      <c r="C128" s="22">
        <v>142744</v>
      </c>
      <c r="D128" s="216" t="s">
        <v>8</v>
      </c>
      <c r="E128" s="216" t="s">
        <v>75</v>
      </c>
      <c r="F128" s="26" t="s">
        <v>171</v>
      </c>
      <c r="G128" s="65">
        <v>45996</v>
      </c>
      <c r="H128" s="21">
        <v>45999</v>
      </c>
      <c r="I128" s="21">
        <v>45999</v>
      </c>
      <c r="J128" s="19"/>
      <c r="K128" s="46">
        <v>0.54166666666666663</v>
      </c>
      <c r="L128" s="45">
        <v>0.6875</v>
      </c>
      <c r="M128" s="11">
        <f t="shared" si="1"/>
        <v>3.5000000000000009</v>
      </c>
      <c r="N128" s="214" t="s">
        <v>0</v>
      </c>
      <c r="P128" s="4"/>
      <c r="Q128" s="4"/>
      <c r="R128" s="4"/>
      <c r="S128" s="4"/>
      <c r="T128" s="4"/>
      <c r="U128" s="4"/>
      <c r="V128" s="4"/>
      <c r="W128" s="4"/>
    </row>
    <row r="129" spans="1:23" s="32" customFormat="1" ht="14.4" hidden="1" customHeight="1" x14ac:dyDescent="0.3">
      <c r="A129" s="22" t="s">
        <v>19</v>
      </c>
      <c r="B129" s="21">
        <v>45999</v>
      </c>
      <c r="C129" s="22" t="s">
        <v>7</v>
      </c>
      <c r="D129" s="217"/>
      <c r="E129" s="217"/>
      <c r="F129" s="27"/>
      <c r="G129" s="65">
        <v>45996</v>
      </c>
      <c r="H129" s="21">
        <v>45999</v>
      </c>
      <c r="I129" s="21">
        <v>45999</v>
      </c>
      <c r="J129" s="19"/>
      <c r="K129" s="46">
        <v>0.54166666666666663</v>
      </c>
      <c r="L129" s="45">
        <v>0.6875</v>
      </c>
      <c r="M129" s="11">
        <f t="shared" si="1"/>
        <v>3.5000000000000009</v>
      </c>
      <c r="N129" s="215"/>
      <c r="P129" s="4"/>
      <c r="Q129" s="4"/>
      <c r="R129" s="4"/>
      <c r="S129" s="4"/>
      <c r="T129" s="4"/>
      <c r="U129" s="4"/>
      <c r="V129" s="4"/>
      <c r="W129" s="4"/>
    </row>
    <row r="130" spans="1:23" s="32" customFormat="1" ht="14.4" hidden="1" customHeight="1" x14ac:dyDescent="0.3">
      <c r="A130" s="22" t="s">
        <v>19</v>
      </c>
      <c r="B130" s="21">
        <v>45999</v>
      </c>
      <c r="C130" s="22" t="s">
        <v>56</v>
      </c>
      <c r="D130" s="14" t="s">
        <v>8</v>
      </c>
      <c r="E130" s="14" t="s">
        <v>75</v>
      </c>
      <c r="F130" s="27" t="s">
        <v>196</v>
      </c>
      <c r="G130" s="65">
        <v>45996</v>
      </c>
      <c r="H130" s="21">
        <v>45999</v>
      </c>
      <c r="I130" s="21">
        <v>45999</v>
      </c>
      <c r="J130" s="19"/>
      <c r="K130" s="46">
        <v>0.625</v>
      </c>
      <c r="L130" s="45">
        <v>0.64583333333333337</v>
      </c>
      <c r="M130" s="11">
        <f t="shared" si="1"/>
        <v>0.50000000000000089</v>
      </c>
      <c r="N130" s="34" t="s">
        <v>0</v>
      </c>
      <c r="P130" s="4"/>
      <c r="Q130" s="4"/>
      <c r="R130" s="4"/>
      <c r="S130" s="4"/>
      <c r="T130" s="4"/>
      <c r="U130" s="4"/>
      <c r="V130" s="4"/>
      <c r="W130" s="4"/>
    </row>
    <row r="131" spans="1:23" s="32" customFormat="1" ht="14.4" hidden="1" customHeight="1" x14ac:dyDescent="0.3">
      <c r="A131" s="22" t="s">
        <v>19</v>
      </c>
      <c r="B131" s="21">
        <v>45999</v>
      </c>
      <c r="C131" s="22" t="s">
        <v>56</v>
      </c>
      <c r="D131" s="14" t="s">
        <v>8</v>
      </c>
      <c r="E131" s="14" t="s">
        <v>168</v>
      </c>
      <c r="F131" s="27" t="s">
        <v>195</v>
      </c>
      <c r="G131" s="65">
        <v>45997</v>
      </c>
      <c r="H131" s="21">
        <v>45999</v>
      </c>
      <c r="I131" s="21">
        <v>45999</v>
      </c>
      <c r="J131" s="21"/>
      <c r="K131" s="45">
        <v>0.64583333333333337</v>
      </c>
      <c r="L131" s="45">
        <v>0.6875</v>
      </c>
      <c r="M131" s="11">
        <f t="shared" ref="M131:M194" si="2">MOD(L131-K131,1)*24</f>
        <v>0.99999999999999911</v>
      </c>
      <c r="N131" s="34" t="s">
        <v>0</v>
      </c>
      <c r="P131" s="4"/>
      <c r="Q131" s="4"/>
      <c r="R131" s="4"/>
      <c r="S131" s="4"/>
      <c r="T131" s="4"/>
      <c r="U131" s="4"/>
      <c r="V131" s="4"/>
      <c r="W131" s="4"/>
    </row>
    <row r="132" spans="1:23" s="32" customFormat="1" ht="14.4" hidden="1" customHeight="1" x14ac:dyDescent="0.3">
      <c r="A132" s="22" t="s">
        <v>21</v>
      </c>
      <c r="B132" s="21">
        <v>45999</v>
      </c>
      <c r="C132" s="22" t="s">
        <v>26</v>
      </c>
      <c r="D132" s="24" t="s">
        <v>27</v>
      </c>
      <c r="E132" s="24" t="s">
        <v>82</v>
      </c>
      <c r="F132" s="25" t="s">
        <v>172</v>
      </c>
      <c r="G132" s="21">
        <v>45999</v>
      </c>
      <c r="H132" s="21">
        <v>45999</v>
      </c>
      <c r="I132" s="21">
        <v>45999</v>
      </c>
      <c r="J132" s="21"/>
      <c r="K132" s="45">
        <v>0.33333333333333331</v>
      </c>
      <c r="L132" s="45">
        <v>0.70833333333333337</v>
      </c>
      <c r="M132" s="11">
        <f t="shared" si="2"/>
        <v>9.0000000000000018</v>
      </c>
      <c r="N132" s="34" t="s">
        <v>0</v>
      </c>
      <c r="P132" s="4"/>
      <c r="Q132" s="4"/>
      <c r="R132" s="4"/>
      <c r="S132" s="4"/>
      <c r="T132" s="4"/>
      <c r="U132" s="4"/>
      <c r="V132" s="4"/>
      <c r="W132" s="4"/>
    </row>
    <row r="133" spans="1:23" s="32" customFormat="1" ht="14.4" hidden="1" customHeight="1" x14ac:dyDescent="0.3">
      <c r="A133" s="22" t="s">
        <v>21</v>
      </c>
      <c r="B133" s="21">
        <v>45999</v>
      </c>
      <c r="C133" s="22" t="s">
        <v>50</v>
      </c>
      <c r="D133" s="24" t="s">
        <v>24</v>
      </c>
      <c r="E133" s="24" t="s">
        <v>128</v>
      </c>
      <c r="F133" s="27" t="s">
        <v>174</v>
      </c>
      <c r="G133" s="21">
        <v>45997</v>
      </c>
      <c r="H133" s="21">
        <v>45999</v>
      </c>
      <c r="I133" s="21">
        <v>45999</v>
      </c>
      <c r="J133" s="21"/>
      <c r="K133" s="45">
        <v>0.33333333333333331</v>
      </c>
      <c r="L133" s="45">
        <v>0.70833333333333337</v>
      </c>
      <c r="M133" s="11">
        <f t="shared" si="2"/>
        <v>9.0000000000000018</v>
      </c>
      <c r="N133" s="34" t="s">
        <v>0</v>
      </c>
      <c r="P133" s="4"/>
      <c r="Q133" s="4"/>
      <c r="R133" s="4"/>
      <c r="S133" s="4"/>
      <c r="T133" s="4"/>
      <c r="U133" s="4"/>
      <c r="V133" s="4"/>
      <c r="W133" s="4"/>
    </row>
    <row r="134" spans="1:23" s="32" customFormat="1" ht="14.4" hidden="1" customHeight="1" x14ac:dyDescent="0.3">
      <c r="A134" s="22" t="s">
        <v>21</v>
      </c>
      <c r="B134" s="21">
        <v>45999</v>
      </c>
      <c r="C134" s="22" t="s">
        <v>51</v>
      </c>
      <c r="D134" s="216" t="s">
        <v>24</v>
      </c>
      <c r="E134" s="216" t="s">
        <v>175</v>
      </c>
      <c r="F134" s="26" t="s">
        <v>176</v>
      </c>
      <c r="G134" s="21">
        <v>45999</v>
      </c>
      <c r="H134" s="21">
        <v>45999</v>
      </c>
      <c r="I134" s="21">
        <v>45999</v>
      </c>
      <c r="J134" s="70"/>
      <c r="K134" s="44">
        <v>0.3125</v>
      </c>
      <c r="L134" s="45">
        <v>0.47916666666666669</v>
      </c>
      <c r="M134" s="11">
        <f t="shared" si="2"/>
        <v>4</v>
      </c>
      <c r="N134" s="214" t="s">
        <v>0</v>
      </c>
      <c r="P134" s="4"/>
      <c r="Q134" s="4"/>
      <c r="R134" s="4"/>
      <c r="S134" s="4"/>
      <c r="T134" s="4"/>
      <c r="U134" s="4"/>
      <c r="V134" s="4"/>
      <c r="W134" s="4"/>
    </row>
    <row r="135" spans="1:23" s="32" customFormat="1" ht="14.4" hidden="1" customHeight="1" x14ac:dyDescent="0.3">
      <c r="A135" s="22" t="s">
        <v>21</v>
      </c>
      <c r="B135" s="21">
        <v>45999</v>
      </c>
      <c r="C135" s="22">
        <v>142862</v>
      </c>
      <c r="D135" s="217"/>
      <c r="E135" s="217"/>
      <c r="F135" s="27"/>
      <c r="G135" s="21">
        <v>45999</v>
      </c>
      <c r="H135" s="21">
        <v>45999</v>
      </c>
      <c r="I135" s="21">
        <v>45999</v>
      </c>
      <c r="J135" s="70"/>
      <c r="K135" s="44">
        <v>0.45833333333333331</v>
      </c>
      <c r="L135" s="45">
        <v>0.6875</v>
      </c>
      <c r="M135" s="11">
        <f t="shared" si="2"/>
        <v>5.5</v>
      </c>
      <c r="N135" s="215"/>
      <c r="P135" s="4"/>
      <c r="Q135" s="4"/>
      <c r="R135" s="4"/>
      <c r="S135" s="4"/>
      <c r="T135" s="4"/>
      <c r="U135" s="4"/>
      <c r="V135" s="4"/>
      <c r="W135" s="4"/>
    </row>
    <row r="136" spans="1:23" s="32" customFormat="1" ht="14.4" hidden="1" customHeight="1" x14ac:dyDescent="0.3">
      <c r="A136" s="22" t="s">
        <v>21</v>
      </c>
      <c r="B136" s="21">
        <v>45999</v>
      </c>
      <c r="C136" s="22" t="s">
        <v>18</v>
      </c>
      <c r="D136" s="214" t="s">
        <v>8</v>
      </c>
      <c r="E136" s="214" t="s">
        <v>73</v>
      </c>
      <c r="F136" s="28" t="s">
        <v>152</v>
      </c>
      <c r="G136" s="219">
        <v>45997</v>
      </c>
      <c r="H136" s="219">
        <v>46002</v>
      </c>
      <c r="I136" s="21"/>
      <c r="J136" s="21"/>
      <c r="K136" s="45">
        <v>0.3125</v>
      </c>
      <c r="L136" s="45">
        <v>0.70833333333333337</v>
      </c>
      <c r="M136" s="11">
        <f t="shared" si="2"/>
        <v>9.5</v>
      </c>
      <c r="N136" s="214" t="s">
        <v>1</v>
      </c>
      <c r="P136" s="4"/>
      <c r="Q136" s="4"/>
      <c r="R136" s="4"/>
      <c r="S136" s="4"/>
      <c r="T136" s="4"/>
      <c r="U136" s="4"/>
      <c r="V136" s="4"/>
      <c r="W136" s="4"/>
    </row>
    <row r="137" spans="1:23" s="32" customFormat="1" ht="14.4" hidden="1" customHeight="1" x14ac:dyDescent="0.3">
      <c r="A137" s="22" t="s">
        <v>21</v>
      </c>
      <c r="B137" s="21">
        <v>45999</v>
      </c>
      <c r="C137" s="22" t="s">
        <v>36</v>
      </c>
      <c r="D137" s="215"/>
      <c r="E137" s="215"/>
      <c r="F137" s="29"/>
      <c r="G137" s="220"/>
      <c r="H137" s="220"/>
      <c r="I137" s="21"/>
      <c r="J137" s="21"/>
      <c r="K137" s="45">
        <v>0.3125</v>
      </c>
      <c r="L137" s="45">
        <v>0.70833333333333337</v>
      </c>
      <c r="M137" s="11">
        <f t="shared" si="2"/>
        <v>9.5</v>
      </c>
      <c r="N137" s="215"/>
      <c r="P137" s="4"/>
      <c r="Q137" s="4"/>
      <c r="R137" s="4"/>
      <c r="S137" s="4"/>
      <c r="T137" s="4"/>
      <c r="U137" s="4"/>
      <c r="V137" s="4"/>
      <c r="W137" s="4"/>
    </row>
    <row r="138" spans="1:23" s="32" customFormat="1" ht="14.4" hidden="1" customHeight="1" x14ac:dyDescent="0.3">
      <c r="A138" s="22" t="s">
        <v>21</v>
      </c>
      <c r="B138" s="21">
        <v>45999</v>
      </c>
      <c r="C138" s="22" t="s">
        <v>56</v>
      </c>
      <c r="D138" s="24" t="s">
        <v>43</v>
      </c>
      <c r="E138" s="24" t="s">
        <v>142</v>
      </c>
      <c r="F138" s="25" t="s">
        <v>153</v>
      </c>
      <c r="G138" s="21">
        <v>45999</v>
      </c>
      <c r="H138" s="21">
        <v>45999</v>
      </c>
      <c r="I138" s="21"/>
      <c r="J138" s="70"/>
      <c r="K138" s="44">
        <v>0.3125</v>
      </c>
      <c r="L138" s="45">
        <v>0.39583333333333331</v>
      </c>
      <c r="M138" s="11">
        <f t="shared" si="2"/>
        <v>1.9999999999999996</v>
      </c>
      <c r="N138" s="11" t="s">
        <v>1</v>
      </c>
      <c r="P138" s="4"/>
      <c r="Q138" s="4"/>
      <c r="R138" s="4"/>
      <c r="S138" s="4"/>
      <c r="T138" s="4"/>
      <c r="U138" s="4"/>
      <c r="V138" s="4"/>
      <c r="W138" s="4"/>
    </row>
    <row r="139" spans="1:23" s="32" customFormat="1" ht="14.4" hidden="1" customHeight="1" x14ac:dyDescent="0.3">
      <c r="A139" s="22" t="s">
        <v>21</v>
      </c>
      <c r="B139" s="21">
        <v>45999</v>
      </c>
      <c r="C139" s="22" t="s">
        <v>56</v>
      </c>
      <c r="D139" s="13" t="s">
        <v>8</v>
      </c>
      <c r="E139" s="13" t="s">
        <v>148</v>
      </c>
      <c r="F139" s="26" t="s">
        <v>149</v>
      </c>
      <c r="G139" s="21">
        <v>45996</v>
      </c>
      <c r="H139" s="21">
        <v>45996</v>
      </c>
      <c r="I139" s="21"/>
      <c r="J139" s="21"/>
      <c r="K139" s="45">
        <v>0.66666666666666663</v>
      </c>
      <c r="L139" s="45">
        <v>0.70833333333333337</v>
      </c>
      <c r="M139" s="11">
        <f t="shared" si="2"/>
        <v>1.0000000000000018</v>
      </c>
      <c r="N139" s="11" t="s">
        <v>1</v>
      </c>
      <c r="P139" s="4"/>
      <c r="Q139" s="4"/>
      <c r="R139" s="4"/>
      <c r="S139" s="4"/>
      <c r="T139" s="4"/>
      <c r="U139" s="4"/>
      <c r="V139" s="4"/>
      <c r="W139" s="4"/>
    </row>
    <row r="140" spans="1:23" s="32" customFormat="1" ht="14.4" hidden="1" customHeight="1" x14ac:dyDescent="0.3">
      <c r="A140" s="22" t="s">
        <v>21</v>
      </c>
      <c r="B140" s="21">
        <v>45999</v>
      </c>
      <c r="C140" s="22" t="s">
        <v>25</v>
      </c>
      <c r="D140" s="216" t="s">
        <v>54</v>
      </c>
      <c r="E140" s="216" t="s">
        <v>188</v>
      </c>
      <c r="F140" s="26" t="s">
        <v>86</v>
      </c>
      <c r="G140" s="21">
        <v>45999</v>
      </c>
      <c r="H140" s="21">
        <v>45999</v>
      </c>
      <c r="I140" s="21">
        <v>45999</v>
      </c>
      <c r="J140" s="21"/>
      <c r="K140" s="45">
        <v>0.3125</v>
      </c>
      <c r="L140" s="45">
        <v>0.54166666666666663</v>
      </c>
      <c r="M140" s="11">
        <f t="shared" si="2"/>
        <v>5.4999999999999991</v>
      </c>
      <c r="N140" s="214" t="s">
        <v>0</v>
      </c>
      <c r="P140" s="4"/>
      <c r="Q140" s="4"/>
      <c r="R140" s="4"/>
      <c r="S140" s="4"/>
      <c r="T140" s="4"/>
      <c r="U140" s="4"/>
      <c r="V140" s="4"/>
      <c r="W140" s="4"/>
    </row>
    <row r="141" spans="1:23" s="32" customFormat="1" ht="14.4" hidden="1" customHeight="1" x14ac:dyDescent="0.3">
      <c r="A141" s="12" t="s">
        <v>21</v>
      </c>
      <c r="B141" s="21">
        <v>45999</v>
      </c>
      <c r="C141" s="12" t="s">
        <v>118</v>
      </c>
      <c r="D141" s="217"/>
      <c r="E141" s="217"/>
      <c r="F141" s="27"/>
      <c r="G141" s="21">
        <v>45999</v>
      </c>
      <c r="H141" s="21">
        <v>45999</v>
      </c>
      <c r="I141" s="21">
        <v>45999</v>
      </c>
      <c r="J141" s="21"/>
      <c r="K141" s="45">
        <v>0.3125</v>
      </c>
      <c r="L141" s="45">
        <v>0.54166666666666663</v>
      </c>
      <c r="M141" s="11">
        <f t="shared" si="2"/>
        <v>5.4999999999999991</v>
      </c>
      <c r="N141" s="215"/>
      <c r="P141" s="4"/>
      <c r="Q141" s="4"/>
      <c r="R141" s="4"/>
      <c r="S141" s="4"/>
      <c r="T141" s="4"/>
      <c r="U141" s="4"/>
      <c r="V141" s="4"/>
      <c r="W141" s="4"/>
    </row>
    <row r="142" spans="1:23" s="32" customFormat="1" ht="14.55" hidden="1" customHeight="1" x14ac:dyDescent="0.3">
      <c r="A142" s="22" t="s">
        <v>21</v>
      </c>
      <c r="B142" s="21">
        <v>45999</v>
      </c>
      <c r="C142" s="22" t="s">
        <v>25</v>
      </c>
      <c r="D142" s="216" t="s">
        <v>54</v>
      </c>
      <c r="E142" s="216" t="s">
        <v>144</v>
      </c>
      <c r="F142" s="26" t="s">
        <v>189</v>
      </c>
      <c r="G142" s="21">
        <v>45999</v>
      </c>
      <c r="H142" s="21">
        <v>45999</v>
      </c>
      <c r="I142" s="21">
        <v>45999</v>
      </c>
      <c r="J142" s="70"/>
      <c r="K142" s="44"/>
      <c r="L142" s="45"/>
      <c r="M142" s="11">
        <f t="shared" si="2"/>
        <v>0</v>
      </c>
      <c r="N142" s="214" t="s">
        <v>0</v>
      </c>
      <c r="P142" s="4"/>
      <c r="Q142" s="4"/>
      <c r="R142" s="4"/>
      <c r="S142" s="4"/>
      <c r="T142" s="4"/>
      <c r="U142" s="4"/>
      <c r="V142" s="4"/>
      <c r="W142" s="4"/>
    </row>
    <row r="143" spans="1:23" s="32" customFormat="1" ht="14.4" hidden="1" customHeight="1" x14ac:dyDescent="0.3">
      <c r="A143" s="12" t="s">
        <v>21</v>
      </c>
      <c r="B143" s="21">
        <v>45999</v>
      </c>
      <c r="C143" s="12" t="s">
        <v>118</v>
      </c>
      <c r="D143" s="217"/>
      <c r="E143" s="217"/>
      <c r="F143" s="27"/>
      <c r="G143" s="21">
        <v>45999</v>
      </c>
      <c r="H143" s="21">
        <v>45999</v>
      </c>
      <c r="I143" s="21">
        <v>45999</v>
      </c>
      <c r="J143" s="70"/>
      <c r="K143" s="44"/>
      <c r="L143" s="45"/>
      <c r="M143" s="11">
        <f t="shared" si="2"/>
        <v>0</v>
      </c>
      <c r="N143" s="215"/>
      <c r="P143" s="4"/>
      <c r="Q143" s="4"/>
      <c r="R143" s="4"/>
      <c r="S143" s="4"/>
      <c r="T143" s="4"/>
      <c r="U143" s="4"/>
      <c r="V143" s="4"/>
      <c r="W143" s="4"/>
    </row>
    <row r="144" spans="1:23" s="32" customFormat="1" ht="14.4" hidden="1" customHeight="1" x14ac:dyDescent="0.3">
      <c r="A144" s="22" t="s">
        <v>21</v>
      </c>
      <c r="B144" s="21">
        <v>45999</v>
      </c>
      <c r="C144" s="22" t="s">
        <v>55</v>
      </c>
      <c r="D144" s="24" t="s">
        <v>43</v>
      </c>
      <c r="E144" s="13" t="s">
        <v>154</v>
      </c>
      <c r="F144" s="26" t="s">
        <v>146</v>
      </c>
      <c r="G144" s="21">
        <v>45999</v>
      </c>
      <c r="H144" s="21">
        <v>46000</v>
      </c>
      <c r="I144" s="21"/>
      <c r="J144" s="70"/>
      <c r="K144" s="44">
        <v>0.3125</v>
      </c>
      <c r="L144" s="45">
        <v>0.6875</v>
      </c>
      <c r="M144" s="11">
        <f t="shared" si="2"/>
        <v>9</v>
      </c>
      <c r="N144" s="67" t="s">
        <v>1</v>
      </c>
      <c r="P144" s="4"/>
      <c r="Q144" s="4"/>
      <c r="R144" s="4"/>
      <c r="S144" s="4"/>
      <c r="T144" s="4"/>
      <c r="U144" s="4"/>
      <c r="V144" s="4"/>
      <c r="W144" s="4"/>
    </row>
    <row r="145" spans="1:23" s="32" customFormat="1" ht="14.4" hidden="1" customHeight="1" x14ac:dyDescent="0.3">
      <c r="A145" s="22" t="s">
        <v>20</v>
      </c>
      <c r="B145" s="21">
        <v>45999</v>
      </c>
      <c r="C145" s="22" t="s">
        <v>135</v>
      </c>
      <c r="D145" s="216" t="s">
        <v>44</v>
      </c>
      <c r="E145" s="216" t="s">
        <v>155</v>
      </c>
      <c r="F145" s="26" t="s">
        <v>156</v>
      </c>
      <c r="G145" s="219">
        <v>45999</v>
      </c>
      <c r="H145" s="219">
        <v>46011</v>
      </c>
      <c r="I145" s="219">
        <v>45999</v>
      </c>
      <c r="J145" s="17"/>
      <c r="K145" s="45">
        <v>0.3125</v>
      </c>
      <c r="L145" s="45">
        <v>0.6875</v>
      </c>
      <c r="M145" s="11">
        <f t="shared" si="2"/>
        <v>9</v>
      </c>
      <c r="N145" s="214" t="s">
        <v>0</v>
      </c>
      <c r="P145" s="4"/>
      <c r="Q145" s="4"/>
      <c r="R145" s="4"/>
      <c r="S145" s="4"/>
      <c r="T145" s="4"/>
      <c r="U145" s="4"/>
      <c r="V145" s="4"/>
      <c r="W145" s="4"/>
    </row>
    <row r="146" spans="1:23" s="32" customFormat="1" ht="14.4" hidden="1" customHeight="1" x14ac:dyDescent="0.3">
      <c r="A146" s="22" t="s">
        <v>20</v>
      </c>
      <c r="B146" s="21">
        <v>45999</v>
      </c>
      <c r="C146" s="22" t="s">
        <v>14</v>
      </c>
      <c r="D146" s="217"/>
      <c r="E146" s="217"/>
      <c r="F146" s="27"/>
      <c r="G146" s="220"/>
      <c r="H146" s="220"/>
      <c r="I146" s="220"/>
      <c r="J146" s="19"/>
      <c r="K146" s="45">
        <v>0.3125</v>
      </c>
      <c r="L146" s="45">
        <v>0.6875</v>
      </c>
      <c r="M146" s="11">
        <f t="shared" si="2"/>
        <v>9</v>
      </c>
      <c r="N146" s="215"/>
      <c r="P146" s="4"/>
      <c r="Q146" s="4"/>
      <c r="R146" s="4"/>
      <c r="S146" s="4"/>
      <c r="T146" s="4"/>
      <c r="U146" s="4"/>
      <c r="V146" s="4"/>
      <c r="W146" s="4"/>
    </row>
    <row r="147" spans="1:23" s="32" customFormat="1" ht="14.4" hidden="1" customHeight="1" x14ac:dyDescent="0.3">
      <c r="A147" s="22" t="s">
        <v>20</v>
      </c>
      <c r="B147" s="21">
        <v>45999</v>
      </c>
      <c r="C147" s="22" t="s">
        <v>33</v>
      </c>
      <c r="D147" s="216" t="s">
        <v>44</v>
      </c>
      <c r="E147" s="216" t="s">
        <v>150</v>
      </c>
      <c r="F147" s="26" t="s">
        <v>59</v>
      </c>
      <c r="G147" s="21">
        <v>45999</v>
      </c>
      <c r="H147" s="21">
        <v>46006</v>
      </c>
      <c r="I147" s="21"/>
      <c r="J147" s="21"/>
      <c r="K147" s="45">
        <v>0.33333333333333331</v>
      </c>
      <c r="L147" s="45">
        <v>0.70833333333333337</v>
      </c>
      <c r="M147" s="11">
        <f t="shared" si="2"/>
        <v>9.0000000000000018</v>
      </c>
      <c r="N147" s="227" t="s">
        <v>1</v>
      </c>
      <c r="P147" s="4"/>
      <c r="Q147" s="4"/>
      <c r="R147" s="4"/>
      <c r="S147" s="4"/>
      <c r="T147" s="4"/>
      <c r="U147" s="4"/>
      <c r="V147" s="4"/>
      <c r="W147" s="4"/>
    </row>
    <row r="148" spans="1:23" s="32" customFormat="1" ht="14.4" hidden="1" customHeight="1" x14ac:dyDescent="0.3">
      <c r="A148" s="22" t="s">
        <v>20</v>
      </c>
      <c r="B148" s="21">
        <v>45999</v>
      </c>
      <c r="C148" s="22" t="s">
        <v>13</v>
      </c>
      <c r="D148" s="217"/>
      <c r="E148" s="217"/>
      <c r="F148" s="27"/>
      <c r="G148" s="21">
        <v>45999</v>
      </c>
      <c r="H148" s="21">
        <v>46006</v>
      </c>
      <c r="I148" s="21"/>
      <c r="J148" s="21"/>
      <c r="K148" s="45">
        <v>0.33333333333333331</v>
      </c>
      <c r="L148" s="45">
        <v>0.70833333333333337</v>
      </c>
      <c r="M148" s="11">
        <f t="shared" si="2"/>
        <v>9.0000000000000018</v>
      </c>
      <c r="N148" s="228"/>
      <c r="P148" s="4"/>
      <c r="Q148" s="4"/>
      <c r="R148" s="4"/>
      <c r="S148" s="4"/>
      <c r="T148" s="4"/>
      <c r="U148" s="4"/>
      <c r="V148" s="4"/>
      <c r="W148" s="4"/>
    </row>
    <row r="149" spans="1:23" s="32" customFormat="1" ht="14.4" hidden="1" customHeight="1" x14ac:dyDescent="0.3">
      <c r="A149" s="22" t="s">
        <v>20</v>
      </c>
      <c r="B149" s="21">
        <v>45999</v>
      </c>
      <c r="C149" s="22" t="s">
        <v>12</v>
      </c>
      <c r="D149" s="24" t="s">
        <v>27</v>
      </c>
      <c r="E149" s="24" t="s">
        <v>82</v>
      </c>
      <c r="F149" s="25" t="s">
        <v>157</v>
      </c>
      <c r="G149" s="21">
        <v>45999</v>
      </c>
      <c r="H149" s="21">
        <v>45999</v>
      </c>
      <c r="I149" s="21">
        <v>45999</v>
      </c>
      <c r="J149" s="21"/>
      <c r="K149" s="45">
        <v>0.3125</v>
      </c>
      <c r="L149" s="45">
        <v>0.6875</v>
      </c>
      <c r="M149" s="11">
        <f t="shared" si="2"/>
        <v>9</v>
      </c>
      <c r="N149" s="42" t="s">
        <v>0</v>
      </c>
      <c r="P149" s="4"/>
      <c r="Q149" s="4"/>
      <c r="R149" s="4"/>
      <c r="S149" s="4"/>
      <c r="T149" s="4"/>
      <c r="U149" s="4"/>
      <c r="V149" s="4"/>
      <c r="W149" s="4"/>
    </row>
    <row r="150" spans="1:23" s="32" customFormat="1" ht="14.4" hidden="1" customHeight="1" x14ac:dyDescent="0.3">
      <c r="A150" s="22" t="s">
        <v>20</v>
      </c>
      <c r="B150" s="21">
        <v>45997</v>
      </c>
      <c r="C150" s="22" t="s">
        <v>16</v>
      </c>
      <c r="D150" s="216" t="s">
        <v>65</v>
      </c>
      <c r="E150" s="216" t="s">
        <v>161</v>
      </c>
      <c r="F150" s="26" t="s">
        <v>59</v>
      </c>
      <c r="G150" s="219">
        <v>45997</v>
      </c>
      <c r="H150" s="219">
        <v>45997</v>
      </c>
      <c r="I150" s="219"/>
      <c r="J150" s="101"/>
      <c r="K150" s="44">
        <v>0.3125</v>
      </c>
      <c r="L150" s="45">
        <v>0.6875</v>
      </c>
      <c r="M150" s="11">
        <f t="shared" si="2"/>
        <v>9</v>
      </c>
      <c r="N150" s="214" t="s">
        <v>0</v>
      </c>
      <c r="P150" s="4"/>
      <c r="Q150" s="4"/>
      <c r="R150" s="4"/>
      <c r="S150" s="4"/>
      <c r="T150" s="4"/>
      <c r="U150" s="4"/>
      <c r="V150" s="4"/>
      <c r="W150" s="4"/>
    </row>
    <row r="151" spans="1:23" s="32" customFormat="1" ht="14.4" hidden="1" customHeight="1" x14ac:dyDescent="0.3">
      <c r="A151" s="22" t="s">
        <v>20</v>
      </c>
      <c r="B151" s="21">
        <v>45997</v>
      </c>
      <c r="C151" s="22" t="s">
        <v>31</v>
      </c>
      <c r="D151" s="217"/>
      <c r="E151" s="217"/>
      <c r="F151" s="27"/>
      <c r="G151" s="220"/>
      <c r="H151" s="220"/>
      <c r="I151" s="220"/>
      <c r="J151" s="102"/>
      <c r="K151" s="44">
        <v>0.3125</v>
      </c>
      <c r="L151" s="45">
        <v>0.35416666666666669</v>
      </c>
      <c r="M151" s="11">
        <f t="shared" si="2"/>
        <v>1.0000000000000004</v>
      </c>
      <c r="N151" s="215"/>
      <c r="P151" s="4"/>
      <c r="Q151" s="4"/>
      <c r="R151" s="4"/>
      <c r="S151" s="4"/>
      <c r="T151" s="4"/>
      <c r="U151" s="4"/>
      <c r="V151" s="4"/>
      <c r="W151" s="4"/>
    </row>
    <row r="152" spans="1:23" s="32" customFormat="1" ht="14.4" hidden="1" customHeight="1" x14ac:dyDescent="0.3">
      <c r="A152" s="22" t="s">
        <v>20</v>
      </c>
      <c r="B152" s="21">
        <v>45997</v>
      </c>
      <c r="C152" s="22" t="s">
        <v>17</v>
      </c>
      <c r="D152" s="216" t="s">
        <v>65</v>
      </c>
      <c r="E152" s="216" t="s">
        <v>163</v>
      </c>
      <c r="F152" s="26" t="s">
        <v>177</v>
      </c>
      <c r="G152" s="219">
        <v>45996</v>
      </c>
      <c r="H152" s="219">
        <v>45997</v>
      </c>
      <c r="I152" s="219"/>
      <c r="J152" s="101"/>
      <c r="K152" s="44">
        <v>0.3125</v>
      </c>
      <c r="L152" s="45">
        <v>0.35416666666666669</v>
      </c>
      <c r="M152" s="11">
        <f t="shared" si="2"/>
        <v>1.0000000000000004</v>
      </c>
      <c r="N152" s="214" t="s">
        <v>0</v>
      </c>
      <c r="P152" s="4"/>
      <c r="Q152" s="4"/>
      <c r="R152" s="4"/>
      <c r="S152" s="4"/>
      <c r="T152" s="4"/>
      <c r="U152" s="4"/>
      <c r="V152" s="4"/>
      <c r="W152" s="4"/>
    </row>
    <row r="153" spans="1:23" s="32" customFormat="1" ht="14.4" hidden="1" customHeight="1" x14ac:dyDescent="0.3">
      <c r="A153" s="22" t="s">
        <v>20</v>
      </c>
      <c r="B153" s="21">
        <v>45997</v>
      </c>
      <c r="C153" s="22" t="s">
        <v>47</v>
      </c>
      <c r="D153" s="217"/>
      <c r="E153" s="217"/>
      <c r="F153" s="27"/>
      <c r="G153" s="220"/>
      <c r="H153" s="220"/>
      <c r="I153" s="220"/>
      <c r="J153" s="102"/>
      <c r="K153" s="44">
        <v>0.3125</v>
      </c>
      <c r="L153" s="45">
        <v>0.35416666666666669</v>
      </c>
      <c r="M153" s="11">
        <f t="shared" si="2"/>
        <v>1.0000000000000004</v>
      </c>
      <c r="N153" s="215"/>
      <c r="P153" s="4"/>
      <c r="Q153" s="4"/>
      <c r="R153" s="4"/>
      <c r="S153" s="4"/>
      <c r="T153" s="4"/>
      <c r="U153" s="4"/>
      <c r="V153" s="4"/>
      <c r="W153" s="4"/>
    </row>
    <row r="154" spans="1:23" s="32" customFormat="1" ht="14.4" hidden="1" customHeight="1" x14ac:dyDescent="0.3">
      <c r="A154" s="22" t="s">
        <v>20</v>
      </c>
      <c r="B154" s="21">
        <v>45997</v>
      </c>
      <c r="C154" s="22" t="s">
        <v>28</v>
      </c>
      <c r="D154" s="214" t="s">
        <v>65</v>
      </c>
      <c r="E154" s="216" t="s">
        <v>113</v>
      </c>
      <c r="F154" s="26" t="s">
        <v>178</v>
      </c>
      <c r="G154" s="218">
        <v>45995</v>
      </c>
      <c r="H154" s="219">
        <v>45997</v>
      </c>
      <c r="I154" s="219"/>
      <c r="J154" s="101"/>
      <c r="K154" s="44">
        <v>0.33333333333333331</v>
      </c>
      <c r="L154" s="45">
        <v>0.70833333333333337</v>
      </c>
      <c r="M154" s="11">
        <f t="shared" si="2"/>
        <v>9.0000000000000018</v>
      </c>
      <c r="N154" s="214" t="s">
        <v>0</v>
      </c>
      <c r="P154" s="4"/>
      <c r="Q154" s="4"/>
      <c r="R154" s="4"/>
      <c r="S154" s="4"/>
      <c r="T154" s="4"/>
      <c r="U154" s="4"/>
      <c r="V154" s="4"/>
      <c r="W154" s="4"/>
    </row>
    <row r="155" spans="1:23" s="32" customFormat="1" ht="14.4" hidden="1" customHeight="1" x14ac:dyDescent="0.3">
      <c r="A155" s="22" t="s">
        <v>20</v>
      </c>
      <c r="B155" s="21">
        <v>45997</v>
      </c>
      <c r="C155" s="22" t="s">
        <v>31</v>
      </c>
      <c r="D155" s="215"/>
      <c r="E155" s="217"/>
      <c r="F155" s="27"/>
      <c r="G155" s="232"/>
      <c r="H155" s="220"/>
      <c r="I155" s="220"/>
      <c r="J155" s="19"/>
      <c r="K155" s="45">
        <v>0.35416666666666669</v>
      </c>
      <c r="L155" s="45">
        <v>0.4375</v>
      </c>
      <c r="M155" s="11">
        <f t="shared" si="2"/>
        <v>1.9999999999999996</v>
      </c>
      <c r="N155" s="215"/>
      <c r="P155" s="4"/>
      <c r="Q155" s="4"/>
      <c r="R155" s="4"/>
      <c r="S155" s="4"/>
      <c r="T155" s="4"/>
      <c r="U155" s="4"/>
      <c r="V155" s="4"/>
      <c r="W155" s="4"/>
    </row>
    <row r="156" spans="1:23" s="32" customFormat="1" ht="14.4" hidden="1" customHeight="1" x14ac:dyDescent="0.3">
      <c r="A156" s="22" t="s">
        <v>20</v>
      </c>
      <c r="B156" s="21">
        <v>45997</v>
      </c>
      <c r="C156" s="22" t="s">
        <v>15</v>
      </c>
      <c r="D156" s="216" t="s">
        <v>65</v>
      </c>
      <c r="E156" s="216" t="s">
        <v>92</v>
      </c>
      <c r="F156" s="26" t="s">
        <v>59</v>
      </c>
      <c r="G156" s="219">
        <v>45994</v>
      </c>
      <c r="H156" s="219">
        <v>45997</v>
      </c>
      <c r="I156" s="219"/>
      <c r="J156" s="101"/>
      <c r="K156" s="44">
        <v>0.33333333333333331</v>
      </c>
      <c r="L156" s="45">
        <v>0.70833333333333337</v>
      </c>
      <c r="M156" s="11">
        <f t="shared" si="2"/>
        <v>9.0000000000000018</v>
      </c>
      <c r="N156" s="214" t="s">
        <v>1</v>
      </c>
      <c r="P156" s="4"/>
      <c r="Q156" s="4"/>
      <c r="R156" s="4"/>
      <c r="S156" s="4"/>
      <c r="T156" s="4"/>
      <c r="U156" s="4"/>
      <c r="V156" s="4"/>
      <c r="W156" s="4"/>
    </row>
    <row r="157" spans="1:23" s="32" customFormat="1" ht="14.4" hidden="1" customHeight="1" x14ac:dyDescent="0.3">
      <c r="A157" s="22" t="s">
        <v>20</v>
      </c>
      <c r="B157" s="21">
        <v>45997</v>
      </c>
      <c r="C157" s="22" t="s">
        <v>31</v>
      </c>
      <c r="D157" s="217"/>
      <c r="E157" s="217"/>
      <c r="F157" s="27"/>
      <c r="G157" s="220"/>
      <c r="H157" s="220"/>
      <c r="I157" s="220"/>
      <c r="J157" s="19"/>
      <c r="K157" s="45">
        <v>0.4375</v>
      </c>
      <c r="L157" s="45">
        <v>0.5</v>
      </c>
      <c r="M157" s="11">
        <f t="shared" si="2"/>
        <v>1.5</v>
      </c>
      <c r="N157" s="215"/>
      <c r="P157" s="4"/>
      <c r="Q157" s="4"/>
      <c r="R157" s="4"/>
      <c r="S157" s="4"/>
      <c r="T157" s="4"/>
      <c r="U157" s="4"/>
      <c r="V157" s="4"/>
      <c r="W157" s="4"/>
    </row>
    <row r="158" spans="1:23" s="32" customFormat="1" ht="14.4" hidden="1" customHeight="1" x14ac:dyDescent="0.3">
      <c r="A158" s="22" t="s">
        <v>19</v>
      </c>
      <c r="B158" s="21">
        <v>45997</v>
      </c>
      <c r="C158" s="22" t="s">
        <v>9</v>
      </c>
      <c r="D158" s="20" t="s">
        <v>8</v>
      </c>
      <c r="E158" s="20" t="s">
        <v>141</v>
      </c>
      <c r="F158" s="3" t="s">
        <v>179</v>
      </c>
      <c r="G158" s="65">
        <v>45997</v>
      </c>
      <c r="H158" s="65">
        <v>45997</v>
      </c>
      <c r="I158" s="17">
        <v>45997</v>
      </c>
      <c r="J158" s="23"/>
      <c r="K158" s="46">
        <v>0.3125</v>
      </c>
      <c r="L158" s="47">
        <v>0.54166666666666663</v>
      </c>
      <c r="M158" s="11">
        <f t="shared" si="2"/>
        <v>5.4999999999999991</v>
      </c>
      <c r="N158" s="11" t="s">
        <v>0</v>
      </c>
      <c r="P158" s="4"/>
      <c r="Q158" s="4"/>
      <c r="R158" s="4"/>
      <c r="S158" s="4"/>
      <c r="T158" s="4"/>
      <c r="U158" s="4"/>
      <c r="V158" s="4"/>
      <c r="W158" s="4"/>
    </row>
    <row r="159" spans="1:23" s="32" customFormat="1" ht="14.4" hidden="1" customHeight="1" x14ac:dyDescent="0.3">
      <c r="A159" s="22" t="s">
        <v>19</v>
      </c>
      <c r="B159" s="21">
        <v>45997</v>
      </c>
      <c r="C159" s="22" t="s">
        <v>7</v>
      </c>
      <c r="D159" s="216" t="s">
        <v>8</v>
      </c>
      <c r="E159" s="216" t="s">
        <v>168</v>
      </c>
      <c r="F159" s="26" t="s">
        <v>179</v>
      </c>
      <c r="G159" s="219">
        <v>45997</v>
      </c>
      <c r="H159" s="219">
        <v>45997</v>
      </c>
      <c r="I159" s="219">
        <v>45997</v>
      </c>
      <c r="J159" s="17"/>
      <c r="K159" s="47">
        <v>0.58333333333333337</v>
      </c>
      <c r="L159" s="45">
        <v>0.6875</v>
      </c>
      <c r="M159" s="11">
        <f t="shared" si="2"/>
        <v>2.4999999999999991</v>
      </c>
      <c r="N159" s="214" t="s">
        <v>0</v>
      </c>
      <c r="P159" s="4"/>
      <c r="Q159" s="4"/>
      <c r="R159" s="4"/>
      <c r="S159" s="4"/>
      <c r="T159" s="4"/>
      <c r="U159" s="4"/>
      <c r="V159" s="4"/>
      <c r="W159" s="4"/>
    </row>
    <row r="160" spans="1:23" s="32" customFormat="1" ht="14.4" hidden="1" customHeight="1" x14ac:dyDescent="0.3">
      <c r="A160" s="22" t="s">
        <v>19</v>
      </c>
      <c r="B160" s="21">
        <v>45997</v>
      </c>
      <c r="C160" s="22" t="s">
        <v>9</v>
      </c>
      <c r="D160" s="217"/>
      <c r="E160" s="217"/>
      <c r="F160" s="27"/>
      <c r="G160" s="220"/>
      <c r="H160" s="220"/>
      <c r="I160" s="220"/>
      <c r="J160" s="23"/>
      <c r="K160" s="47">
        <v>0.58333333333333337</v>
      </c>
      <c r="L160" s="45">
        <v>0.6875</v>
      </c>
      <c r="M160" s="11">
        <f t="shared" si="2"/>
        <v>2.4999999999999991</v>
      </c>
      <c r="N160" s="215"/>
      <c r="P160" s="4"/>
      <c r="Q160" s="4"/>
      <c r="R160" s="4"/>
      <c r="S160" s="4"/>
      <c r="T160" s="4"/>
      <c r="U160" s="4"/>
      <c r="V160" s="4"/>
      <c r="W160" s="4"/>
    </row>
    <row r="161" spans="1:23" s="32" customFormat="1" ht="14.4" hidden="1" customHeight="1" x14ac:dyDescent="0.3">
      <c r="A161" s="22" t="s">
        <v>19</v>
      </c>
      <c r="B161" s="21">
        <v>45997</v>
      </c>
      <c r="C161" s="22" t="s">
        <v>7</v>
      </c>
      <c r="D161" s="13" t="s">
        <v>180</v>
      </c>
      <c r="E161" s="13" t="s">
        <v>181</v>
      </c>
      <c r="F161" s="26" t="s">
        <v>182</v>
      </c>
      <c r="G161" s="17">
        <v>45997</v>
      </c>
      <c r="H161" s="17">
        <v>45997</v>
      </c>
      <c r="I161" s="17">
        <v>45997</v>
      </c>
      <c r="J161" s="23"/>
      <c r="K161" s="46">
        <v>0.3125</v>
      </c>
      <c r="L161" s="45">
        <v>0.58333333333333337</v>
      </c>
      <c r="M161" s="11">
        <f t="shared" si="2"/>
        <v>6.5000000000000009</v>
      </c>
      <c r="N161" s="11" t="s">
        <v>0</v>
      </c>
      <c r="P161" s="4"/>
      <c r="Q161" s="4"/>
      <c r="R161" s="4"/>
      <c r="S161" s="4"/>
      <c r="T161" s="4"/>
      <c r="U161" s="4"/>
      <c r="V161" s="4"/>
      <c r="W161" s="4"/>
    </row>
    <row r="162" spans="1:23" s="32" customFormat="1" ht="14.4" hidden="1" customHeight="1" x14ac:dyDescent="0.3">
      <c r="A162" s="22" t="s">
        <v>21</v>
      </c>
      <c r="B162" s="21">
        <v>45997</v>
      </c>
      <c r="C162" s="22" t="s">
        <v>26</v>
      </c>
      <c r="D162" s="24" t="s">
        <v>24</v>
      </c>
      <c r="E162" s="24" t="s">
        <v>183</v>
      </c>
      <c r="F162" s="28" t="s">
        <v>182</v>
      </c>
      <c r="G162" s="17">
        <v>45997</v>
      </c>
      <c r="H162" s="17">
        <v>45997</v>
      </c>
      <c r="I162" s="17">
        <v>45997</v>
      </c>
      <c r="J162" s="101"/>
      <c r="K162" s="44">
        <v>0.33333333333333331</v>
      </c>
      <c r="L162" s="45">
        <v>0.5</v>
      </c>
      <c r="M162" s="11">
        <f t="shared" si="2"/>
        <v>4</v>
      </c>
      <c r="N162" s="11" t="s">
        <v>0</v>
      </c>
      <c r="P162" s="4"/>
      <c r="Q162" s="4"/>
      <c r="R162" s="4"/>
      <c r="S162" s="4"/>
      <c r="T162" s="4"/>
      <c r="U162" s="4"/>
      <c r="V162" s="4"/>
      <c r="W162" s="4"/>
    </row>
    <row r="163" spans="1:23" s="32" customFormat="1" ht="14.4" hidden="1" customHeight="1" x14ac:dyDescent="0.3">
      <c r="A163" s="22" t="s">
        <v>21</v>
      </c>
      <c r="B163" s="21">
        <v>45997</v>
      </c>
      <c r="C163" s="22" t="s">
        <v>26</v>
      </c>
      <c r="D163" s="24" t="s">
        <v>24</v>
      </c>
      <c r="E163" s="24" t="s">
        <v>184</v>
      </c>
      <c r="F163" s="29"/>
      <c r="G163" s="17">
        <v>45997</v>
      </c>
      <c r="H163" s="17">
        <v>45997</v>
      </c>
      <c r="I163" s="17">
        <v>45997</v>
      </c>
      <c r="J163" s="17"/>
      <c r="K163" s="45">
        <v>0.54166666666666663</v>
      </c>
      <c r="L163" s="45">
        <v>0.70833333333333337</v>
      </c>
      <c r="M163" s="11">
        <f t="shared" si="2"/>
        <v>4.0000000000000018</v>
      </c>
      <c r="N163" s="11" t="s">
        <v>0</v>
      </c>
      <c r="P163" s="4"/>
      <c r="Q163" s="4"/>
      <c r="R163" s="4"/>
      <c r="S163" s="4"/>
      <c r="T163" s="4"/>
      <c r="U163" s="4"/>
      <c r="V163" s="4"/>
      <c r="W163" s="4"/>
    </row>
    <row r="164" spans="1:23" s="32" customFormat="1" ht="14.4" hidden="1" customHeight="1" x14ac:dyDescent="0.3">
      <c r="A164" s="22" t="s">
        <v>21</v>
      </c>
      <c r="B164" s="21">
        <v>45997</v>
      </c>
      <c r="C164" s="22" t="s">
        <v>50</v>
      </c>
      <c r="D164" s="24" t="s">
        <v>24</v>
      </c>
      <c r="E164" s="24" t="s">
        <v>128</v>
      </c>
      <c r="F164" s="27" t="s">
        <v>173</v>
      </c>
      <c r="G164" s="17">
        <v>45997</v>
      </c>
      <c r="H164" s="21">
        <v>45999</v>
      </c>
      <c r="I164" s="17"/>
      <c r="J164" s="17"/>
      <c r="K164" s="45">
        <v>0.33333333333333331</v>
      </c>
      <c r="L164" s="45">
        <v>0.70833333333333337</v>
      </c>
      <c r="M164" s="11">
        <f t="shared" si="2"/>
        <v>9.0000000000000018</v>
      </c>
      <c r="N164" s="11" t="s">
        <v>1</v>
      </c>
      <c r="P164" s="4"/>
      <c r="Q164" s="4"/>
      <c r="R164" s="4"/>
      <c r="S164" s="4"/>
      <c r="T164" s="4"/>
      <c r="U164" s="4"/>
      <c r="V164" s="4"/>
      <c r="W164" s="4"/>
    </row>
    <row r="165" spans="1:23" s="32" customFormat="1" ht="14.4" hidden="1" customHeight="1" x14ac:dyDescent="0.3">
      <c r="A165" s="22" t="s">
        <v>21</v>
      </c>
      <c r="B165" s="21">
        <v>45997</v>
      </c>
      <c r="C165" s="22" t="s">
        <v>51</v>
      </c>
      <c r="D165" s="24" t="s">
        <v>24</v>
      </c>
      <c r="E165" s="24" t="s">
        <v>175</v>
      </c>
      <c r="F165" s="27" t="s">
        <v>185</v>
      </c>
      <c r="G165" s="17">
        <v>45997</v>
      </c>
      <c r="H165" s="17">
        <v>45997</v>
      </c>
      <c r="I165" s="17">
        <v>45997</v>
      </c>
      <c r="J165" s="101"/>
      <c r="K165" s="44">
        <v>0.3125</v>
      </c>
      <c r="L165" s="45">
        <v>0.6875</v>
      </c>
      <c r="M165" s="11">
        <f t="shared" si="2"/>
        <v>9</v>
      </c>
      <c r="N165" s="11" t="s">
        <v>0</v>
      </c>
      <c r="P165" s="4"/>
      <c r="Q165" s="4"/>
      <c r="R165" s="4"/>
      <c r="S165" s="4"/>
      <c r="T165" s="4"/>
      <c r="U165" s="4"/>
      <c r="V165" s="4"/>
      <c r="W165" s="4"/>
    </row>
    <row r="166" spans="1:23" s="32" customFormat="1" ht="14.4" hidden="1" customHeight="1" x14ac:dyDescent="0.3">
      <c r="A166" s="22" t="s">
        <v>21</v>
      </c>
      <c r="B166" s="21">
        <v>45997</v>
      </c>
      <c r="C166" s="22" t="s">
        <v>18</v>
      </c>
      <c r="D166" s="214" t="s">
        <v>8</v>
      </c>
      <c r="E166" s="214" t="s">
        <v>73</v>
      </c>
      <c r="F166" s="28" t="s">
        <v>186</v>
      </c>
      <c r="G166" s="219">
        <v>45997</v>
      </c>
      <c r="H166" s="219">
        <v>46002</v>
      </c>
      <c r="I166" s="21"/>
      <c r="J166" s="21"/>
      <c r="K166" s="45">
        <v>0.33333333333333331</v>
      </c>
      <c r="L166" s="45">
        <v>0.70833333333333337</v>
      </c>
      <c r="M166" s="11">
        <f t="shared" si="2"/>
        <v>9.0000000000000018</v>
      </c>
      <c r="N166" s="214" t="s">
        <v>1</v>
      </c>
      <c r="P166" s="4"/>
      <c r="Q166" s="4"/>
      <c r="R166" s="4"/>
      <c r="S166" s="4"/>
      <c r="T166" s="4"/>
      <c r="U166" s="4"/>
      <c r="V166" s="4"/>
      <c r="W166" s="4"/>
    </row>
    <row r="167" spans="1:23" s="32" customFormat="1" ht="14.4" hidden="1" customHeight="1" x14ac:dyDescent="0.3">
      <c r="A167" s="22" t="s">
        <v>21</v>
      </c>
      <c r="B167" s="21">
        <v>45997</v>
      </c>
      <c r="C167" s="22" t="s">
        <v>36</v>
      </c>
      <c r="D167" s="215"/>
      <c r="E167" s="215"/>
      <c r="F167" s="29"/>
      <c r="G167" s="220"/>
      <c r="H167" s="220"/>
      <c r="I167" s="21"/>
      <c r="J167" s="21"/>
      <c r="K167" s="45">
        <v>0.3125</v>
      </c>
      <c r="L167" s="45">
        <v>0.6875</v>
      </c>
      <c r="M167" s="11">
        <f t="shared" si="2"/>
        <v>9</v>
      </c>
      <c r="N167" s="215"/>
      <c r="P167" s="4"/>
      <c r="Q167" s="4"/>
      <c r="R167" s="4"/>
      <c r="S167" s="4"/>
      <c r="T167" s="4"/>
      <c r="U167" s="4"/>
      <c r="V167" s="4"/>
      <c r="W167" s="4"/>
    </row>
    <row r="168" spans="1:23" s="32" customFormat="1" ht="14.4" hidden="1" customHeight="1" x14ac:dyDescent="0.3">
      <c r="A168" s="22" t="s">
        <v>21</v>
      </c>
      <c r="B168" s="21">
        <v>45997</v>
      </c>
      <c r="C168" s="22" t="s">
        <v>56</v>
      </c>
      <c r="D168" s="24" t="s">
        <v>65</v>
      </c>
      <c r="E168" s="24" t="s">
        <v>142</v>
      </c>
      <c r="F168" s="25" t="s">
        <v>143</v>
      </c>
      <c r="G168" s="21">
        <v>45997</v>
      </c>
      <c r="H168" s="21">
        <v>45997</v>
      </c>
      <c r="I168" s="17">
        <v>45997</v>
      </c>
      <c r="J168" s="101"/>
      <c r="K168" s="44">
        <v>0.3125</v>
      </c>
      <c r="L168" s="45">
        <v>0.6875</v>
      </c>
      <c r="M168" s="11">
        <f t="shared" si="2"/>
        <v>9</v>
      </c>
      <c r="N168" s="11" t="s">
        <v>0</v>
      </c>
      <c r="P168" s="4"/>
      <c r="Q168" s="4"/>
      <c r="R168" s="4"/>
      <c r="S168" s="4"/>
      <c r="T168" s="4"/>
      <c r="U168" s="4"/>
      <c r="V168" s="4"/>
      <c r="W168" s="4"/>
    </row>
    <row r="169" spans="1:23" s="32" customFormat="1" ht="14.4" hidden="1" customHeight="1" x14ac:dyDescent="0.3">
      <c r="A169" s="22" t="s">
        <v>21</v>
      </c>
      <c r="B169" s="21">
        <v>45997</v>
      </c>
      <c r="C169" s="22" t="s">
        <v>25</v>
      </c>
      <c r="D169" s="216" t="s">
        <v>54</v>
      </c>
      <c r="E169" s="216" t="s">
        <v>144</v>
      </c>
      <c r="F169" s="26" t="s">
        <v>187</v>
      </c>
      <c r="G169" s="21">
        <v>45997</v>
      </c>
      <c r="H169" s="21">
        <v>45997</v>
      </c>
      <c r="I169" s="17">
        <v>45997</v>
      </c>
      <c r="J169" s="17"/>
      <c r="K169" s="45">
        <v>0.3125</v>
      </c>
      <c r="L169" s="45">
        <v>0.5</v>
      </c>
      <c r="M169" s="11">
        <f t="shared" si="2"/>
        <v>4.5</v>
      </c>
      <c r="N169" s="214" t="s">
        <v>0</v>
      </c>
      <c r="P169" s="4"/>
      <c r="Q169" s="4"/>
      <c r="R169" s="4"/>
      <c r="S169" s="4"/>
      <c r="T169" s="4"/>
      <c r="U169" s="4"/>
      <c r="V169" s="4"/>
      <c r="W169" s="4"/>
    </row>
    <row r="170" spans="1:23" s="32" customFormat="1" ht="14.4" hidden="1" customHeight="1" x14ac:dyDescent="0.3">
      <c r="A170" s="12" t="s">
        <v>21</v>
      </c>
      <c r="B170" s="21">
        <v>45997</v>
      </c>
      <c r="C170" s="12" t="s">
        <v>118</v>
      </c>
      <c r="D170" s="217"/>
      <c r="E170" s="217"/>
      <c r="F170" s="27"/>
      <c r="G170" s="21">
        <v>45997</v>
      </c>
      <c r="H170" s="21">
        <v>45997</v>
      </c>
      <c r="I170" s="17">
        <v>45997</v>
      </c>
      <c r="J170" s="17"/>
      <c r="K170" s="45">
        <v>0.33333333333333331</v>
      </c>
      <c r="L170" s="45">
        <v>0.5</v>
      </c>
      <c r="M170" s="11">
        <f t="shared" si="2"/>
        <v>4</v>
      </c>
      <c r="N170" s="215"/>
      <c r="P170" s="4"/>
      <c r="Q170" s="4"/>
      <c r="R170" s="4"/>
      <c r="S170" s="4"/>
      <c r="T170" s="4"/>
      <c r="U170" s="4"/>
      <c r="V170" s="4"/>
      <c r="W170" s="4"/>
    </row>
    <row r="171" spans="1:23" s="32" customFormat="1" ht="14.4" hidden="1" customHeight="1" x14ac:dyDescent="0.3">
      <c r="A171" s="22" t="s">
        <v>21</v>
      </c>
      <c r="B171" s="21">
        <v>45997</v>
      </c>
      <c r="C171" s="22" t="s">
        <v>25</v>
      </c>
      <c r="D171" s="216" t="s">
        <v>54</v>
      </c>
      <c r="E171" s="216" t="s">
        <v>188</v>
      </c>
      <c r="F171" s="26" t="s">
        <v>189</v>
      </c>
      <c r="G171" s="21">
        <v>45997</v>
      </c>
      <c r="H171" s="21">
        <v>45997</v>
      </c>
      <c r="I171" s="17">
        <v>45997</v>
      </c>
      <c r="J171" s="17"/>
      <c r="K171" s="45">
        <v>0.54166666666666663</v>
      </c>
      <c r="L171" s="45">
        <v>0.6875</v>
      </c>
      <c r="M171" s="11">
        <f t="shared" si="2"/>
        <v>3.5000000000000009</v>
      </c>
      <c r="N171" s="11" t="s">
        <v>0</v>
      </c>
      <c r="P171" s="4"/>
      <c r="Q171" s="4"/>
      <c r="R171" s="4"/>
      <c r="S171" s="4"/>
      <c r="T171" s="4"/>
      <c r="U171" s="4"/>
      <c r="V171" s="4"/>
      <c r="W171" s="4"/>
    </row>
    <row r="172" spans="1:23" s="32" customFormat="1" ht="14.4" hidden="1" customHeight="1" x14ac:dyDescent="0.3">
      <c r="A172" s="12" t="s">
        <v>21</v>
      </c>
      <c r="B172" s="21">
        <v>45997</v>
      </c>
      <c r="C172" s="12" t="s">
        <v>118</v>
      </c>
      <c r="D172" s="217"/>
      <c r="E172" s="217"/>
      <c r="F172" s="27"/>
      <c r="G172" s="21">
        <v>45997</v>
      </c>
      <c r="H172" s="21">
        <v>45997</v>
      </c>
      <c r="I172" s="17">
        <v>45997</v>
      </c>
      <c r="J172" s="17"/>
      <c r="K172" s="45">
        <v>0.54166666666666663</v>
      </c>
      <c r="L172" s="45">
        <v>0.70833333333333337</v>
      </c>
      <c r="M172" s="11">
        <f t="shared" si="2"/>
        <v>4.0000000000000018</v>
      </c>
      <c r="N172" s="11" t="s">
        <v>0</v>
      </c>
      <c r="P172" s="4"/>
      <c r="Q172" s="4"/>
      <c r="R172" s="4"/>
      <c r="S172" s="4"/>
      <c r="T172" s="4"/>
      <c r="U172" s="4"/>
      <c r="V172" s="4"/>
      <c r="W172" s="4"/>
    </row>
    <row r="173" spans="1:23" s="32" customFormat="1" ht="14.4" hidden="1" customHeight="1" x14ac:dyDescent="0.3">
      <c r="A173" s="22" t="s">
        <v>21</v>
      </c>
      <c r="B173" s="21">
        <v>45997</v>
      </c>
      <c r="C173" s="22" t="s">
        <v>55</v>
      </c>
      <c r="D173" s="24" t="s">
        <v>43</v>
      </c>
      <c r="E173" s="13" t="s">
        <v>190</v>
      </c>
      <c r="F173" s="26" t="s">
        <v>191</v>
      </c>
      <c r="G173" s="21">
        <v>45997</v>
      </c>
      <c r="H173" s="21">
        <v>45997</v>
      </c>
      <c r="I173" s="17">
        <v>45997</v>
      </c>
      <c r="J173" s="101"/>
      <c r="K173" s="44">
        <v>0.3125</v>
      </c>
      <c r="L173" s="45">
        <v>0.5</v>
      </c>
      <c r="M173" s="11">
        <f t="shared" si="2"/>
        <v>4.5</v>
      </c>
      <c r="N173" s="11" t="s">
        <v>0</v>
      </c>
      <c r="P173" s="4"/>
      <c r="Q173" s="4"/>
      <c r="R173" s="4"/>
      <c r="S173" s="4"/>
      <c r="T173" s="4"/>
      <c r="U173" s="4"/>
      <c r="V173" s="4"/>
      <c r="W173" s="4"/>
    </row>
    <row r="174" spans="1:23" s="32" customFormat="1" ht="14.4" hidden="1" customHeight="1" x14ac:dyDescent="0.3">
      <c r="A174" s="22" t="s">
        <v>21</v>
      </c>
      <c r="B174" s="21">
        <v>45997</v>
      </c>
      <c r="C174" s="22" t="s">
        <v>55</v>
      </c>
      <c r="D174" s="24" t="s">
        <v>43</v>
      </c>
      <c r="E174" s="13" t="s">
        <v>190</v>
      </c>
      <c r="F174" s="26" t="s">
        <v>146</v>
      </c>
      <c r="G174" s="21">
        <v>45997</v>
      </c>
      <c r="H174" s="21">
        <v>45999</v>
      </c>
      <c r="I174" s="4"/>
      <c r="J174" s="4"/>
      <c r="K174" s="45">
        <v>0.54166666666666663</v>
      </c>
      <c r="L174" s="45">
        <v>0.6875</v>
      </c>
      <c r="M174" s="11">
        <f t="shared" si="2"/>
        <v>3.5000000000000009</v>
      </c>
      <c r="N174" s="11" t="s">
        <v>1</v>
      </c>
      <c r="P174" s="4"/>
      <c r="Q174" s="4"/>
      <c r="R174" s="4"/>
      <c r="S174" s="4"/>
      <c r="T174" s="4"/>
      <c r="U174" s="4"/>
      <c r="V174" s="4"/>
      <c r="W174" s="4"/>
    </row>
    <row r="175" spans="1:23" s="32" customFormat="1" ht="14.4" hidden="1" customHeight="1" x14ac:dyDescent="0.3">
      <c r="A175" s="22" t="s">
        <v>20</v>
      </c>
      <c r="B175" s="21">
        <v>45997</v>
      </c>
      <c r="C175" s="22" t="s">
        <v>135</v>
      </c>
      <c r="D175" s="216" t="s">
        <v>44</v>
      </c>
      <c r="E175" s="216" t="s">
        <v>64</v>
      </c>
      <c r="F175" s="26" t="s">
        <v>192</v>
      </c>
      <c r="G175" s="21">
        <v>45997</v>
      </c>
      <c r="H175" s="21">
        <v>46001</v>
      </c>
      <c r="I175" s="17">
        <v>45997</v>
      </c>
      <c r="J175" s="101"/>
      <c r="K175" s="44">
        <v>0.3125</v>
      </c>
      <c r="L175" s="45">
        <v>0.6875</v>
      </c>
      <c r="M175" s="11">
        <f t="shared" si="2"/>
        <v>9</v>
      </c>
      <c r="N175" s="11" t="s">
        <v>0</v>
      </c>
      <c r="P175" s="4"/>
      <c r="Q175" s="4"/>
      <c r="R175" s="4"/>
      <c r="S175" s="4"/>
      <c r="T175" s="4"/>
      <c r="U175" s="4"/>
      <c r="V175" s="4"/>
      <c r="W175" s="4"/>
    </row>
    <row r="176" spans="1:23" s="32" customFormat="1" ht="14.4" hidden="1" customHeight="1" x14ac:dyDescent="0.3">
      <c r="A176" s="22" t="s">
        <v>20</v>
      </c>
      <c r="B176" s="21">
        <v>45997</v>
      </c>
      <c r="C176" s="22" t="s">
        <v>14</v>
      </c>
      <c r="D176" s="217"/>
      <c r="E176" s="217"/>
      <c r="F176" s="27"/>
      <c r="G176" s="21">
        <v>45997</v>
      </c>
      <c r="H176" s="21">
        <v>46001</v>
      </c>
      <c r="I176" s="17">
        <v>45997</v>
      </c>
      <c r="J176" s="101"/>
      <c r="K176" s="44">
        <v>0.3125</v>
      </c>
      <c r="L176" s="45">
        <v>0.6875</v>
      </c>
      <c r="M176" s="11">
        <f t="shared" si="2"/>
        <v>9</v>
      </c>
      <c r="N176" s="11" t="s">
        <v>0</v>
      </c>
      <c r="P176" s="4"/>
      <c r="Q176" s="4"/>
      <c r="R176" s="4"/>
      <c r="S176" s="4"/>
      <c r="T176" s="4"/>
      <c r="U176" s="4"/>
      <c r="V176" s="4"/>
      <c r="W176" s="4"/>
    </row>
    <row r="177" spans="1:23" s="32" customFormat="1" ht="14.4" hidden="1" customHeight="1" x14ac:dyDescent="0.3">
      <c r="A177" s="22" t="s">
        <v>20</v>
      </c>
      <c r="B177" s="21">
        <v>45997</v>
      </c>
      <c r="C177" s="22" t="s">
        <v>33</v>
      </c>
      <c r="D177" s="216" t="s">
        <v>44</v>
      </c>
      <c r="E177" s="216" t="s">
        <v>150</v>
      </c>
      <c r="F177" s="26" t="s">
        <v>193</v>
      </c>
      <c r="G177" s="21">
        <v>45997</v>
      </c>
      <c r="H177" s="21">
        <v>46003</v>
      </c>
      <c r="I177" s="17">
        <v>45997</v>
      </c>
      <c r="J177" s="17"/>
      <c r="K177" s="45">
        <v>0.33333333333333331</v>
      </c>
      <c r="L177" s="45">
        <v>0.70833333333333337</v>
      </c>
      <c r="M177" s="11">
        <f t="shared" si="2"/>
        <v>9.0000000000000018</v>
      </c>
      <c r="N177" s="11" t="s">
        <v>0</v>
      </c>
      <c r="P177" s="4"/>
      <c r="Q177" s="4"/>
      <c r="R177" s="4"/>
      <c r="S177" s="4"/>
      <c r="T177" s="4"/>
      <c r="U177" s="4"/>
      <c r="V177" s="4"/>
      <c r="W177" s="4"/>
    </row>
    <row r="178" spans="1:23" s="32" customFormat="1" ht="14.4" hidden="1" customHeight="1" x14ac:dyDescent="0.3">
      <c r="A178" s="22" t="s">
        <v>20</v>
      </c>
      <c r="B178" s="21">
        <v>45997</v>
      </c>
      <c r="C178" s="22" t="s">
        <v>13</v>
      </c>
      <c r="D178" s="222"/>
      <c r="E178" s="217"/>
      <c r="F178" s="27"/>
      <c r="G178" s="21">
        <v>45997</v>
      </c>
      <c r="H178" s="21">
        <v>46003</v>
      </c>
      <c r="I178" s="17">
        <v>45997</v>
      </c>
      <c r="J178" s="17"/>
      <c r="K178" s="45">
        <v>0.33333333333333331</v>
      </c>
      <c r="L178" s="45">
        <v>0.70833333333333337</v>
      </c>
      <c r="M178" s="11">
        <f t="shared" si="2"/>
        <v>9.0000000000000018</v>
      </c>
      <c r="N178" s="11" t="s">
        <v>0</v>
      </c>
      <c r="P178" s="4"/>
      <c r="Q178" s="4"/>
      <c r="R178" s="4"/>
      <c r="S178" s="4"/>
      <c r="T178" s="4"/>
      <c r="U178" s="4"/>
      <c r="V178" s="4"/>
      <c r="W178" s="4"/>
    </row>
    <row r="179" spans="1:23" s="32" customFormat="1" ht="14.4" hidden="1" customHeight="1" x14ac:dyDescent="0.3">
      <c r="A179" s="22" t="s">
        <v>20</v>
      </c>
      <c r="B179" s="21">
        <v>45997</v>
      </c>
      <c r="C179" s="22" t="s">
        <v>12</v>
      </c>
      <c r="D179" s="24" t="s">
        <v>27</v>
      </c>
      <c r="E179" s="24" t="s">
        <v>117</v>
      </c>
      <c r="F179" s="25" t="s">
        <v>140</v>
      </c>
      <c r="G179" s="21">
        <v>45997</v>
      </c>
      <c r="H179" s="21">
        <v>45997</v>
      </c>
      <c r="I179" s="17">
        <v>45997</v>
      </c>
      <c r="J179" s="101"/>
      <c r="K179" s="44">
        <v>0.3125</v>
      </c>
      <c r="L179" s="45">
        <v>0.6875</v>
      </c>
      <c r="M179" s="11">
        <f t="shared" si="2"/>
        <v>9</v>
      </c>
      <c r="N179" s="11" t="s">
        <v>0</v>
      </c>
      <c r="P179" s="4"/>
      <c r="Q179" s="4"/>
      <c r="R179" s="4"/>
      <c r="S179" s="4"/>
      <c r="T179" s="4"/>
      <c r="U179" s="4"/>
      <c r="V179" s="4"/>
      <c r="W179" s="4"/>
    </row>
    <row r="180" spans="1:23" s="32" customFormat="1" ht="14.4" hidden="1" customHeight="1" x14ac:dyDescent="0.3">
      <c r="A180" s="22" t="s">
        <v>20</v>
      </c>
      <c r="B180" s="21">
        <v>46000</v>
      </c>
      <c r="C180" s="22" t="s">
        <v>28</v>
      </c>
      <c r="D180" s="216" t="s">
        <v>65</v>
      </c>
      <c r="E180" s="221" t="s">
        <v>113</v>
      </c>
      <c r="F180" s="25" t="s">
        <v>211</v>
      </c>
      <c r="G180" s="219">
        <v>45995</v>
      </c>
      <c r="H180" s="219">
        <v>46000</v>
      </c>
      <c r="I180" s="219">
        <v>46000</v>
      </c>
      <c r="J180" s="101"/>
      <c r="K180" s="44">
        <v>0.33333333333333331</v>
      </c>
      <c r="L180" s="45">
        <v>0.79166666666666663</v>
      </c>
      <c r="M180" s="11">
        <f t="shared" si="2"/>
        <v>11</v>
      </c>
      <c r="N180" s="214" t="s">
        <v>0</v>
      </c>
      <c r="P180" s="4"/>
      <c r="Q180" s="4"/>
      <c r="R180" s="4"/>
      <c r="S180" s="4"/>
      <c r="T180" s="4"/>
      <c r="U180" s="4"/>
      <c r="V180" s="4"/>
      <c r="W180" s="4"/>
    </row>
    <row r="181" spans="1:23" s="32" customFormat="1" ht="14.4" hidden="1" customHeight="1" x14ac:dyDescent="0.3">
      <c r="A181" s="22" t="s">
        <v>20</v>
      </c>
      <c r="B181" s="21">
        <v>46000</v>
      </c>
      <c r="C181" s="22" t="s">
        <v>31</v>
      </c>
      <c r="D181" s="217"/>
      <c r="E181" s="221"/>
      <c r="F181" s="25"/>
      <c r="G181" s="220"/>
      <c r="H181" s="220"/>
      <c r="I181" s="220"/>
      <c r="J181" s="102"/>
      <c r="K181" s="44">
        <v>0.3125</v>
      </c>
      <c r="L181" s="45">
        <v>0.35416666666666669</v>
      </c>
      <c r="M181" s="11">
        <f t="shared" si="2"/>
        <v>1.0000000000000004</v>
      </c>
      <c r="N181" s="215"/>
      <c r="P181" s="4"/>
      <c r="Q181" s="4"/>
      <c r="R181" s="4"/>
      <c r="S181" s="4"/>
      <c r="T181" s="4"/>
      <c r="U181" s="4"/>
      <c r="V181" s="4"/>
      <c r="W181" s="4"/>
    </row>
    <row r="182" spans="1:23" s="32" customFormat="1" ht="14.4" hidden="1" customHeight="1" x14ac:dyDescent="0.3">
      <c r="A182" s="22" t="s">
        <v>20</v>
      </c>
      <c r="B182" s="21">
        <v>46000</v>
      </c>
      <c r="C182" s="22" t="s">
        <v>16</v>
      </c>
      <c r="D182" s="214" t="s">
        <v>65</v>
      </c>
      <c r="E182" s="216" t="s">
        <v>212</v>
      </c>
      <c r="F182" s="26" t="s">
        <v>162</v>
      </c>
      <c r="G182" s="219">
        <v>46000</v>
      </c>
      <c r="H182" s="219">
        <v>46000</v>
      </c>
      <c r="I182" s="219">
        <v>46000</v>
      </c>
      <c r="J182" s="101"/>
      <c r="K182" s="44">
        <v>0.33333333333333331</v>
      </c>
      <c r="L182" s="45">
        <v>0.79166666666666663</v>
      </c>
      <c r="M182" s="11">
        <f t="shared" si="2"/>
        <v>11</v>
      </c>
      <c r="N182" s="214" t="s">
        <v>0</v>
      </c>
      <c r="P182" s="4"/>
      <c r="Q182" s="4"/>
      <c r="R182" s="4"/>
      <c r="S182" s="4"/>
      <c r="T182" s="4"/>
      <c r="U182" s="4"/>
      <c r="V182" s="4"/>
      <c r="W182" s="4"/>
    </row>
    <row r="183" spans="1:23" s="32" customFormat="1" ht="14.4" hidden="1" customHeight="1" x14ac:dyDescent="0.3">
      <c r="A183" s="22" t="s">
        <v>20</v>
      </c>
      <c r="B183" s="21">
        <v>46000</v>
      </c>
      <c r="C183" s="22" t="s">
        <v>31</v>
      </c>
      <c r="D183" s="215"/>
      <c r="E183" s="217"/>
      <c r="F183" s="27"/>
      <c r="G183" s="220"/>
      <c r="H183" s="220"/>
      <c r="I183" s="220"/>
      <c r="J183" s="19"/>
      <c r="K183" s="45">
        <v>0.35416666666666669</v>
      </c>
      <c r="L183" s="45">
        <v>0.39583333333333331</v>
      </c>
      <c r="M183" s="11">
        <f t="shared" si="2"/>
        <v>0.99999999999999911</v>
      </c>
      <c r="N183" s="215"/>
      <c r="P183" s="4"/>
      <c r="Q183" s="4"/>
      <c r="R183" s="4"/>
      <c r="S183" s="4"/>
      <c r="T183" s="4"/>
      <c r="U183" s="4"/>
      <c r="V183" s="4"/>
      <c r="W183" s="4"/>
    </row>
    <row r="184" spans="1:23" s="32" customFormat="1" ht="14.4" hidden="1" customHeight="1" x14ac:dyDescent="0.3">
      <c r="A184" s="22" t="s">
        <v>20</v>
      </c>
      <c r="B184" s="21">
        <v>46000</v>
      </c>
      <c r="C184" s="22" t="s">
        <v>17</v>
      </c>
      <c r="D184" s="216" t="s">
        <v>65</v>
      </c>
      <c r="E184" s="216" t="s">
        <v>197</v>
      </c>
      <c r="F184" s="26" t="s">
        <v>191</v>
      </c>
      <c r="G184" s="219">
        <v>45999</v>
      </c>
      <c r="H184" s="219">
        <v>46000</v>
      </c>
      <c r="I184" s="219">
        <v>46000</v>
      </c>
      <c r="J184" s="17"/>
      <c r="K184" s="45">
        <v>0.39583333333333331</v>
      </c>
      <c r="L184" s="45">
        <v>0.4375</v>
      </c>
      <c r="M184" s="11">
        <f t="shared" si="2"/>
        <v>1.0000000000000004</v>
      </c>
      <c r="N184" s="214" t="s">
        <v>0</v>
      </c>
      <c r="P184" s="4"/>
      <c r="Q184" s="4"/>
      <c r="R184" s="4"/>
      <c r="S184" s="4"/>
      <c r="T184" s="4"/>
      <c r="U184" s="4"/>
      <c r="V184" s="4"/>
      <c r="W184" s="4"/>
    </row>
    <row r="185" spans="1:23" s="32" customFormat="1" ht="14.4" hidden="1" customHeight="1" x14ac:dyDescent="0.3">
      <c r="A185" s="22" t="s">
        <v>20</v>
      </c>
      <c r="B185" s="21">
        <v>46000</v>
      </c>
      <c r="C185" s="22" t="s">
        <v>31</v>
      </c>
      <c r="D185" s="217"/>
      <c r="E185" s="217"/>
      <c r="F185" s="27"/>
      <c r="G185" s="220"/>
      <c r="H185" s="220"/>
      <c r="I185" s="220"/>
      <c r="J185" s="102"/>
      <c r="K185" s="44">
        <v>0.3125</v>
      </c>
      <c r="L185" s="45">
        <v>0.47916666666666669</v>
      </c>
      <c r="M185" s="11">
        <f t="shared" si="2"/>
        <v>4</v>
      </c>
      <c r="N185" s="215"/>
      <c r="P185" s="4"/>
      <c r="Q185" s="4"/>
      <c r="R185" s="4"/>
      <c r="S185" s="4"/>
      <c r="T185" s="4"/>
      <c r="U185" s="4"/>
      <c r="V185" s="4"/>
      <c r="W185" s="4"/>
    </row>
    <row r="186" spans="1:23" s="32" customFormat="1" ht="14.4" hidden="1" customHeight="1" x14ac:dyDescent="0.3">
      <c r="A186" s="22" t="s">
        <v>20</v>
      </c>
      <c r="B186" s="21">
        <v>46000</v>
      </c>
      <c r="C186" s="22" t="s">
        <v>47</v>
      </c>
      <c r="D186" s="216" t="s">
        <v>65</v>
      </c>
      <c r="E186" s="216" t="s">
        <v>58</v>
      </c>
      <c r="F186" s="26" t="s">
        <v>164</v>
      </c>
      <c r="G186" s="219">
        <v>45999</v>
      </c>
      <c r="H186" s="219">
        <v>46000</v>
      </c>
      <c r="I186" s="219">
        <v>46000</v>
      </c>
      <c r="J186" s="101"/>
      <c r="K186" s="44">
        <v>0.33333333333333331</v>
      </c>
      <c r="L186" s="45">
        <v>0.79166666666666663</v>
      </c>
      <c r="M186" s="11">
        <f t="shared" si="2"/>
        <v>11</v>
      </c>
      <c r="N186" s="224" t="s">
        <v>0</v>
      </c>
      <c r="P186" s="4"/>
      <c r="Q186" s="4"/>
      <c r="R186" s="4"/>
      <c r="S186" s="4"/>
      <c r="T186" s="4"/>
      <c r="U186" s="4"/>
      <c r="V186" s="4"/>
      <c r="W186" s="4"/>
    </row>
    <row r="187" spans="1:23" s="32" customFormat="1" ht="14.4" hidden="1" customHeight="1" x14ac:dyDescent="0.3">
      <c r="A187" s="22" t="s">
        <v>20</v>
      </c>
      <c r="B187" s="21">
        <v>46000</v>
      </c>
      <c r="C187" s="22" t="s">
        <v>31</v>
      </c>
      <c r="D187" s="217"/>
      <c r="E187" s="217"/>
      <c r="F187" s="27"/>
      <c r="G187" s="220"/>
      <c r="H187" s="220"/>
      <c r="I187" s="220"/>
      <c r="J187" s="19"/>
      <c r="K187" s="45">
        <v>0.4375</v>
      </c>
      <c r="L187" s="45">
        <v>0.47916666666666669</v>
      </c>
      <c r="M187" s="11">
        <f t="shared" si="2"/>
        <v>1.0000000000000004</v>
      </c>
      <c r="N187" s="225"/>
      <c r="P187" s="4"/>
      <c r="Q187" s="4"/>
      <c r="R187" s="4"/>
      <c r="S187" s="4"/>
      <c r="T187" s="4"/>
      <c r="U187" s="4"/>
      <c r="V187" s="4"/>
      <c r="W187" s="4"/>
    </row>
    <row r="188" spans="1:23" s="32" customFormat="1" ht="14.4" hidden="1" customHeight="1" x14ac:dyDescent="0.3">
      <c r="A188" s="22" t="s">
        <v>20</v>
      </c>
      <c r="B188" s="21">
        <v>46000</v>
      </c>
      <c r="C188" s="22" t="s">
        <v>15</v>
      </c>
      <c r="D188" s="216" t="s">
        <v>65</v>
      </c>
      <c r="E188" s="216" t="s">
        <v>92</v>
      </c>
      <c r="F188" s="26" t="s">
        <v>162</v>
      </c>
      <c r="G188" s="219">
        <v>45994</v>
      </c>
      <c r="H188" s="219">
        <v>46000</v>
      </c>
      <c r="I188" s="219">
        <v>46000</v>
      </c>
      <c r="J188" s="101"/>
      <c r="K188" s="44">
        <v>0.33333333333333331</v>
      </c>
      <c r="L188" s="45">
        <v>0.5</v>
      </c>
      <c r="M188" s="11">
        <f t="shared" si="2"/>
        <v>4</v>
      </c>
      <c r="N188" s="214" t="s">
        <v>0</v>
      </c>
      <c r="P188" s="4"/>
      <c r="Q188" s="4"/>
      <c r="R188" s="4"/>
      <c r="S188" s="4"/>
      <c r="T188" s="4"/>
      <c r="U188" s="4"/>
      <c r="V188" s="4"/>
      <c r="W188" s="4"/>
    </row>
    <row r="189" spans="1:23" s="32" customFormat="1" ht="14.4" hidden="1" customHeight="1" x14ac:dyDescent="0.3">
      <c r="A189" s="22" t="s">
        <v>20</v>
      </c>
      <c r="B189" s="21">
        <v>46000</v>
      </c>
      <c r="C189" s="22" t="s">
        <v>31</v>
      </c>
      <c r="D189" s="217"/>
      <c r="E189" s="217"/>
      <c r="F189" s="27"/>
      <c r="G189" s="220"/>
      <c r="H189" s="220"/>
      <c r="I189" s="220"/>
      <c r="J189" s="19"/>
      <c r="K189" s="45">
        <v>0.47916666666666669</v>
      </c>
      <c r="L189" s="45">
        <v>0.54166666666666663</v>
      </c>
      <c r="M189" s="11">
        <f t="shared" si="2"/>
        <v>1.4999999999999987</v>
      </c>
      <c r="N189" s="215"/>
      <c r="P189" s="4"/>
      <c r="Q189" s="4"/>
      <c r="R189" s="4"/>
      <c r="S189" s="4"/>
      <c r="T189" s="4"/>
      <c r="U189" s="4"/>
      <c r="V189" s="4"/>
      <c r="W189" s="4"/>
    </row>
    <row r="190" spans="1:23" s="32" customFormat="1" ht="14.4" hidden="1" customHeight="1" x14ac:dyDescent="0.3">
      <c r="A190" s="22" t="s">
        <v>20</v>
      </c>
      <c r="B190" s="21">
        <v>46000</v>
      </c>
      <c r="C190" s="22" t="s">
        <v>31</v>
      </c>
      <c r="D190" s="24" t="s">
        <v>27</v>
      </c>
      <c r="E190" s="24" t="s">
        <v>117</v>
      </c>
      <c r="F190" s="25" t="s">
        <v>61</v>
      </c>
      <c r="G190" s="21">
        <v>46000</v>
      </c>
      <c r="H190" s="21">
        <v>46000</v>
      </c>
      <c r="I190" s="21"/>
      <c r="J190" s="21"/>
      <c r="K190" s="45">
        <v>0.58333333333333337</v>
      </c>
      <c r="L190" s="45">
        <v>0.70833333333333337</v>
      </c>
      <c r="M190" s="11">
        <f t="shared" si="2"/>
        <v>3</v>
      </c>
      <c r="N190" s="11" t="s">
        <v>1</v>
      </c>
      <c r="P190" s="4"/>
      <c r="Q190" s="4"/>
      <c r="R190" s="4"/>
      <c r="S190" s="4"/>
      <c r="T190" s="4"/>
      <c r="U190" s="4"/>
      <c r="V190" s="4"/>
      <c r="W190" s="4"/>
    </row>
    <row r="191" spans="1:23" s="32" customFormat="1" ht="14.4" hidden="1" customHeight="1" x14ac:dyDescent="0.3">
      <c r="A191" s="22" t="s">
        <v>20</v>
      </c>
      <c r="B191" s="21">
        <v>46000</v>
      </c>
      <c r="C191" s="22" t="s">
        <v>15</v>
      </c>
      <c r="D191" s="32" t="s">
        <v>65</v>
      </c>
      <c r="E191" s="13" t="s">
        <v>223</v>
      </c>
      <c r="F191" s="26" t="s">
        <v>224</v>
      </c>
      <c r="G191" s="21">
        <v>46000</v>
      </c>
      <c r="H191" s="21">
        <v>46000</v>
      </c>
      <c r="I191" s="21">
        <v>46000</v>
      </c>
      <c r="J191" s="17"/>
      <c r="K191" s="47">
        <v>0.54166666666666663</v>
      </c>
      <c r="L191" s="47">
        <v>0.79166666666666663</v>
      </c>
      <c r="M191" s="11">
        <f t="shared" si="2"/>
        <v>6</v>
      </c>
      <c r="N191" s="11" t="s">
        <v>0</v>
      </c>
      <c r="P191" s="4"/>
      <c r="Q191" s="4"/>
      <c r="R191" s="4"/>
      <c r="S191" s="4"/>
      <c r="T191" s="4"/>
      <c r="U191" s="4"/>
      <c r="V191" s="4"/>
      <c r="W191" s="4"/>
    </row>
    <row r="192" spans="1:23" s="32" customFormat="1" ht="14.4" hidden="1" customHeight="1" x14ac:dyDescent="0.3">
      <c r="A192" s="22" t="s">
        <v>19</v>
      </c>
      <c r="B192" s="21">
        <v>46000</v>
      </c>
      <c r="C192" s="22" t="s">
        <v>7</v>
      </c>
      <c r="D192" s="216" t="s">
        <v>8</v>
      </c>
      <c r="E192" s="216" t="s">
        <v>206</v>
      </c>
      <c r="F192" s="26" t="s">
        <v>207</v>
      </c>
      <c r="G192" s="219">
        <v>46000</v>
      </c>
      <c r="H192" s="219">
        <v>46000</v>
      </c>
      <c r="I192" s="219">
        <v>46000</v>
      </c>
      <c r="J192" s="17"/>
      <c r="K192" s="47">
        <v>0.3125</v>
      </c>
      <c r="L192" s="47">
        <v>0.6875</v>
      </c>
      <c r="M192" s="11">
        <f t="shared" si="2"/>
        <v>9</v>
      </c>
      <c r="N192" s="214" t="s">
        <v>0</v>
      </c>
      <c r="P192" s="4"/>
      <c r="Q192" s="4"/>
      <c r="R192" s="4"/>
      <c r="S192" s="4"/>
      <c r="T192" s="4"/>
      <c r="U192" s="4"/>
      <c r="V192" s="4"/>
      <c r="W192" s="4"/>
    </row>
    <row r="193" spans="1:23" s="32" customFormat="1" ht="14.4" hidden="1" customHeight="1" x14ac:dyDescent="0.3">
      <c r="A193" s="22" t="s">
        <v>19</v>
      </c>
      <c r="B193" s="21">
        <v>46000</v>
      </c>
      <c r="C193" s="22" t="s">
        <v>167</v>
      </c>
      <c r="D193" s="217"/>
      <c r="E193" s="217"/>
      <c r="F193" s="27"/>
      <c r="G193" s="220"/>
      <c r="H193" s="220"/>
      <c r="I193" s="220"/>
      <c r="J193" s="19"/>
      <c r="K193" s="46">
        <v>0.3125</v>
      </c>
      <c r="L193" s="47">
        <v>0.6875</v>
      </c>
      <c r="M193" s="11">
        <f t="shared" si="2"/>
        <v>9</v>
      </c>
      <c r="N193" s="215"/>
      <c r="P193" s="4"/>
      <c r="Q193" s="4"/>
      <c r="R193" s="4"/>
      <c r="S193" s="4"/>
      <c r="T193" s="4"/>
      <c r="U193" s="4"/>
      <c r="V193" s="4"/>
      <c r="W193" s="4"/>
    </row>
    <row r="194" spans="1:23" s="32" customFormat="1" ht="14.4" hidden="1" customHeight="1" x14ac:dyDescent="0.3">
      <c r="A194" s="22" t="s">
        <v>19</v>
      </c>
      <c r="B194" s="21">
        <v>46000</v>
      </c>
      <c r="C194" s="22" t="s">
        <v>9</v>
      </c>
      <c r="D194" s="216" t="s">
        <v>32</v>
      </c>
      <c r="E194" s="216" t="s">
        <v>213</v>
      </c>
      <c r="F194" s="26" t="s">
        <v>214</v>
      </c>
      <c r="G194" s="219">
        <v>45999</v>
      </c>
      <c r="H194" s="219">
        <v>46000</v>
      </c>
      <c r="I194" s="219">
        <v>46000</v>
      </c>
      <c r="J194" s="17"/>
      <c r="K194" s="47">
        <v>0.3125</v>
      </c>
      <c r="L194" s="45">
        <v>0.60416666666666663</v>
      </c>
      <c r="M194" s="11">
        <f t="shared" si="2"/>
        <v>6.9999999999999991</v>
      </c>
      <c r="N194" s="214" t="s">
        <v>0</v>
      </c>
      <c r="P194" s="4"/>
      <c r="Q194" s="4"/>
      <c r="R194" s="4"/>
      <c r="S194" s="4"/>
      <c r="T194" s="4"/>
      <c r="U194" s="4"/>
      <c r="V194" s="4"/>
      <c r="W194" s="4"/>
    </row>
    <row r="195" spans="1:23" s="32" customFormat="1" ht="14.4" hidden="1" customHeight="1" x14ac:dyDescent="0.3">
      <c r="A195" s="22" t="s">
        <v>19</v>
      </c>
      <c r="B195" s="21">
        <v>46000</v>
      </c>
      <c r="C195" s="22" t="s">
        <v>208</v>
      </c>
      <c r="D195" s="217"/>
      <c r="E195" s="217"/>
      <c r="F195" s="27"/>
      <c r="G195" s="220"/>
      <c r="H195" s="220"/>
      <c r="I195" s="220"/>
      <c r="J195" s="19"/>
      <c r="K195" s="46">
        <v>0.3125</v>
      </c>
      <c r="L195" s="45">
        <v>0.60416666666666663</v>
      </c>
      <c r="M195" s="11">
        <f t="shared" ref="M195:M258" si="3">MOD(L195-K195,1)*24</f>
        <v>6.9999999999999991</v>
      </c>
      <c r="N195" s="215"/>
      <c r="P195" s="4"/>
      <c r="Q195" s="4"/>
      <c r="R195" s="4"/>
      <c r="S195" s="4"/>
      <c r="T195" s="4"/>
      <c r="U195" s="4"/>
      <c r="V195" s="4"/>
      <c r="W195" s="4"/>
    </row>
    <row r="196" spans="1:23" s="32" customFormat="1" ht="14.4" hidden="1" customHeight="1" x14ac:dyDescent="0.3">
      <c r="A196" s="22" t="s">
        <v>19</v>
      </c>
      <c r="B196" s="21">
        <v>46000</v>
      </c>
      <c r="C196" s="22" t="s">
        <v>9</v>
      </c>
      <c r="D196" s="216" t="s">
        <v>8</v>
      </c>
      <c r="E196" s="216" t="s">
        <v>168</v>
      </c>
      <c r="F196" s="26" t="s">
        <v>215</v>
      </c>
      <c r="G196" s="30">
        <v>45999</v>
      </c>
      <c r="H196" s="21">
        <v>46000</v>
      </c>
      <c r="I196" s="219"/>
      <c r="J196" s="17"/>
      <c r="K196" s="45">
        <v>0.60416666666666663</v>
      </c>
      <c r="L196" s="45">
        <v>0.60416666666666663</v>
      </c>
      <c r="M196" s="11">
        <f t="shared" si="3"/>
        <v>0</v>
      </c>
      <c r="N196" s="214" t="s">
        <v>30</v>
      </c>
      <c r="P196" s="4"/>
      <c r="Q196" s="4"/>
      <c r="R196" s="4"/>
      <c r="S196" s="4"/>
      <c r="T196" s="4"/>
      <c r="U196" s="4"/>
      <c r="V196" s="4"/>
      <c r="W196" s="4"/>
    </row>
    <row r="197" spans="1:23" s="32" customFormat="1" ht="14.4" hidden="1" customHeight="1" x14ac:dyDescent="0.3">
      <c r="A197" s="22" t="s">
        <v>19</v>
      </c>
      <c r="B197" s="21">
        <v>46000</v>
      </c>
      <c r="C197" s="22" t="s">
        <v>208</v>
      </c>
      <c r="D197" s="217"/>
      <c r="E197" s="217"/>
      <c r="F197" s="27"/>
      <c r="G197" s="30">
        <v>45999</v>
      </c>
      <c r="H197" s="21">
        <v>46000</v>
      </c>
      <c r="I197" s="220"/>
      <c r="J197" s="19"/>
      <c r="K197" s="45">
        <v>0.60416666666666663</v>
      </c>
      <c r="L197" s="45">
        <v>0.60416666666666663</v>
      </c>
      <c r="M197" s="11">
        <f t="shared" si="3"/>
        <v>0</v>
      </c>
      <c r="N197" s="215"/>
      <c r="P197" s="4"/>
      <c r="Q197" s="4"/>
      <c r="R197" s="4"/>
      <c r="S197" s="4"/>
      <c r="T197" s="4"/>
      <c r="U197" s="4"/>
      <c r="V197" s="4"/>
      <c r="W197" s="4"/>
    </row>
    <row r="198" spans="1:23" s="32" customFormat="1" ht="14.4" hidden="1" customHeight="1" x14ac:dyDescent="0.3">
      <c r="A198" s="22" t="s">
        <v>21</v>
      </c>
      <c r="B198" s="21">
        <v>46000</v>
      </c>
      <c r="C198" s="22" t="s">
        <v>26</v>
      </c>
      <c r="D198" s="24" t="s">
        <v>27</v>
      </c>
      <c r="E198" s="24" t="s">
        <v>82</v>
      </c>
      <c r="F198" s="25" t="s">
        <v>209</v>
      </c>
      <c r="G198" s="21">
        <v>46000</v>
      </c>
      <c r="H198" s="21">
        <v>46000</v>
      </c>
      <c r="I198" s="21">
        <v>46000</v>
      </c>
      <c r="J198" s="21"/>
      <c r="K198" s="45">
        <v>0.33333333333333331</v>
      </c>
      <c r="L198" s="45">
        <v>0.70833333333333337</v>
      </c>
      <c r="M198" s="11">
        <f t="shared" si="3"/>
        <v>9.0000000000000018</v>
      </c>
      <c r="N198" s="11" t="s">
        <v>0</v>
      </c>
      <c r="P198" s="4"/>
      <c r="Q198" s="4"/>
      <c r="R198" s="4"/>
      <c r="S198" s="4"/>
      <c r="T198" s="4"/>
      <c r="U198" s="4"/>
      <c r="V198" s="4"/>
      <c r="W198" s="4"/>
    </row>
    <row r="199" spans="1:23" s="32" customFormat="1" ht="14.4" hidden="1" customHeight="1" x14ac:dyDescent="0.3">
      <c r="A199" s="22" t="s">
        <v>21</v>
      </c>
      <c r="B199" s="21">
        <v>46000</v>
      </c>
      <c r="C199" s="22" t="s">
        <v>50</v>
      </c>
      <c r="D199" s="24" t="s">
        <v>24</v>
      </c>
      <c r="E199" s="24" t="s">
        <v>128</v>
      </c>
      <c r="F199" s="27" t="s">
        <v>210</v>
      </c>
      <c r="G199" s="21">
        <v>46000</v>
      </c>
      <c r="H199" s="21">
        <v>46000</v>
      </c>
      <c r="I199" s="21"/>
      <c r="J199" s="21"/>
      <c r="K199" s="45">
        <v>0.33333333333333331</v>
      </c>
      <c r="L199" s="45">
        <v>0.54166666666666663</v>
      </c>
      <c r="M199" s="11">
        <f t="shared" si="3"/>
        <v>5</v>
      </c>
      <c r="N199" s="11" t="s">
        <v>1</v>
      </c>
      <c r="P199" s="4"/>
      <c r="Q199" s="4"/>
      <c r="R199" s="4"/>
      <c r="S199" s="4"/>
      <c r="T199" s="4"/>
      <c r="U199" s="4"/>
      <c r="V199" s="4"/>
      <c r="W199" s="4"/>
    </row>
    <row r="200" spans="1:23" s="32" customFormat="1" ht="14.4" hidden="1" customHeight="1" x14ac:dyDescent="0.3">
      <c r="A200" s="22" t="s">
        <v>21</v>
      </c>
      <c r="B200" s="21">
        <v>46000</v>
      </c>
      <c r="C200" s="22" t="s">
        <v>18</v>
      </c>
      <c r="D200" s="214" t="s">
        <v>8</v>
      </c>
      <c r="E200" s="214" t="s">
        <v>73</v>
      </c>
      <c r="F200" s="28" t="s">
        <v>152</v>
      </c>
      <c r="G200" s="219">
        <v>45997</v>
      </c>
      <c r="H200" s="219">
        <v>46002</v>
      </c>
      <c r="I200" s="219"/>
      <c r="J200" s="17"/>
      <c r="K200" s="45">
        <v>0.3125</v>
      </c>
      <c r="L200" s="45">
        <v>0.72916666666666663</v>
      </c>
      <c r="M200" s="11">
        <f t="shared" si="3"/>
        <v>10</v>
      </c>
      <c r="N200" s="214" t="s">
        <v>1</v>
      </c>
      <c r="P200" s="4"/>
      <c r="Q200" s="4"/>
      <c r="R200" s="4"/>
      <c r="S200" s="4"/>
      <c r="T200" s="4"/>
      <c r="U200" s="4"/>
      <c r="V200" s="4"/>
      <c r="W200" s="4"/>
    </row>
    <row r="201" spans="1:23" s="32" customFormat="1" ht="14.4" hidden="1" customHeight="1" x14ac:dyDescent="0.3">
      <c r="A201" s="22" t="s">
        <v>21</v>
      </c>
      <c r="B201" s="21">
        <v>46000</v>
      </c>
      <c r="C201" s="22" t="s">
        <v>36</v>
      </c>
      <c r="D201" s="215"/>
      <c r="E201" s="215"/>
      <c r="F201" s="29"/>
      <c r="G201" s="220"/>
      <c r="H201" s="220"/>
      <c r="I201" s="220"/>
      <c r="J201" s="19"/>
      <c r="K201" s="45">
        <v>0.3125</v>
      </c>
      <c r="L201" s="45">
        <v>0.72916666666666663</v>
      </c>
      <c r="M201" s="11">
        <f t="shared" si="3"/>
        <v>10</v>
      </c>
      <c r="N201" s="215"/>
      <c r="P201" s="4"/>
      <c r="Q201" s="4"/>
      <c r="R201" s="4"/>
      <c r="S201" s="4"/>
      <c r="T201" s="4"/>
      <c r="U201" s="4"/>
      <c r="V201" s="4"/>
      <c r="W201" s="4"/>
    </row>
    <row r="202" spans="1:23" s="32" customFormat="1" ht="14.4" hidden="1" customHeight="1" x14ac:dyDescent="0.3">
      <c r="A202" s="22" t="s">
        <v>21</v>
      </c>
      <c r="B202" s="21">
        <v>46000</v>
      </c>
      <c r="C202" s="22" t="s">
        <v>56</v>
      </c>
      <c r="D202" s="13" t="s">
        <v>8</v>
      </c>
      <c r="E202" s="24" t="s">
        <v>168</v>
      </c>
      <c r="F202" s="25" t="s">
        <v>199</v>
      </c>
      <c r="G202" s="21">
        <v>46000</v>
      </c>
      <c r="H202" s="21">
        <v>46000</v>
      </c>
      <c r="I202" s="21">
        <v>46000</v>
      </c>
      <c r="J202" s="70"/>
      <c r="K202" s="44">
        <v>0.3125</v>
      </c>
      <c r="L202" s="45">
        <v>0.5</v>
      </c>
      <c r="M202" s="11">
        <f t="shared" si="3"/>
        <v>4.5</v>
      </c>
      <c r="N202" s="11" t="s">
        <v>0</v>
      </c>
      <c r="P202" s="4"/>
      <c r="Q202" s="4"/>
      <c r="R202" s="4"/>
      <c r="S202" s="4"/>
      <c r="T202" s="4"/>
      <c r="U202" s="4"/>
      <c r="V202" s="4"/>
      <c r="W202" s="4"/>
    </row>
    <row r="203" spans="1:23" s="32" customFormat="1" ht="14.4" hidden="1" customHeight="1" x14ac:dyDescent="0.3">
      <c r="A203" s="22" t="s">
        <v>21</v>
      </c>
      <c r="B203" s="21">
        <v>46000</v>
      </c>
      <c r="C203" s="22" t="s">
        <v>56</v>
      </c>
      <c r="D203" s="13" t="s">
        <v>27</v>
      </c>
      <c r="E203" s="13" t="s">
        <v>216</v>
      </c>
      <c r="F203" s="26" t="s">
        <v>217</v>
      </c>
      <c r="G203" s="21">
        <v>46000</v>
      </c>
      <c r="H203" s="21">
        <v>46001</v>
      </c>
      <c r="I203" s="17"/>
      <c r="J203" s="101"/>
      <c r="K203" s="44">
        <v>0.54166666666666663</v>
      </c>
      <c r="L203" s="45">
        <v>0.6875</v>
      </c>
      <c r="M203" s="11">
        <f t="shared" si="3"/>
        <v>3.5000000000000009</v>
      </c>
      <c r="N203" s="11" t="s">
        <v>1</v>
      </c>
      <c r="P203" s="4"/>
      <c r="Q203" s="4"/>
      <c r="R203" s="4"/>
      <c r="S203" s="4"/>
      <c r="T203" s="4"/>
      <c r="U203" s="4"/>
      <c r="V203" s="4"/>
      <c r="W203" s="4"/>
    </row>
    <row r="204" spans="1:23" s="32" customFormat="1" ht="14.4" hidden="1" customHeight="1" x14ac:dyDescent="0.3">
      <c r="A204" s="22" t="s">
        <v>21</v>
      </c>
      <c r="B204" s="21">
        <v>46000</v>
      </c>
      <c r="C204" s="22" t="s">
        <v>25</v>
      </c>
      <c r="D204" s="216" t="s">
        <v>54</v>
      </c>
      <c r="E204" s="216" t="s">
        <v>200</v>
      </c>
      <c r="F204" s="26" t="s">
        <v>201</v>
      </c>
      <c r="G204" s="219">
        <v>46000</v>
      </c>
      <c r="H204" s="219">
        <v>46000</v>
      </c>
      <c r="I204" s="219">
        <v>46000</v>
      </c>
      <c r="J204" s="17"/>
      <c r="K204" s="45">
        <v>0.3125</v>
      </c>
      <c r="L204" s="45">
        <v>0.5</v>
      </c>
      <c r="M204" s="11">
        <f t="shared" si="3"/>
        <v>4.5</v>
      </c>
      <c r="N204" s="214" t="s">
        <v>0</v>
      </c>
      <c r="P204" s="4"/>
      <c r="Q204" s="4"/>
      <c r="R204" s="4"/>
      <c r="S204" s="4"/>
      <c r="T204" s="4"/>
      <c r="U204" s="4"/>
      <c r="V204" s="4"/>
      <c r="W204" s="4"/>
    </row>
    <row r="205" spans="1:23" s="32" customFormat="1" ht="14.4" hidden="1" customHeight="1" x14ac:dyDescent="0.3">
      <c r="A205" s="12" t="s">
        <v>21</v>
      </c>
      <c r="B205" s="21">
        <v>46000</v>
      </c>
      <c r="C205" s="12" t="s">
        <v>118</v>
      </c>
      <c r="D205" s="217"/>
      <c r="E205" s="217"/>
      <c r="F205" s="27"/>
      <c r="G205" s="220"/>
      <c r="H205" s="220"/>
      <c r="I205" s="220"/>
      <c r="J205" s="19"/>
      <c r="K205" s="45">
        <v>0.3125</v>
      </c>
      <c r="L205" s="45">
        <v>0.5</v>
      </c>
      <c r="M205" s="11">
        <f t="shared" si="3"/>
        <v>4.5</v>
      </c>
      <c r="N205" s="215"/>
      <c r="P205" s="4"/>
      <c r="Q205" s="4"/>
      <c r="R205" s="4"/>
      <c r="S205" s="4"/>
      <c r="T205" s="4"/>
      <c r="U205" s="4"/>
      <c r="V205" s="4"/>
      <c r="W205" s="4"/>
    </row>
    <row r="206" spans="1:23" s="32" customFormat="1" ht="14.4" hidden="1" customHeight="1" x14ac:dyDescent="0.3">
      <c r="A206" s="22" t="s">
        <v>21</v>
      </c>
      <c r="B206" s="21">
        <v>46000</v>
      </c>
      <c r="C206" s="22" t="s">
        <v>25</v>
      </c>
      <c r="D206" s="216" t="s">
        <v>54</v>
      </c>
      <c r="E206" s="216" t="s">
        <v>218</v>
      </c>
      <c r="F206" s="26" t="s">
        <v>219</v>
      </c>
      <c r="G206" s="219">
        <v>46000</v>
      </c>
      <c r="H206" s="219">
        <v>46001</v>
      </c>
      <c r="I206" s="19"/>
      <c r="J206" s="102"/>
      <c r="K206" s="44">
        <v>0.54166666666666663</v>
      </c>
      <c r="L206" s="45">
        <v>0.6875</v>
      </c>
      <c r="M206" s="11">
        <f t="shared" si="3"/>
        <v>3.5000000000000009</v>
      </c>
      <c r="N206" s="214" t="s">
        <v>1</v>
      </c>
      <c r="P206" s="4"/>
      <c r="Q206" s="4"/>
      <c r="R206" s="4"/>
      <c r="S206" s="4"/>
      <c r="T206" s="4"/>
      <c r="U206" s="4"/>
      <c r="V206" s="4"/>
      <c r="W206" s="4"/>
    </row>
    <row r="207" spans="1:23" s="32" customFormat="1" ht="14.4" hidden="1" customHeight="1" x14ac:dyDescent="0.3">
      <c r="A207" s="12" t="s">
        <v>21</v>
      </c>
      <c r="B207" s="21">
        <v>46000</v>
      </c>
      <c r="C207" s="12" t="s">
        <v>118</v>
      </c>
      <c r="D207" s="217"/>
      <c r="E207" s="217"/>
      <c r="F207" s="27"/>
      <c r="G207" s="220"/>
      <c r="H207" s="220"/>
      <c r="I207" s="19"/>
      <c r="J207" s="102"/>
      <c r="K207" s="44">
        <v>0.54166666666666663</v>
      </c>
      <c r="L207" s="45">
        <v>0.6875</v>
      </c>
      <c r="M207" s="11">
        <f t="shared" si="3"/>
        <v>3.5000000000000009</v>
      </c>
      <c r="N207" s="215"/>
      <c r="P207" s="4"/>
      <c r="Q207" s="4"/>
      <c r="R207" s="4"/>
      <c r="S207" s="4"/>
      <c r="T207" s="4"/>
      <c r="U207" s="4"/>
      <c r="V207" s="4"/>
      <c r="W207" s="4"/>
    </row>
    <row r="208" spans="1:23" s="32" customFormat="1" ht="14.4" hidden="1" customHeight="1" x14ac:dyDescent="0.3">
      <c r="A208" s="22" t="s">
        <v>21</v>
      </c>
      <c r="B208" s="21">
        <v>46000</v>
      </c>
      <c r="C208" s="22" t="s">
        <v>55</v>
      </c>
      <c r="D208" s="24" t="s">
        <v>43</v>
      </c>
      <c r="E208" s="13" t="s">
        <v>154</v>
      </c>
      <c r="F208" s="26" t="s">
        <v>146</v>
      </c>
      <c r="G208" s="21">
        <v>46000</v>
      </c>
      <c r="H208" s="21">
        <v>46000</v>
      </c>
      <c r="I208" s="21">
        <v>46000</v>
      </c>
      <c r="J208" s="70"/>
      <c r="K208" s="44">
        <v>0.3125</v>
      </c>
      <c r="L208" s="45">
        <v>0.6875</v>
      </c>
      <c r="M208" s="11">
        <f t="shared" si="3"/>
        <v>9</v>
      </c>
      <c r="N208" s="11" t="s">
        <v>0</v>
      </c>
      <c r="P208" s="4"/>
      <c r="Q208" s="4"/>
      <c r="R208" s="4"/>
      <c r="S208" s="4"/>
      <c r="T208" s="4"/>
      <c r="U208" s="4"/>
      <c r="V208" s="4"/>
      <c r="W208" s="4"/>
    </row>
    <row r="209" spans="1:23" s="32" customFormat="1" ht="28.8" hidden="1" customHeight="1" x14ac:dyDescent="0.3">
      <c r="A209" s="22" t="s">
        <v>20</v>
      </c>
      <c r="B209" s="21">
        <v>46000</v>
      </c>
      <c r="C209" s="22" t="s">
        <v>12</v>
      </c>
      <c r="D209" s="13" t="s">
        <v>44</v>
      </c>
      <c r="E209" s="13" t="s">
        <v>202</v>
      </c>
      <c r="F209" s="26" t="s">
        <v>203</v>
      </c>
      <c r="G209" s="21">
        <v>46000</v>
      </c>
      <c r="H209" s="21">
        <v>46006</v>
      </c>
      <c r="I209" s="21">
        <v>46000</v>
      </c>
      <c r="J209" s="21"/>
      <c r="K209" s="45">
        <v>0.3125</v>
      </c>
      <c r="L209" s="45">
        <v>0.6875</v>
      </c>
      <c r="M209" s="11">
        <f t="shared" si="3"/>
        <v>9</v>
      </c>
      <c r="N209" s="11" t="s">
        <v>0</v>
      </c>
      <c r="P209" s="4"/>
      <c r="Q209" s="4"/>
      <c r="R209" s="4"/>
      <c r="S209" s="4"/>
      <c r="T209" s="4"/>
      <c r="U209" s="4"/>
      <c r="V209" s="4"/>
      <c r="W209" s="4"/>
    </row>
    <row r="210" spans="1:23" s="32" customFormat="1" ht="28.8" hidden="1" customHeight="1" x14ac:dyDescent="0.3">
      <c r="A210" s="22" t="s">
        <v>20</v>
      </c>
      <c r="B210" s="21">
        <v>46000</v>
      </c>
      <c r="C210" s="22" t="s">
        <v>135</v>
      </c>
      <c r="D210" s="13" t="s">
        <v>44</v>
      </c>
      <c r="E210" s="13" t="s">
        <v>204</v>
      </c>
      <c r="F210" s="26" t="s">
        <v>203</v>
      </c>
      <c r="G210" s="21">
        <v>46000</v>
      </c>
      <c r="H210" s="21">
        <v>46006</v>
      </c>
      <c r="I210" s="21">
        <v>46000</v>
      </c>
      <c r="J210" s="21"/>
      <c r="K210" s="45">
        <v>0.3125</v>
      </c>
      <c r="L210" s="45">
        <v>0.6875</v>
      </c>
      <c r="M210" s="11">
        <f t="shared" si="3"/>
        <v>9</v>
      </c>
      <c r="N210" s="11" t="s">
        <v>0</v>
      </c>
      <c r="P210" s="4"/>
      <c r="Q210" s="4"/>
      <c r="R210" s="4"/>
      <c r="S210" s="4"/>
      <c r="T210" s="4"/>
      <c r="U210" s="4"/>
      <c r="V210" s="4"/>
      <c r="W210" s="4"/>
    </row>
    <row r="211" spans="1:23" s="32" customFormat="1" ht="14.4" hidden="1" customHeight="1" x14ac:dyDescent="0.3">
      <c r="A211" s="22" t="s">
        <v>20</v>
      </c>
      <c r="B211" s="21">
        <v>46000</v>
      </c>
      <c r="C211" s="22" t="s">
        <v>33</v>
      </c>
      <c r="D211" s="216" t="s">
        <v>44</v>
      </c>
      <c r="E211" s="216" t="s">
        <v>99</v>
      </c>
      <c r="F211" s="26" t="s">
        <v>205</v>
      </c>
      <c r="G211" s="219">
        <v>46000</v>
      </c>
      <c r="H211" s="21">
        <v>46006</v>
      </c>
      <c r="I211" s="219">
        <v>46000</v>
      </c>
      <c r="J211" s="17"/>
      <c r="K211" s="45">
        <v>0.33333333333333331</v>
      </c>
      <c r="L211" s="45">
        <v>0.70833333333333337</v>
      </c>
      <c r="M211" s="11">
        <f t="shared" si="3"/>
        <v>9.0000000000000018</v>
      </c>
      <c r="N211" s="224" t="s">
        <v>0</v>
      </c>
      <c r="P211" s="4"/>
      <c r="Q211" s="4"/>
      <c r="R211" s="4"/>
      <c r="S211" s="4"/>
      <c r="T211" s="4"/>
      <c r="U211" s="4"/>
      <c r="V211" s="4"/>
      <c r="W211" s="4"/>
    </row>
    <row r="212" spans="1:23" s="32" customFormat="1" ht="14.4" hidden="1" customHeight="1" x14ac:dyDescent="0.3">
      <c r="A212" s="22" t="s">
        <v>20</v>
      </c>
      <c r="B212" s="21">
        <v>46000</v>
      </c>
      <c r="C212" s="22" t="s">
        <v>13</v>
      </c>
      <c r="D212" s="217"/>
      <c r="E212" s="217"/>
      <c r="F212" s="27"/>
      <c r="G212" s="220"/>
      <c r="H212" s="21">
        <v>46006</v>
      </c>
      <c r="I212" s="220"/>
      <c r="J212" s="19"/>
      <c r="K212" s="45">
        <v>0.33333333333333331</v>
      </c>
      <c r="L212" s="45">
        <v>0.70833333333333337</v>
      </c>
      <c r="M212" s="11">
        <f t="shared" si="3"/>
        <v>9.0000000000000018</v>
      </c>
      <c r="N212" s="225"/>
      <c r="P212" s="4"/>
      <c r="Q212" s="4"/>
      <c r="R212" s="4"/>
      <c r="S212" s="4"/>
      <c r="T212" s="4"/>
      <c r="U212" s="4"/>
      <c r="V212" s="4"/>
      <c r="W212" s="4"/>
    </row>
    <row r="213" spans="1:23" s="32" customFormat="1" ht="14.4" hidden="1" customHeight="1" x14ac:dyDescent="0.3">
      <c r="A213" s="22" t="s">
        <v>20</v>
      </c>
      <c r="B213" s="21">
        <v>46000</v>
      </c>
      <c r="C213" s="22" t="s">
        <v>12</v>
      </c>
      <c r="D213" s="216" t="s">
        <v>65</v>
      </c>
      <c r="E213" s="233" t="s">
        <v>220</v>
      </c>
      <c r="F213" s="31" t="s">
        <v>221</v>
      </c>
      <c r="G213" s="219">
        <v>46000</v>
      </c>
      <c r="H213" s="219">
        <v>46021</v>
      </c>
      <c r="I213" s="219">
        <v>46000</v>
      </c>
      <c r="J213" s="17"/>
      <c r="K213" s="45">
        <v>0.58333333333333337</v>
      </c>
      <c r="L213" s="45">
        <v>0.6875</v>
      </c>
      <c r="M213" s="11">
        <f t="shared" si="3"/>
        <v>2.4999999999999991</v>
      </c>
      <c r="N213" s="224" t="s">
        <v>0</v>
      </c>
      <c r="P213" s="4"/>
      <c r="Q213" s="4"/>
      <c r="R213" s="4"/>
      <c r="S213" s="4"/>
      <c r="T213" s="4"/>
      <c r="U213" s="4"/>
      <c r="V213" s="4"/>
      <c r="W213" s="4"/>
    </row>
    <row r="214" spans="1:23" s="32" customFormat="1" ht="14.4" hidden="1" customHeight="1" x14ac:dyDescent="0.3">
      <c r="A214" s="22" t="s">
        <v>20</v>
      </c>
      <c r="B214" s="21">
        <v>46000</v>
      </c>
      <c r="C214" s="22" t="s">
        <v>135</v>
      </c>
      <c r="D214" s="217"/>
      <c r="E214" s="233"/>
      <c r="F214" s="31"/>
      <c r="G214" s="220"/>
      <c r="H214" s="220"/>
      <c r="I214" s="220"/>
      <c r="J214" s="19"/>
      <c r="K214" s="45">
        <v>0.58333333333333337</v>
      </c>
      <c r="L214" s="45">
        <v>0.6875</v>
      </c>
      <c r="M214" s="11">
        <f t="shared" si="3"/>
        <v>2.4999999999999991</v>
      </c>
      <c r="N214" s="225"/>
      <c r="P214" s="4"/>
      <c r="Q214" s="4"/>
      <c r="R214" s="4"/>
      <c r="S214" s="4"/>
      <c r="T214" s="4"/>
      <c r="U214" s="4"/>
      <c r="V214" s="4"/>
      <c r="W214" s="4"/>
    </row>
    <row r="215" spans="1:23" s="32" customFormat="1" ht="14.4" hidden="1" customHeight="1" x14ac:dyDescent="0.3">
      <c r="A215" s="22" t="s">
        <v>20</v>
      </c>
      <c r="B215" s="21">
        <v>46000</v>
      </c>
      <c r="C215" s="22" t="s">
        <v>14</v>
      </c>
      <c r="D215" s="22" t="s">
        <v>44</v>
      </c>
      <c r="E215" s="22" t="s">
        <v>155</v>
      </c>
      <c r="F215" s="25" t="s">
        <v>222</v>
      </c>
      <c r="G215" s="21">
        <v>46000</v>
      </c>
      <c r="H215" s="21">
        <v>46011</v>
      </c>
      <c r="I215" s="21">
        <v>46000</v>
      </c>
      <c r="J215" s="70"/>
      <c r="K215" s="44">
        <v>0.29166666666666669</v>
      </c>
      <c r="L215" s="45">
        <v>0.6875</v>
      </c>
      <c r="M215" s="11">
        <f t="shared" si="3"/>
        <v>9.5</v>
      </c>
      <c r="N215" s="11" t="s">
        <v>0</v>
      </c>
      <c r="P215" s="4"/>
      <c r="Q215" s="4"/>
      <c r="R215" s="4"/>
      <c r="S215" s="4"/>
      <c r="T215" s="4"/>
      <c r="U215" s="4"/>
      <c r="V215" s="4"/>
      <c r="W215" s="4"/>
    </row>
    <row r="216" spans="1:23" s="32" customFormat="1" ht="14.4" hidden="1" customHeight="1" x14ac:dyDescent="0.3">
      <c r="A216" s="22" t="s">
        <v>20</v>
      </c>
      <c r="B216" s="21">
        <v>46001</v>
      </c>
      <c r="C216" s="22" t="s">
        <v>28</v>
      </c>
      <c r="D216" s="216" t="s">
        <v>65</v>
      </c>
      <c r="E216" s="221" t="s">
        <v>228</v>
      </c>
      <c r="F216" s="25" t="s">
        <v>229</v>
      </c>
      <c r="G216" s="219">
        <v>46001</v>
      </c>
      <c r="H216" s="219">
        <v>46001</v>
      </c>
      <c r="I216" s="219">
        <v>46001</v>
      </c>
      <c r="J216" s="101"/>
      <c r="K216" s="44">
        <v>0.33333333333333331</v>
      </c>
      <c r="L216" s="45">
        <v>0.75</v>
      </c>
      <c r="M216" s="11">
        <f t="shared" si="3"/>
        <v>10</v>
      </c>
      <c r="N216" s="214" t="s">
        <v>0</v>
      </c>
      <c r="P216" s="4"/>
      <c r="Q216" s="4"/>
      <c r="R216" s="4"/>
      <c r="S216" s="4"/>
      <c r="T216" s="4"/>
      <c r="U216" s="4"/>
      <c r="V216" s="4"/>
      <c r="W216" s="4"/>
    </row>
    <row r="217" spans="1:23" s="32" customFormat="1" ht="14.4" hidden="1" customHeight="1" x14ac:dyDescent="0.3">
      <c r="A217" s="22" t="s">
        <v>20</v>
      </c>
      <c r="B217" s="21">
        <v>46001</v>
      </c>
      <c r="C217" s="22" t="s">
        <v>31</v>
      </c>
      <c r="D217" s="217"/>
      <c r="E217" s="221"/>
      <c r="F217" s="25"/>
      <c r="G217" s="220"/>
      <c r="H217" s="220"/>
      <c r="I217" s="220"/>
      <c r="J217" s="102"/>
      <c r="K217" s="44">
        <v>0.3125</v>
      </c>
      <c r="L217" s="45">
        <v>0.35416666666666669</v>
      </c>
      <c r="M217" s="11">
        <f t="shared" si="3"/>
        <v>1.0000000000000004</v>
      </c>
      <c r="N217" s="215"/>
      <c r="P217" s="4"/>
      <c r="Q217" s="4"/>
      <c r="R217" s="4"/>
      <c r="S217" s="4"/>
      <c r="T217" s="4"/>
      <c r="U217" s="4"/>
      <c r="V217" s="4"/>
      <c r="W217" s="4"/>
    </row>
    <row r="218" spans="1:23" s="32" customFormat="1" ht="14.4" hidden="1" customHeight="1" x14ac:dyDescent="0.3">
      <c r="A218" s="22" t="s">
        <v>20</v>
      </c>
      <c r="B218" s="21">
        <v>46001</v>
      </c>
      <c r="C218" s="22" t="s">
        <v>15</v>
      </c>
      <c r="D218" s="214" t="s">
        <v>65</v>
      </c>
      <c r="E218" s="216" t="s">
        <v>223</v>
      </c>
      <c r="F218" s="26" t="s">
        <v>160</v>
      </c>
      <c r="G218" s="219">
        <v>46000</v>
      </c>
      <c r="H218" s="219">
        <v>46001</v>
      </c>
      <c r="I218" s="219">
        <v>46001</v>
      </c>
      <c r="J218" s="101"/>
      <c r="K218" s="44">
        <v>0.33333333333333331</v>
      </c>
      <c r="L218" s="45">
        <v>0.79166666666666663</v>
      </c>
      <c r="M218" s="11">
        <f t="shared" si="3"/>
        <v>11</v>
      </c>
      <c r="N218" s="214" t="s">
        <v>0</v>
      </c>
      <c r="P218" s="4"/>
      <c r="Q218" s="4"/>
      <c r="R218" s="4"/>
      <c r="S218" s="4"/>
      <c r="T218" s="4"/>
      <c r="U218" s="4"/>
      <c r="V218" s="4"/>
      <c r="W218" s="4"/>
    </row>
    <row r="219" spans="1:23" s="32" customFormat="1" ht="14.4" hidden="1" customHeight="1" x14ac:dyDescent="0.3">
      <c r="A219" s="22" t="s">
        <v>20</v>
      </c>
      <c r="B219" s="21">
        <v>46001</v>
      </c>
      <c r="C219" s="22" t="s">
        <v>31</v>
      </c>
      <c r="D219" s="215"/>
      <c r="E219" s="217"/>
      <c r="F219" s="27"/>
      <c r="G219" s="220"/>
      <c r="H219" s="220"/>
      <c r="I219" s="220"/>
      <c r="J219" s="19"/>
      <c r="K219" s="45">
        <v>0.35416666666666669</v>
      </c>
      <c r="L219" s="45">
        <v>0.39583333333333331</v>
      </c>
      <c r="M219" s="11">
        <f t="shared" si="3"/>
        <v>0.99999999999999911</v>
      </c>
      <c r="N219" s="215"/>
      <c r="P219" s="4"/>
      <c r="Q219" s="4"/>
      <c r="R219" s="4"/>
      <c r="S219" s="4"/>
      <c r="T219" s="4"/>
      <c r="U219" s="4"/>
      <c r="V219" s="4"/>
      <c r="W219" s="4"/>
    </row>
    <row r="220" spans="1:23" s="32" customFormat="1" ht="14.4" hidden="1" customHeight="1" x14ac:dyDescent="0.3">
      <c r="A220" s="22" t="s">
        <v>20</v>
      </c>
      <c r="B220" s="21">
        <v>46001</v>
      </c>
      <c r="C220" s="22" t="s">
        <v>17</v>
      </c>
      <c r="D220" s="216" t="s">
        <v>65</v>
      </c>
      <c r="E220" s="216" t="s">
        <v>197</v>
      </c>
      <c r="F220" s="26" t="s">
        <v>230</v>
      </c>
      <c r="G220" s="219">
        <v>45999</v>
      </c>
      <c r="H220" s="219">
        <v>46000</v>
      </c>
      <c r="I220" s="219">
        <v>46001</v>
      </c>
      <c r="J220" s="101"/>
      <c r="K220" s="44">
        <v>0.3125</v>
      </c>
      <c r="L220" s="45">
        <v>0.77083333333333337</v>
      </c>
      <c r="M220" s="11">
        <f t="shared" si="3"/>
        <v>11</v>
      </c>
      <c r="N220" s="214" t="s">
        <v>0</v>
      </c>
      <c r="P220" s="4"/>
      <c r="Q220" s="4"/>
      <c r="R220" s="4"/>
      <c r="S220" s="4"/>
      <c r="T220" s="4"/>
      <c r="U220" s="4"/>
      <c r="V220" s="4"/>
      <c r="W220" s="4"/>
    </row>
    <row r="221" spans="1:23" s="32" customFormat="1" ht="14.4" hidden="1" customHeight="1" x14ac:dyDescent="0.3">
      <c r="A221" s="22" t="s">
        <v>20</v>
      </c>
      <c r="B221" s="21">
        <v>46001</v>
      </c>
      <c r="C221" s="22" t="s">
        <v>31</v>
      </c>
      <c r="D221" s="217"/>
      <c r="E221" s="217"/>
      <c r="F221" s="27"/>
      <c r="G221" s="220"/>
      <c r="H221" s="220"/>
      <c r="I221" s="220"/>
      <c r="J221" s="102"/>
      <c r="K221" s="44">
        <v>0.39583333333333331</v>
      </c>
      <c r="L221" s="45">
        <v>0.47916666666666669</v>
      </c>
      <c r="M221" s="11">
        <f t="shared" si="3"/>
        <v>2.0000000000000009</v>
      </c>
      <c r="N221" s="215"/>
      <c r="P221" s="4"/>
      <c r="Q221" s="4"/>
      <c r="R221" s="4"/>
      <c r="S221" s="4"/>
      <c r="T221" s="4"/>
      <c r="U221" s="4"/>
      <c r="V221" s="4"/>
      <c r="W221" s="4"/>
    </row>
    <row r="222" spans="1:23" s="32" customFormat="1" ht="14.4" hidden="1" customHeight="1" x14ac:dyDescent="0.3">
      <c r="A222" s="22" t="s">
        <v>20</v>
      </c>
      <c r="B222" s="21">
        <v>46001</v>
      </c>
      <c r="C222" s="22" t="s">
        <v>47</v>
      </c>
      <c r="D222" s="216" t="s">
        <v>65</v>
      </c>
      <c r="E222" s="216" t="s">
        <v>58</v>
      </c>
      <c r="F222" s="26" t="s">
        <v>164</v>
      </c>
      <c r="G222" s="219">
        <v>45999</v>
      </c>
      <c r="H222" s="219">
        <v>46001</v>
      </c>
      <c r="I222" s="219">
        <v>46001</v>
      </c>
      <c r="J222" s="101"/>
      <c r="K222" s="44">
        <v>0.33333333333333331</v>
      </c>
      <c r="L222" s="45">
        <v>0.45833333333333331</v>
      </c>
      <c r="M222" s="11">
        <f t="shared" si="3"/>
        <v>3</v>
      </c>
      <c r="N222" s="224" t="s">
        <v>0</v>
      </c>
      <c r="P222" s="4"/>
      <c r="Q222" s="4"/>
      <c r="R222" s="4"/>
      <c r="S222" s="4"/>
      <c r="T222" s="4"/>
      <c r="U222" s="4"/>
      <c r="V222" s="4"/>
      <c r="W222" s="4"/>
    </row>
    <row r="223" spans="1:23" s="32" customFormat="1" ht="14.4" hidden="1" customHeight="1" x14ac:dyDescent="0.3">
      <c r="A223" s="22" t="s">
        <v>20</v>
      </c>
      <c r="B223" s="21">
        <v>46001</v>
      </c>
      <c r="C223" s="22" t="s">
        <v>31</v>
      </c>
      <c r="D223" s="217"/>
      <c r="E223" s="217"/>
      <c r="F223" s="27"/>
      <c r="G223" s="220"/>
      <c r="H223" s="220"/>
      <c r="I223" s="220"/>
      <c r="J223" s="19"/>
      <c r="K223" s="45">
        <v>0.47916666666666669</v>
      </c>
      <c r="L223" s="45">
        <v>0.5</v>
      </c>
      <c r="M223" s="11">
        <f t="shared" si="3"/>
        <v>0.49999999999999956</v>
      </c>
      <c r="N223" s="225"/>
      <c r="P223" s="4"/>
      <c r="Q223" s="4"/>
      <c r="R223" s="4"/>
      <c r="S223" s="4"/>
      <c r="T223" s="4"/>
      <c r="U223" s="4"/>
      <c r="V223" s="4"/>
      <c r="W223" s="4"/>
    </row>
    <row r="224" spans="1:23" s="32" customFormat="1" ht="14.4" hidden="1" customHeight="1" x14ac:dyDescent="0.3">
      <c r="A224" s="22" t="s">
        <v>20</v>
      </c>
      <c r="B224" s="21">
        <v>46001</v>
      </c>
      <c r="C224" s="22" t="s">
        <v>167</v>
      </c>
      <c r="D224" s="216" t="s">
        <v>65</v>
      </c>
      <c r="E224" s="216" t="s">
        <v>231</v>
      </c>
      <c r="F224" s="26" t="s">
        <v>68</v>
      </c>
      <c r="G224" s="219">
        <v>46001</v>
      </c>
      <c r="H224" s="219">
        <v>46000</v>
      </c>
      <c r="I224" s="219">
        <v>46001</v>
      </c>
      <c r="J224" s="101"/>
      <c r="K224" s="44">
        <v>0.3125</v>
      </c>
      <c r="L224" s="45">
        <v>0.77083333333333337</v>
      </c>
      <c r="M224" s="11">
        <f t="shared" si="3"/>
        <v>11</v>
      </c>
      <c r="N224" s="214" t="s">
        <v>0</v>
      </c>
      <c r="P224" s="4"/>
      <c r="Q224" s="4"/>
      <c r="R224" s="4"/>
      <c r="S224" s="4"/>
      <c r="T224" s="4"/>
      <c r="U224" s="4"/>
      <c r="V224" s="4"/>
      <c r="W224" s="4"/>
    </row>
    <row r="225" spans="1:23" s="32" customFormat="1" ht="14.4" hidden="1" customHeight="1" x14ac:dyDescent="0.3">
      <c r="A225" s="22" t="s">
        <v>20</v>
      </c>
      <c r="B225" s="21">
        <v>46001</v>
      </c>
      <c r="C225" s="22" t="s">
        <v>31</v>
      </c>
      <c r="D225" s="217"/>
      <c r="E225" s="217"/>
      <c r="F225" s="27"/>
      <c r="G225" s="220"/>
      <c r="H225" s="220"/>
      <c r="I225" s="220"/>
      <c r="J225" s="19"/>
      <c r="K225" s="45">
        <v>0.54166666666666663</v>
      </c>
      <c r="L225" s="45">
        <v>0.58333333333333337</v>
      </c>
      <c r="M225" s="11">
        <f t="shared" si="3"/>
        <v>1.0000000000000018</v>
      </c>
      <c r="N225" s="215"/>
      <c r="P225" s="4"/>
      <c r="Q225" s="4"/>
      <c r="R225" s="4"/>
      <c r="S225" s="4"/>
      <c r="T225" s="4"/>
      <c r="U225" s="4"/>
      <c r="V225" s="4"/>
      <c r="W225" s="4"/>
    </row>
    <row r="226" spans="1:23" s="32" customFormat="1" ht="14.4" hidden="1" customHeight="1" x14ac:dyDescent="0.3">
      <c r="A226" s="22" t="s">
        <v>20</v>
      </c>
      <c r="B226" s="21">
        <v>46001</v>
      </c>
      <c r="C226" s="22" t="s">
        <v>16</v>
      </c>
      <c r="D226" s="14" t="s">
        <v>65</v>
      </c>
      <c r="E226" s="14" t="s">
        <v>161</v>
      </c>
      <c r="F226" s="27" t="s">
        <v>232</v>
      </c>
      <c r="G226" s="19">
        <v>45987</v>
      </c>
      <c r="H226" s="19">
        <v>46001</v>
      </c>
      <c r="I226" s="19">
        <v>46001</v>
      </c>
      <c r="J226" s="102"/>
      <c r="K226" s="44">
        <v>0.3125</v>
      </c>
      <c r="L226" s="45">
        <v>0.47916666666666669</v>
      </c>
      <c r="M226" s="11">
        <f t="shared" si="3"/>
        <v>4</v>
      </c>
      <c r="N226" s="34" t="s">
        <v>0</v>
      </c>
      <c r="P226" s="4"/>
      <c r="Q226" s="4"/>
      <c r="R226" s="4"/>
      <c r="S226" s="4"/>
      <c r="T226" s="4"/>
      <c r="U226" s="4"/>
      <c r="V226" s="4"/>
      <c r="W226" s="4"/>
    </row>
    <row r="227" spans="1:23" s="32" customFormat="1" ht="14.4" hidden="1" customHeight="1" x14ac:dyDescent="0.3">
      <c r="A227" s="22" t="s">
        <v>20</v>
      </c>
      <c r="B227" s="21">
        <v>46001</v>
      </c>
      <c r="C227" s="22" t="s">
        <v>31</v>
      </c>
      <c r="D227" s="24" t="s">
        <v>27</v>
      </c>
      <c r="E227" s="24" t="s">
        <v>117</v>
      </c>
      <c r="F227" s="25" t="s">
        <v>61</v>
      </c>
      <c r="G227" s="21">
        <v>46001</v>
      </c>
      <c r="H227" s="21">
        <v>46001</v>
      </c>
      <c r="I227" s="21">
        <v>46001</v>
      </c>
      <c r="J227" s="21"/>
      <c r="K227" s="45">
        <v>0.58333333333333337</v>
      </c>
      <c r="L227" s="45">
        <v>0.70833333333333337</v>
      </c>
      <c r="M227" s="11">
        <f t="shared" si="3"/>
        <v>3</v>
      </c>
      <c r="N227" s="11" t="s">
        <v>0</v>
      </c>
      <c r="P227" s="4"/>
      <c r="Q227" s="4"/>
      <c r="R227" s="4"/>
      <c r="S227" s="4"/>
      <c r="T227" s="4"/>
      <c r="U227" s="4"/>
      <c r="V227" s="4"/>
      <c r="W227" s="4"/>
    </row>
    <row r="228" spans="1:23" s="32" customFormat="1" ht="14.4" hidden="1" customHeight="1" x14ac:dyDescent="0.3">
      <c r="A228" s="22" t="s">
        <v>19</v>
      </c>
      <c r="B228" s="21">
        <v>46001</v>
      </c>
      <c r="C228" s="22" t="s">
        <v>7</v>
      </c>
      <c r="D228" s="216" t="s">
        <v>8</v>
      </c>
      <c r="E228" s="216" t="s">
        <v>235</v>
      </c>
      <c r="F228" s="26" t="s">
        <v>236</v>
      </c>
      <c r="G228" s="219">
        <v>45999</v>
      </c>
      <c r="H228" s="219">
        <v>46001</v>
      </c>
      <c r="I228" s="219">
        <v>46001</v>
      </c>
      <c r="J228" s="17"/>
      <c r="K228" s="47">
        <v>0.3125</v>
      </c>
      <c r="L228" s="47">
        <v>0.5</v>
      </c>
      <c r="M228" s="11">
        <f t="shared" si="3"/>
        <v>4.5</v>
      </c>
      <c r="N228" s="214" t="s">
        <v>0</v>
      </c>
      <c r="P228" s="4"/>
      <c r="Q228" s="4"/>
      <c r="R228" s="4"/>
      <c r="S228" s="4"/>
      <c r="T228" s="4"/>
      <c r="U228" s="4"/>
      <c r="V228" s="4"/>
      <c r="W228" s="4"/>
    </row>
    <row r="229" spans="1:23" s="32" customFormat="1" ht="14.4" hidden="1" customHeight="1" x14ac:dyDescent="0.3">
      <c r="A229" s="22" t="s">
        <v>19</v>
      </c>
      <c r="B229" s="21">
        <v>46001</v>
      </c>
      <c r="C229" s="22" t="s">
        <v>9</v>
      </c>
      <c r="D229" s="217"/>
      <c r="E229" s="217"/>
      <c r="F229" s="27"/>
      <c r="G229" s="220"/>
      <c r="H229" s="220"/>
      <c r="I229" s="220"/>
      <c r="J229" s="19"/>
      <c r="K229" s="46">
        <v>0.4375</v>
      </c>
      <c r="L229" s="47">
        <v>0.5</v>
      </c>
      <c r="M229" s="11">
        <f t="shared" si="3"/>
        <v>1.5</v>
      </c>
      <c r="N229" s="215"/>
      <c r="P229" s="4"/>
      <c r="Q229" s="4"/>
      <c r="R229" s="4"/>
      <c r="S229" s="4"/>
      <c r="T229" s="4"/>
      <c r="U229" s="4"/>
      <c r="V229" s="4"/>
      <c r="W229" s="4"/>
    </row>
    <row r="230" spans="1:23" s="32" customFormat="1" ht="14.4" hidden="1" customHeight="1" x14ac:dyDescent="0.3">
      <c r="A230" s="22" t="s">
        <v>19</v>
      </c>
      <c r="B230" s="21">
        <v>46001</v>
      </c>
      <c r="C230" s="22" t="s">
        <v>9</v>
      </c>
      <c r="D230" s="216" t="s">
        <v>8</v>
      </c>
      <c r="E230" s="216" t="s">
        <v>237</v>
      </c>
      <c r="F230" s="26" t="s">
        <v>238</v>
      </c>
      <c r="G230" s="219">
        <v>46001</v>
      </c>
      <c r="H230" s="219">
        <v>45999</v>
      </c>
      <c r="I230" s="219">
        <v>46001</v>
      </c>
      <c r="J230" s="17"/>
      <c r="K230" s="47">
        <v>0.3125</v>
      </c>
      <c r="L230" s="45">
        <v>0.35416666666666669</v>
      </c>
      <c r="M230" s="11">
        <f t="shared" si="3"/>
        <v>1.0000000000000004</v>
      </c>
      <c r="N230" s="214" t="s">
        <v>0</v>
      </c>
      <c r="P230" s="4"/>
      <c r="Q230" s="4"/>
      <c r="R230" s="4"/>
      <c r="S230" s="4"/>
      <c r="T230" s="4"/>
      <c r="U230" s="4"/>
      <c r="V230" s="4"/>
      <c r="W230" s="4"/>
    </row>
    <row r="231" spans="1:23" s="32" customFormat="1" ht="14.4" hidden="1" customHeight="1" x14ac:dyDescent="0.3">
      <c r="A231" s="22" t="s">
        <v>19</v>
      </c>
      <c r="B231" s="21">
        <v>46001</v>
      </c>
      <c r="C231" s="22" t="s">
        <v>208</v>
      </c>
      <c r="D231" s="217"/>
      <c r="E231" s="217"/>
      <c r="F231" s="27"/>
      <c r="G231" s="220"/>
      <c r="H231" s="220"/>
      <c r="I231" s="220"/>
      <c r="J231" s="19"/>
      <c r="K231" s="46">
        <v>0.3125</v>
      </c>
      <c r="L231" s="45">
        <v>0.35416666666666669</v>
      </c>
      <c r="M231" s="11">
        <f t="shared" si="3"/>
        <v>1.0000000000000004</v>
      </c>
      <c r="N231" s="215"/>
      <c r="P231" s="4"/>
      <c r="Q231" s="4"/>
      <c r="R231" s="4"/>
      <c r="S231" s="4"/>
      <c r="T231" s="4"/>
      <c r="U231" s="4"/>
      <c r="V231" s="4"/>
      <c r="W231" s="4"/>
    </row>
    <row r="232" spans="1:23" s="32" customFormat="1" ht="14.4" hidden="1" customHeight="1" x14ac:dyDescent="0.3">
      <c r="A232" s="22" t="s">
        <v>19</v>
      </c>
      <c r="B232" s="21">
        <v>46001</v>
      </c>
      <c r="C232" s="22" t="s">
        <v>9</v>
      </c>
      <c r="D232" s="216" t="s">
        <v>8</v>
      </c>
      <c r="E232" s="216" t="s">
        <v>141</v>
      </c>
      <c r="F232" s="26" t="s">
        <v>239</v>
      </c>
      <c r="G232" s="218">
        <v>45999</v>
      </c>
      <c r="H232" s="219">
        <v>46001</v>
      </c>
      <c r="I232" s="219">
        <v>46001</v>
      </c>
      <c r="J232" s="17"/>
      <c r="K232" s="45">
        <v>0.35416666666666669</v>
      </c>
      <c r="L232" s="45">
        <v>0.4375</v>
      </c>
      <c r="M232" s="11">
        <f t="shared" si="3"/>
        <v>1.9999999999999996</v>
      </c>
      <c r="N232" s="214" t="s">
        <v>0</v>
      </c>
      <c r="P232" s="4"/>
      <c r="Q232" s="4"/>
      <c r="R232" s="4"/>
      <c r="S232" s="4"/>
      <c r="T232" s="4"/>
      <c r="U232" s="4"/>
      <c r="V232" s="4"/>
      <c r="W232" s="4"/>
    </row>
    <row r="233" spans="1:23" s="32" customFormat="1" ht="14.4" hidden="1" customHeight="1" x14ac:dyDescent="0.3">
      <c r="A233" s="22" t="s">
        <v>19</v>
      </c>
      <c r="B233" s="21">
        <v>46001</v>
      </c>
      <c r="C233" s="22" t="s">
        <v>208</v>
      </c>
      <c r="D233" s="217"/>
      <c r="E233" s="217"/>
      <c r="F233" s="27"/>
      <c r="G233" s="232"/>
      <c r="H233" s="220"/>
      <c r="I233" s="220"/>
      <c r="J233" s="19"/>
      <c r="K233" s="45">
        <v>0.35416666666666669</v>
      </c>
      <c r="L233" s="45">
        <v>0.4375</v>
      </c>
      <c r="M233" s="11">
        <f t="shared" si="3"/>
        <v>1.9999999999999996</v>
      </c>
      <c r="N233" s="215"/>
      <c r="P233" s="4"/>
      <c r="Q233" s="4"/>
      <c r="R233" s="4"/>
      <c r="S233" s="4"/>
      <c r="T233" s="4"/>
      <c r="U233" s="4"/>
      <c r="V233" s="4"/>
      <c r="W233" s="4"/>
    </row>
    <row r="234" spans="1:23" s="32" customFormat="1" ht="14.4" hidden="1" customHeight="1" x14ac:dyDescent="0.3">
      <c r="A234" s="22" t="s">
        <v>19</v>
      </c>
      <c r="B234" s="21">
        <v>46001</v>
      </c>
      <c r="C234" s="22" t="s">
        <v>9</v>
      </c>
      <c r="D234" s="216" t="s">
        <v>8</v>
      </c>
      <c r="E234" s="216" t="s">
        <v>105</v>
      </c>
      <c r="F234" s="26" t="s">
        <v>240</v>
      </c>
      <c r="G234" s="219">
        <v>46001</v>
      </c>
      <c r="H234" s="219">
        <v>46000</v>
      </c>
      <c r="I234" s="219">
        <v>46001</v>
      </c>
      <c r="J234" s="17"/>
      <c r="K234" s="45">
        <v>0.5</v>
      </c>
      <c r="L234" s="45">
        <v>0.6875</v>
      </c>
      <c r="M234" s="11">
        <f t="shared" si="3"/>
        <v>4.5</v>
      </c>
      <c r="N234" s="214" t="s">
        <v>0</v>
      </c>
      <c r="P234" s="4"/>
      <c r="Q234" s="4"/>
      <c r="R234" s="4"/>
      <c r="S234" s="4"/>
      <c r="T234" s="4"/>
      <c r="U234" s="4"/>
      <c r="V234" s="4"/>
      <c r="W234" s="4"/>
    </row>
    <row r="235" spans="1:23" s="32" customFormat="1" ht="14.4" hidden="1" customHeight="1" x14ac:dyDescent="0.3">
      <c r="A235" s="22" t="s">
        <v>19</v>
      </c>
      <c r="B235" s="21">
        <v>46001</v>
      </c>
      <c r="C235" s="22" t="s">
        <v>7</v>
      </c>
      <c r="D235" s="217"/>
      <c r="E235" s="217"/>
      <c r="F235" s="27"/>
      <c r="G235" s="220"/>
      <c r="H235" s="220"/>
      <c r="I235" s="220"/>
      <c r="J235" s="19"/>
      <c r="K235" s="45">
        <v>0.5</v>
      </c>
      <c r="L235" s="45">
        <v>0.6875</v>
      </c>
      <c r="M235" s="11">
        <f t="shared" si="3"/>
        <v>4.5</v>
      </c>
      <c r="N235" s="215"/>
      <c r="P235" s="4"/>
      <c r="Q235" s="4"/>
      <c r="R235" s="4"/>
      <c r="S235" s="4"/>
      <c r="T235" s="4"/>
      <c r="U235" s="4"/>
      <c r="V235" s="4"/>
      <c r="W235" s="4"/>
    </row>
    <row r="236" spans="1:23" s="32" customFormat="1" ht="14.4" hidden="1" customHeight="1" x14ac:dyDescent="0.3">
      <c r="A236" s="22" t="s">
        <v>21</v>
      </c>
      <c r="B236" s="21">
        <v>46001</v>
      </c>
      <c r="C236" s="22" t="s">
        <v>26</v>
      </c>
      <c r="D236" s="24" t="s">
        <v>27</v>
      </c>
      <c r="E236" s="24" t="s">
        <v>82</v>
      </c>
      <c r="F236" s="25" t="s">
        <v>157</v>
      </c>
      <c r="G236" s="21">
        <v>46001</v>
      </c>
      <c r="H236" s="21">
        <v>46001</v>
      </c>
      <c r="I236" s="21">
        <v>46001</v>
      </c>
      <c r="J236" s="21"/>
      <c r="K236" s="45">
        <v>0.33333333333333331</v>
      </c>
      <c r="L236" s="45">
        <v>0.70833333333333337</v>
      </c>
      <c r="M236" s="11">
        <f t="shared" si="3"/>
        <v>9.0000000000000018</v>
      </c>
      <c r="N236" s="11" t="s">
        <v>0</v>
      </c>
      <c r="P236" s="4"/>
      <c r="Q236" s="4"/>
      <c r="R236" s="4"/>
      <c r="S236" s="4"/>
      <c r="T236" s="4"/>
      <c r="U236" s="4"/>
      <c r="V236" s="4"/>
      <c r="W236" s="4"/>
    </row>
    <row r="237" spans="1:23" s="32" customFormat="1" ht="14.4" hidden="1" customHeight="1" x14ac:dyDescent="0.3">
      <c r="A237" s="22" t="s">
        <v>21</v>
      </c>
      <c r="B237" s="21">
        <v>46001</v>
      </c>
      <c r="C237" s="22" t="s">
        <v>50</v>
      </c>
      <c r="D237" s="24" t="s">
        <v>24</v>
      </c>
      <c r="E237" s="24" t="s">
        <v>233</v>
      </c>
      <c r="F237" s="27" t="s">
        <v>234</v>
      </c>
      <c r="G237" s="21">
        <v>46001</v>
      </c>
      <c r="H237" s="21">
        <v>46001</v>
      </c>
      <c r="I237" s="21">
        <v>46001</v>
      </c>
      <c r="J237" s="21"/>
      <c r="K237" s="45">
        <v>0.33333333333333331</v>
      </c>
      <c r="L237" s="45">
        <v>0.70833333333333337</v>
      </c>
      <c r="M237" s="11">
        <f t="shared" si="3"/>
        <v>9.0000000000000018</v>
      </c>
      <c r="N237" s="11" t="s">
        <v>0</v>
      </c>
      <c r="P237" s="4"/>
      <c r="Q237" s="4"/>
      <c r="R237" s="4"/>
      <c r="S237" s="4"/>
      <c r="T237" s="4"/>
      <c r="U237" s="4"/>
      <c r="V237" s="4"/>
      <c r="W237" s="4"/>
    </row>
    <row r="238" spans="1:23" s="32" customFormat="1" ht="14.4" hidden="1" customHeight="1" x14ac:dyDescent="0.3">
      <c r="A238" s="22" t="s">
        <v>21</v>
      </c>
      <c r="B238" s="21">
        <v>46001</v>
      </c>
      <c r="C238" s="22" t="s">
        <v>18</v>
      </c>
      <c r="D238" s="214" t="s">
        <v>8</v>
      </c>
      <c r="E238" s="214" t="s">
        <v>73</v>
      </c>
      <c r="F238" s="28" t="s">
        <v>152</v>
      </c>
      <c r="G238" s="219">
        <v>45997</v>
      </c>
      <c r="H238" s="219">
        <v>46002</v>
      </c>
      <c r="I238" s="219">
        <v>46001</v>
      </c>
      <c r="J238" s="17"/>
      <c r="K238" s="45">
        <v>0.3125</v>
      </c>
      <c r="L238" s="45">
        <v>0.70833333333333337</v>
      </c>
      <c r="M238" s="11">
        <f t="shared" si="3"/>
        <v>9.5</v>
      </c>
      <c r="N238" s="214" t="s">
        <v>0</v>
      </c>
      <c r="P238" s="4"/>
      <c r="Q238" s="4"/>
      <c r="R238" s="4"/>
      <c r="S238" s="4"/>
      <c r="T238" s="4"/>
      <c r="U238" s="4"/>
      <c r="V238" s="4"/>
      <c r="W238" s="4"/>
    </row>
    <row r="239" spans="1:23" s="32" customFormat="1" ht="14.4" hidden="1" customHeight="1" x14ac:dyDescent="0.3">
      <c r="A239" s="22" t="s">
        <v>21</v>
      </c>
      <c r="B239" s="21">
        <v>46001</v>
      </c>
      <c r="C239" s="22" t="s">
        <v>36</v>
      </c>
      <c r="D239" s="215"/>
      <c r="E239" s="215"/>
      <c r="F239" s="29"/>
      <c r="G239" s="220"/>
      <c r="H239" s="220"/>
      <c r="I239" s="220"/>
      <c r="J239" s="19"/>
      <c r="K239" s="45">
        <v>0.3125</v>
      </c>
      <c r="L239" s="45">
        <v>0.70833333333333337</v>
      </c>
      <c r="M239" s="11">
        <f t="shared" si="3"/>
        <v>9.5</v>
      </c>
      <c r="N239" s="215"/>
      <c r="P239" s="4"/>
      <c r="Q239" s="4"/>
      <c r="R239" s="4"/>
      <c r="S239" s="4"/>
      <c r="T239" s="4"/>
      <c r="U239" s="4"/>
      <c r="V239" s="4"/>
      <c r="W239" s="4"/>
    </row>
    <row r="240" spans="1:23" s="32" customFormat="1" ht="14.4" hidden="1" customHeight="1" x14ac:dyDescent="0.3">
      <c r="A240" s="22" t="s">
        <v>21</v>
      </c>
      <c r="B240" s="21">
        <v>46001</v>
      </c>
      <c r="C240" s="22" t="s">
        <v>18</v>
      </c>
      <c r="D240" s="214" t="s">
        <v>8</v>
      </c>
      <c r="E240" s="214" t="s">
        <v>242</v>
      </c>
      <c r="F240" s="28" t="s">
        <v>243</v>
      </c>
      <c r="G240" s="219">
        <v>46001</v>
      </c>
      <c r="H240" s="219">
        <v>46001</v>
      </c>
      <c r="I240" s="219">
        <v>46001</v>
      </c>
      <c r="J240" s="17"/>
      <c r="K240" s="45">
        <v>0.54166666666666663</v>
      </c>
      <c r="L240" s="45">
        <v>0.70833333333333337</v>
      </c>
      <c r="M240" s="11">
        <f t="shared" si="3"/>
        <v>4.0000000000000018</v>
      </c>
      <c r="N240" s="214" t="s">
        <v>0</v>
      </c>
      <c r="P240" s="4"/>
      <c r="Q240" s="4"/>
      <c r="R240" s="4"/>
      <c r="S240" s="4"/>
      <c r="T240" s="4"/>
      <c r="U240" s="4"/>
      <c r="V240" s="4"/>
      <c r="W240" s="4"/>
    </row>
    <row r="241" spans="1:23" s="32" customFormat="1" ht="14.4" hidden="1" customHeight="1" x14ac:dyDescent="0.3">
      <c r="A241" s="22" t="s">
        <v>21</v>
      </c>
      <c r="B241" s="21">
        <v>46001</v>
      </c>
      <c r="C241" s="22" t="s">
        <v>36</v>
      </c>
      <c r="D241" s="215"/>
      <c r="E241" s="215"/>
      <c r="F241" s="29"/>
      <c r="G241" s="220"/>
      <c r="H241" s="220"/>
      <c r="I241" s="220"/>
      <c r="J241" s="19"/>
      <c r="K241" s="45">
        <v>0.54166666666666663</v>
      </c>
      <c r="L241" s="45">
        <v>0.70833333333333337</v>
      </c>
      <c r="M241" s="11">
        <f t="shared" si="3"/>
        <v>4.0000000000000018</v>
      </c>
      <c r="N241" s="215"/>
      <c r="P241" s="4"/>
      <c r="Q241" s="4"/>
      <c r="R241" s="4"/>
      <c r="S241" s="4"/>
      <c r="T241" s="4"/>
      <c r="U241" s="4"/>
      <c r="V241" s="4"/>
      <c r="W241" s="4"/>
    </row>
    <row r="242" spans="1:23" s="32" customFormat="1" ht="14.4" hidden="1" customHeight="1" x14ac:dyDescent="0.3">
      <c r="A242" s="22" t="s">
        <v>21</v>
      </c>
      <c r="B242" s="21">
        <v>46001</v>
      </c>
      <c r="C242" s="22" t="s">
        <v>56</v>
      </c>
      <c r="D242" s="13" t="s">
        <v>27</v>
      </c>
      <c r="E242" s="13" t="s">
        <v>216</v>
      </c>
      <c r="F242" s="26" t="s">
        <v>225</v>
      </c>
      <c r="G242" s="21">
        <v>46000</v>
      </c>
      <c r="H242" s="21">
        <v>46001</v>
      </c>
      <c r="I242" s="21">
        <v>46001</v>
      </c>
      <c r="J242" s="21"/>
      <c r="K242" s="45">
        <v>0.3125</v>
      </c>
      <c r="L242" s="45">
        <v>0.6875</v>
      </c>
      <c r="M242" s="11">
        <f t="shared" si="3"/>
        <v>9</v>
      </c>
      <c r="N242" s="11" t="s">
        <v>0</v>
      </c>
      <c r="P242" s="4"/>
      <c r="Q242" s="4"/>
      <c r="R242" s="4"/>
      <c r="S242" s="4"/>
      <c r="T242" s="4"/>
      <c r="U242" s="4"/>
      <c r="V242" s="4"/>
      <c r="W242" s="4"/>
    </row>
    <row r="243" spans="1:23" s="32" customFormat="1" ht="14.4" hidden="1" customHeight="1" x14ac:dyDescent="0.3">
      <c r="A243" s="22" t="s">
        <v>21</v>
      </c>
      <c r="B243" s="21">
        <v>46001</v>
      </c>
      <c r="C243" s="22" t="s">
        <v>25</v>
      </c>
      <c r="D243" s="216" t="s">
        <v>54</v>
      </c>
      <c r="E243" s="216" t="s">
        <v>218</v>
      </c>
      <c r="F243" s="26" t="s">
        <v>219</v>
      </c>
      <c r="G243" s="219">
        <v>46000</v>
      </c>
      <c r="H243" s="219">
        <v>46001</v>
      </c>
      <c r="I243" s="219">
        <v>46001</v>
      </c>
      <c r="J243" s="17"/>
      <c r="K243" s="45">
        <v>0.3125</v>
      </c>
      <c r="L243" s="45">
        <v>0.5</v>
      </c>
      <c r="M243" s="11">
        <f t="shared" si="3"/>
        <v>4.5</v>
      </c>
      <c r="N243" s="214" t="s">
        <v>0</v>
      </c>
      <c r="P243" s="4"/>
      <c r="Q243" s="4"/>
      <c r="R243" s="4"/>
      <c r="S243" s="4"/>
      <c r="T243" s="4"/>
      <c r="U243" s="4"/>
      <c r="V243" s="4"/>
      <c r="W243" s="4"/>
    </row>
    <row r="244" spans="1:23" s="32" customFormat="1" ht="14.4" hidden="1" customHeight="1" x14ac:dyDescent="0.3">
      <c r="A244" s="12" t="s">
        <v>21</v>
      </c>
      <c r="B244" s="21">
        <v>46001</v>
      </c>
      <c r="C244" s="12" t="s">
        <v>118</v>
      </c>
      <c r="D244" s="217"/>
      <c r="E244" s="217"/>
      <c r="F244" s="27"/>
      <c r="G244" s="220"/>
      <c r="H244" s="220"/>
      <c r="I244" s="220"/>
      <c r="J244" s="19"/>
      <c r="K244" s="45">
        <v>0.3125</v>
      </c>
      <c r="L244" s="45">
        <v>0.5</v>
      </c>
      <c r="M244" s="11">
        <f t="shared" si="3"/>
        <v>4.5</v>
      </c>
      <c r="N244" s="215"/>
      <c r="P244" s="4"/>
      <c r="Q244" s="4"/>
      <c r="R244" s="4"/>
      <c r="S244" s="4"/>
      <c r="T244" s="4"/>
      <c r="U244" s="4"/>
      <c r="V244" s="4"/>
      <c r="W244" s="4"/>
    </row>
    <row r="245" spans="1:23" s="32" customFormat="1" ht="14.4" hidden="1" customHeight="1" x14ac:dyDescent="0.3">
      <c r="A245" s="22" t="s">
        <v>21</v>
      </c>
      <c r="B245" s="21">
        <v>46001</v>
      </c>
      <c r="C245" s="22" t="s">
        <v>55</v>
      </c>
      <c r="D245" s="24" t="s">
        <v>43</v>
      </c>
      <c r="E245" s="13" t="s">
        <v>226</v>
      </c>
      <c r="F245" s="26" t="s">
        <v>146</v>
      </c>
      <c r="G245" s="21">
        <v>46001</v>
      </c>
      <c r="H245" s="21">
        <v>46001</v>
      </c>
      <c r="I245" s="21">
        <v>46001</v>
      </c>
      <c r="J245" s="70"/>
      <c r="K245" s="44">
        <v>0.3125</v>
      </c>
      <c r="L245" s="45">
        <v>0.6875</v>
      </c>
      <c r="M245" s="11">
        <f t="shared" si="3"/>
        <v>9</v>
      </c>
      <c r="N245" s="11" t="s">
        <v>0</v>
      </c>
      <c r="P245" s="4"/>
      <c r="Q245" s="4"/>
      <c r="R245" s="4"/>
      <c r="S245" s="4"/>
      <c r="T245" s="4"/>
      <c r="U245" s="4"/>
      <c r="V245" s="4"/>
      <c r="W245" s="4"/>
    </row>
    <row r="246" spans="1:23" s="32" customFormat="1" ht="14.4" hidden="1" customHeight="1" x14ac:dyDescent="0.3">
      <c r="A246" s="22" t="s">
        <v>21</v>
      </c>
      <c r="B246" s="21">
        <v>46001</v>
      </c>
      <c r="C246" s="22" t="s">
        <v>55</v>
      </c>
      <c r="D246" s="24" t="s">
        <v>43</v>
      </c>
      <c r="E246" s="13" t="s">
        <v>241</v>
      </c>
      <c r="F246" s="26" t="s">
        <v>146</v>
      </c>
      <c r="G246" s="21">
        <v>46001</v>
      </c>
      <c r="H246" s="21">
        <v>46002</v>
      </c>
      <c r="I246" s="68"/>
      <c r="J246" s="104"/>
      <c r="K246" s="44">
        <v>0.45833333333333331</v>
      </c>
      <c r="L246" s="45">
        <v>0.66666666666666663</v>
      </c>
      <c r="M246" s="11">
        <f t="shared" si="3"/>
        <v>5</v>
      </c>
      <c r="N246" s="11" t="s">
        <v>1</v>
      </c>
      <c r="P246" s="4"/>
      <c r="Q246" s="4"/>
      <c r="R246" s="4"/>
      <c r="S246" s="4"/>
      <c r="T246" s="4"/>
      <c r="U246" s="4"/>
      <c r="V246" s="4"/>
      <c r="W246" s="4"/>
    </row>
    <row r="247" spans="1:23" s="32" customFormat="1" ht="14.4" hidden="1" customHeight="1" x14ac:dyDescent="0.3">
      <c r="A247" s="22" t="s">
        <v>20</v>
      </c>
      <c r="B247" s="21">
        <v>46001</v>
      </c>
      <c r="C247" s="22" t="s">
        <v>12</v>
      </c>
      <c r="D247" s="13" t="s">
        <v>27</v>
      </c>
      <c r="E247" s="13" t="s">
        <v>82</v>
      </c>
      <c r="F247" s="26" t="s">
        <v>157</v>
      </c>
      <c r="G247" s="21">
        <v>46001</v>
      </c>
      <c r="H247" s="21">
        <v>46001</v>
      </c>
      <c r="I247" s="21">
        <v>46001</v>
      </c>
      <c r="J247" s="21"/>
      <c r="K247" s="45">
        <v>0.3125</v>
      </c>
      <c r="L247" s="45">
        <v>0.6875</v>
      </c>
      <c r="M247" s="11">
        <f t="shared" si="3"/>
        <v>9</v>
      </c>
      <c r="N247" s="11" t="s">
        <v>0</v>
      </c>
      <c r="P247" s="4"/>
      <c r="Q247" s="4"/>
      <c r="R247" s="4"/>
      <c r="S247" s="4"/>
      <c r="T247" s="4"/>
      <c r="U247" s="4"/>
      <c r="V247" s="4"/>
      <c r="W247" s="4"/>
    </row>
    <row r="248" spans="1:23" s="32" customFormat="1" ht="14.4" hidden="1" customHeight="1" x14ac:dyDescent="0.3">
      <c r="A248" s="22" t="s">
        <v>20</v>
      </c>
      <c r="B248" s="21">
        <v>46001</v>
      </c>
      <c r="C248" s="22" t="s">
        <v>33</v>
      </c>
      <c r="D248" s="216" t="s">
        <v>44</v>
      </c>
      <c r="E248" s="216" t="s">
        <v>99</v>
      </c>
      <c r="F248" s="26" t="s">
        <v>227</v>
      </c>
      <c r="G248" s="219">
        <v>46001</v>
      </c>
      <c r="H248" s="219">
        <v>46006</v>
      </c>
      <c r="I248" s="219">
        <v>46001</v>
      </c>
      <c r="J248" s="17"/>
      <c r="K248" s="45">
        <v>0.33333333333333331</v>
      </c>
      <c r="L248" s="45">
        <v>0.70833333333333337</v>
      </c>
      <c r="M248" s="11">
        <f t="shared" si="3"/>
        <v>9.0000000000000018</v>
      </c>
      <c r="N248" s="224" t="s">
        <v>0</v>
      </c>
      <c r="P248" s="4"/>
      <c r="Q248" s="4"/>
      <c r="R248" s="4"/>
      <c r="S248" s="4"/>
      <c r="T248" s="4"/>
      <c r="U248" s="4"/>
      <c r="V248" s="4"/>
      <c r="W248" s="4"/>
    </row>
    <row r="249" spans="1:23" s="32" customFormat="1" ht="14.4" hidden="1" customHeight="1" x14ac:dyDescent="0.3">
      <c r="A249" s="22" t="s">
        <v>20</v>
      </c>
      <c r="B249" s="21">
        <v>46001</v>
      </c>
      <c r="C249" s="22" t="s">
        <v>13</v>
      </c>
      <c r="D249" s="217"/>
      <c r="E249" s="217"/>
      <c r="F249" s="27"/>
      <c r="G249" s="220"/>
      <c r="H249" s="220"/>
      <c r="I249" s="220"/>
      <c r="J249" s="19"/>
      <c r="K249" s="45">
        <v>0.33333333333333331</v>
      </c>
      <c r="L249" s="45">
        <v>0.70833333333333337</v>
      </c>
      <c r="M249" s="11">
        <f t="shared" si="3"/>
        <v>9.0000000000000018</v>
      </c>
      <c r="N249" s="225"/>
      <c r="P249" s="4"/>
      <c r="Q249" s="4"/>
      <c r="R249" s="4"/>
      <c r="S249" s="4"/>
      <c r="T249" s="4"/>
      <c r="U249" s="4"/>
      <c r="V249" s="4"/>
      <c r="W249" s="4"/>
    </row>
    <row r="250" spans="1:23" s="32" customFormat="1" ht="14.4" hidden="1" customHeight="1" x14ac:dyDescent="0.3">
      <c r="A250" s="22" t="s">
        <v>20</v>
      </c>
      <c r="B250" s="21">
        <v>46001</v>
      </c>
      <c r="C250" s="69" t="s">
        <v>14</v>
      </c>
      <c r="D250" s="233" t="s">
        <v>44</v>
      </c>
      <c r="E250" s="233" t="s">
        <v>155</v>
      </c>
      <c r="F250" s="25" t="s">
        <v>222</v>
      </c>
      <c r="G250" s="223">
        <v>46001</v>
      </c>
      <c r="H250" s="223">
        <v>46011</v>
      </c>
      <c r="I250" s="223">
        <v>46001</v>
      </c>
      <c r="J250" s="21"/>
      <c r="K250" s="45">
        <v>0.3125</v>
      </c>
      <c r="L250" s="45">
        <v>0.6875</v>
      </c>
      <c r="M250" s="11">
        <f t="shared" si="3"/>
        <v>9</v>
      </c>
      <c r="N250" s="214" t="s">
        <v>0</v>
      </c>
      <c r="P250" s="4"/>
      <c r="Q250" s="4"/>
      <c r="R250" s="4"/>
      <c r="S250" s="4"/>
      <c r="T250" s="4"/>
      <c r="U250" s="4"/>
      <c r="V250" s="4"/>
      <c r="W250" s="4"/>
    </row>
    <row r="251" spans="1:23" s="32" customFormat="1" ht="14.4" hidden="1" customHeight="1" x14ac:dyDescent="0.3">
      <c r="A251" s="22" t="s">
        <v>20</v>
      </c>
      <c r="B251" s="21">
        <v>46001</v>
      </c>
      <c r="C251" s="69" t="s">
        <v>135</v>
      </c>
      <c r="D251" s="233"/>
      <c r="E251" s="233"/>
      <c r="F251" s="25"/>
      <c r="G251" s="223"/>
      <c r="H251" s="223"/>
      <c r="I251" s="223"/>
      <c r="J251" s="21"/>
      <c r="K251" s="45">
        <v>0.3125</v>
      </c>
      <c r="L251" s="45">
        <v>0.58333333333333337</v>
      </c>
      <c r="M251" s="11">
        <f t="shared" si="3"/>
        <v>6.5000000000000009</v>
      </c>
      <c r="N251" s="215"/>
      <c r="P251" s="4"/>
      <c r="Q251" s="4"/>
      <c r="R251" s="4"/>
      <c r="S251" s="4"/>
      <c r="T251" s="4"/>
      <c r="U251" s="4"/>
      <c r="V251" s="4"/>
      <c r="W251" s="4"/>
    </row>
    <row r="252" spans="1:23" s="32" customFormat="1" ht="14.4" hidden="1" customHeight="1" x14ac:dyDescent="0.3">
      <c r="A252" s="22" t="s">
        <v>20</v>
      </c>
      <c r="B252" s="21">
        <v>46001</v>
      </c>
      <c r="C252" s="69" t="s">
        <v>135</v>
      </c>
      <c r="D252" s="22" t="s">
        <v>44</v>
      </c>
      <c r="E252" s="22" t="s">
        <v>64</v>
      </c>
      <c r="F252" s="25" t="s">
        <v>244</v>
      </c>
      <c r="G252" s="21">
        <v>46001</v>
      </c>
      <c r="H252" s="70">
        <v>46001</v>
      </c>
      <c r="I252" s="21">
        <v>46001</v>
      </c>
      <c r="J252" s="21"/>
      <c r="K252" s="45">
        <v>0.58333333333333337</v>
      </c>
      <c r="L252" s="45">
        <v>0.6875</v>
      </c>
      <c r="M252" s="11">
        <f t="shared" si="3"/>
        <v>2.4999999999999991</v>
      </c>
      <c r="N252" s="11" t="s">
        <v>0</v>
      </c>
      <c r="P252" s="4"/>
      <c r="Q252" s="4"/>
      <c r="R252" s="4"/>
      <c r="S252" s="4"/>
      <c r="T252" s="4"/>
      <c r="U252" s="4"/>
      <c r="V252" s="4"/>
      <c r="W252" s="4"/>
    </row>
    <row r="253" spans="1:23" s="32" customFormat="1" ht="14.4" hidden="1" customHeight="1" x14ac:dyDescent="0.3">
      <c r="A253" s="22" t="s">
        <v>20</v>
      </c>
      <c r="B253" s="21">
        <v>46002</v>
      </c>
      <c r="C253" s="22" t="s">
        <v>28</v>
      </c>
      <c r="D253" s="216" t="s">
        <v>65</v>
      </c>
      <c r="E253" s="221" t="s">
        <v>262</v>
      </c>
      <c r="F253" s="25" t="s">
        <v>229</v>
      </c>
      <c r="G253" s="219">
        <v>46001</v>
      </c>
      <c r="H253" s="219">
        <v>46002</v>
      </c>
      <c r="I253" s="234">
        <v>46002</v>
      </c>
      <c r="J253" s="105"/>
      <c r="K253" s="44">
        <v>0.33333333333333331</v>
      </c>
      <c r="L253" s="45">
        <v>0.75</v>
      </c>
      <c r="M253" s="11">
        <f t="shared" si="3"/>
        <v>10</v>
      </c>
      <c r="N253" s="214" t="s">
        <v>0</v>
      </c>
      <c r="P253" s="4"/>
      <c r="Q253" s="4"/>
      <c r="R253" s="4"/>
      <c r="S253" s="4"/>
      <c r="T253" s="4"/>
      <c r="U253" s="4"/>
      <c r="V253" s="4"/>
      <c r="W253" s="4"/>
    </row>
    <row r="254" spans="1:23" s="32" customFormat="1" ht="14.4" hidden="1" customHeight="1" x14ac:dyDescent="0.3">
      <c r="A254" s="22" t="s">
        <v>20</v>
      </c>
      <c r="B254" s="21">
        <v>46002</v>
      </c>
      <c r="C254" s="22" t="s">
        <v>31</v>
      </c>
      <c r="D254" s="217"/>
      <c r="E254" s="221"/>
      <c r="F254" s="25"/>
      <c r="G254" s="220"/>
      <c r="H254" s="220"/>
      <c r="I254" s="235"/>
      <c r="J254" s="106"/>
      <c r="K254" s="44">
        <v>0.3125</v>
      </c>
      <c r="L254" s="45">
        <v>0.35416666666666669</v>
      </c>
      <c r="M254" s="11">
        <f t="shared" si="3"/>
        <v>1.0000000000000004</v>
      </c>
      <c r="N254" s="215"/>
      <c r="P254" s="4"/>
      <c r="Q254" s="4"/>
      <c r="R254" s="4"/>
      <c r="S254" s="4"/>
      <c r="T254" s="4"/>
      <c r="U254" s="4"/>
      <c r="V254" s="4"/>
      <c r="W254" s="4"/>
    </row>
    <row r="255" spans="1:23" s="32" customFormat="1" ht="14.4" hidden="1" customHeight="1" x14ac:dyDescent="0.3">
      <c r="A255" s="22" t="s">
        <v>20</v>
      </c>
      <c r="B255" s="21">
        <v>46002</v>
      </c>
      <c r="C255" s="22" t="s">
        <v>15</v>
      </c>
      <c r="D255" s="214" t="s">
        <v>65</v>
      </c>
      <c r="E255" s="216" t="s">
        <v>223</v>
      </c>
      <c r="F255" s="26" t="s">
        <v>266</v>
      </c>
      <c r="G255" s="219">
        <v>46000</v>
      </c>
      <c r="H255" s="219">
        <v>46002</v>
      </c>
      <c r="I255" s="234">
        <v>46002</v>
      </c>
      <c r="J255" s="105"/>
      <c r="K255" s="44">
        <v>0.33333333333333331</v>
      </c>
      <c r="L255" s="45">
        <v>0.79166666666666663</v>
      </c>
      <c r="M255" s="11">
        <f t="shared" si="3"/>
        <v>11</v>
      </c>
      <c r="N255" s="214" t="s">
        <v>0</v>
      </c>
      <c r="P255" s="4"/>
      <c r="Q255" s="4"/>
      <c r="R255" s="4"/>
      <c r="S255" s="4"/>
      <c r="T255" s="4"/>
      <c r="U255" s="4"/>
      <c r="V255" s="4"/>
      <c r="W255" s="4"/>
    </row>
    <row r="256" spans="1:23" s="32" customFormat="1" ht="14.4" hidden="1" customHeight="1" x14ac:dyDescent="0.3">
      <c r="A256" s="22" t="s">
        <v>20</v>
      </c>
      <c r="B256" s="21">
        <v>46002</v>
      </c>
      <c r="C256" s="22" t="s">
        <v>31</v>
      </c>
      <c r="D256" s="215"/>
      <c r="E256" s="217"/>
      <c r="F256" s="27"/>
      <c r="G256" s="220"/>
      <c r="H256" s="220"/>
      <c r="I256" s="235"/>
      <c r="J256" s="97"/>
      <c r="K256" s="45">
        <v>0.35416666666666669</v>
      </c>
      <c r="L256" s="45">
        <v>0.39583333333333331</v>
      </c>
      <c r="M256" s="11">
        <f t="shared" si="3"/>
        <v>0.99999999999999911</v>
      </c>
      <c r="N256" s="215"/>
      <c r="P256" s="4"/>
      <c r="Q256" s="4"/>
      <c r="R256" s="4"/>
      <c r="S256" s="4"/>
      <c r="T256" s="4"/>
      <c r="U256" s="4"/>
      <c r="V256" s="4"/>
      <c r="W256" s="4"/>
    </row>
    <row r="257" spans="1:23" s="32" customFormat="1" ht="14.4" hidden="1" customHeight="1" x14ac:dyDescent="0.3">
      <c r="A257" s="22" t="s">
        <v>20</v>
      </c>
      <c r="B257" s="21">
        <v>46002</v>
      </c>
      <c r="C257" s="22" t="s">
        <v>17</v>
      </c>
      <c r="D257" s="216" t="s">
        <v>65</v>
      </c>
      <c r="E257" s="216" t="s">
        <v>197</v>
      </c>
      <c r="F257" s="26" t="s">
        <v>272</v>
      </c>
      <c r="G257" s="219">
        <v>45999</v>
      </c>
      <c r="H257" s="219">
        <v>46002</v>
      </c>
      <c r="I257" s="219">
        <v>46002</v>
      </c>
      <c r="J257" s="101"/>
      <c r="K257" s="44">
        <v>0.3125</v>
      </c>
      <c r="L257" s="45">
        <v>0.47916666666666669</v>
      </c>
      <c r="M257" s="11">
        <f t="shared" si="3"/>
        <v>4</v>
      </c>
      <c r="N257" s="214" t="s">
        <v>0</v>
      </c>
      <c r="P257" s="4"/>
      <c r="Q257" s="4"/>
      <c r="R257" s="4"/>
      <c r="S257" s="4"/>
      <c r="T257" s="4"/>
      <c r="U257" s="4"/>
      <c r="V257" s="4"/>
      <c r="W257" s="4"/>
    </row>
    <row r="258" spans="1:23" s="32" customFormat="1" ht="14.4" hidden="1" customHeight="1" x14ac:dyDescent="0.3">
      <c r="A258" s="22" t="s">
        <v>20</v>
      </c>
      <c r="B258" s="21">
        <v>46002</v>
      </c>
      <c r="C258" s="22" t="s">
        <v>31</v>
      </c>
      <c r="D258" s="217"/>
      <c r="E258" s="217"/>
      <c r="F258" s="27"/>
      <c r="G258" s="220"/>
      <c r="H258" s="220"/>
      <c r="I258" s="220"/>
      <c r="J258" s="102"/>
      <c r="K258" s="44">
        <v>0.39583333333333331</v>
      </c>
      <c r="L258" s="45">
        <v>0.47916666666666669</v>
      </c>
      <c r="M258" s="11">
        <f t="shared" si="3"/>
        <v>2.0000000000000009</v>
      </c>
      <c r="N258" s="215"/>
      <c r="P258" s="4"/>
      <c r="Q258" s="4"/>
      <c r="R258" s="4"/>
      <c r="S258" s="4"/>
      <c r="T258" s="4"/>
      <c r="U258" s="4"/>
      <c r="V258" s="4"/>
      <c r="W258" s="4"/>
    </row>
    <row r="259" spans="1:23" s="32" customFormat="1" ht="14.4" hidden="1" customHeight="1" x14ac:dyDescent="0.3">
      <c r="A259" s="22" t="s">
        <v>20</v>
      </c>
      <c r="B259" s="21">
        <v>46002</v>
      </c>
      <c r="C259" s="22" t="s">
        <v>47</v>
      </c>
      <c r="D259" s="216" t="s">
        <v>65</v>
      </c>
      <c r="E259" s="216" t="s">
        <v>251</v>
      </c>
      <c r="F259" s="26" t="s">
        <v>252</v>
      </c>
      <c r="G259" s="219">
        <v>46001</v>
      </c>
      <c r="H259" s="219">
        <v>46002</v>
      </c>
      <c r="I259" s="219">
        <v>46002</v>
      </c>
      <c r="J259" s="101"/>
      <c r="K259" s="44">
        <v>0.33333333333333331</v>
      </c>
      <c r="L259" s="45">
        <v>0.79166666666666663</v>
      </c>
      <c r="M259" s="11">
        <f t="shared" ref="M259:M322" si="4">MOD(L259-K259,1)*24</f>
        <v>11</v>
      </c>
      <c r="N259" s="224" t="s">
        <v>0</v>
      </c>
      <c r="P259" s="4"/>
      <c r="Q259" s="4"/>
      <c r="R259" s="4"/>
      <c r="S259" s="4"/>
      <c r="T259" s="4"/>
      <c r="U259" s="4"/>
      <c r="V259" s="4"/>
      <c r="W259" s="4"/>
    </row>
    <row r="260" spans="1:23" s="32" customFormat="1" ht="14.4" hidden="1" customHeight="1" x14ac:dyDescent="0.3">
      <c r="A260" s="22" t="s">
        <v>20</v>
      </c>
      <c r="B260" s="21">
        <v>46002</v>
      </c>
      <c r="C260" s="22" t="s">
        <v>31</v>
      </c>
      <c r="D260" s="217"/>
      <c r="E260" s="217"/>
      <c r="F260" s="27"/>
      <c r="G260" s="220"/>
      <c r="H260" s="220"/>
      <c r="I260" s="220"/>
      <c r="J260" s="19"/>
      <c r="K260" s="45">
        <v>0.47916666666666669</v>
      </c>
      <c r="L260" s="45">
        <v>0.5</v>
      </c>
      <c r="M260" s="11">
        <f t="shared" si="4"/>
        <v>0.49999999999999956</v>
      </c>
      <c r="N260" s="225"/>
      <c r="P260" s="4"/>
      <c r="Q260" s="4"/>
      <c r="R260" s="4"/>
      <c r="S260" s="4"/>
      <c r="T260" s="4"/>
      <c r="U260" s="4"/>
      <c r="V260" s="4"/>
      <c r="W260" s="4"/>
    </row>
    <row r="261" spans="1:23" s="32" customFormat="1" ht="14.4" hidden="1" customHeight="1" x14ac:dyDescent="0.3">
      <c r="A261" s="22" t="s">
        <v>20</v>
      </c>
      <c r="B261" s="21">
        <v>46002</v>
      </c>
      <c r="C261" s="22" t="s">
        <v>167</v>
      </c>
      <c r="D261" s="216" t="s">
        <v>65</v>
      </c>
      <c r="E261" s="216" t="s">
        <v>231</v>
      </c>
      <c r="F261" s="26" t="s">
        <v>265</v>
      </c>
      <c r="G261" s="219">
        <v>46001</v>
      </c>
      <c r="H261" s="219">
        <v>46002</v>
      </c>
      <c r="I261" s="234">
        <v>46002</v>
      </c>
      <c r="J261" s="105"/>
      <c r="K261" s="44">
        <v>0.3125</v>
      </c>
      <c r="L261" s="45">
        <v>0.77083333333333337</v>
      </c>
      <c r="M261" s="11">
        <f t="shared" si="4"/>
        <v>11</v>
      </c>
      <c r="N261" s="214" t="s">
        <v>0</v>
      </c>
      <c r="P261" s="4"/>
      <c r="Q261" s="4"/>
      <c r="R261" s="4"/>
      <c r="S261" s="4"/>
      <c r="T261" s="4"/>
      <c r="U261" s="4"/>
      <c r="V261" s="4"/>
      <c r="W261" s="4"/>
    </row>
    <row r="262" spans="1:23" s="32" customFormat="1" ht="14.4" hidden="1" customHeight="1" x14ac:dyDescent="0.3">
      <c r="A262" s="22" t="s">
        <v>20</v>
      </c>
      <c r="B262" s="21">
        <v>46002</v>
      </c>
      <c r="C262" s="22" t="s">
        <v>31</v>
      </c>
      <c r="D262" s="217"/>
      <c r="E262" s="217"/>
      <c r="F262" s="27"/>
      <c r="G262" s="220"/>
      <c r="H262" s="220"/>
      <c r="I262" s="235"/>
      <c r="J262" s="97"/>
      <c r="K262" s="45">
        <v>0.54166666666666663</v>
      </c>
      <c r="L262" s="45">
        <v>0.58333333333333337</v>
      </c>
      <c r="M262" s="11">
        <f t="shared" si="4"/>
        <v>1.0000000000000018</v>
      </c>
      <c r="N262" s="215"/>
      <c r="P262" s="4"/>
      <c r="Q262" s="4"/>
      <c r="R262" s="4"/>
      <c r="S262" s="4"/>
      <c r="T262" s="4"/>
      <c r="U262" s="4"/>
      <c r="V262" s="4"/>
      <c r="W262" s="4"/>
    </row>
    <row r="263" spans="1:23" s="32" customFormat="1" ht="14.4" hidden="1" customHeight="1" x14ac:dyDescent="0.3">
      <c r="A263" s="22" t="s">
        <v>20</v>
      </c>
      <c r="B263" s="21">
        <v>46002</v>
      </c>
      <c r="C263" s="22" t="s">
        <v>16</v>
      </c>
      <c r="D263" s="14" t="s">
        <v>65</v>
      </c>
      <c r="E263" s="14" t="s">
        <v>251</v>
      </c>
      <c r="F263" s="27" t="s">
        <v>160</v>
      </c>
      <c r="G263" s="19">
        <v>45999</v>
      </c>
      <c r="H263" s="19">
        <v>46002</v>
      </c>
      <c r="I263" s="19">
        <v>46002</v>
      </c>
      <c r="J263" s="102"/>
      <c r="K263" s="44">
        <v>0.35416666666666669</v>
      </c>
      <c r="L263" s="45">
        <v>0.77083333333333337</v>
      </c>
      <c r="M263" s="11">
        <f t="shared" si="4"/>
        <v>10</v>
      </c>
      <c r="N263" s="34" t="s">
        <v>0</v>
      </c>
      <c r="P263" s="4"/>
      <c r="Q263" s="4"/>
      <c r="R263" s="4"/>
      <c r="S263" s="4"/>
      <c r="T263" s="4"/>
      <c r="U263" s="4"/>
      <c r="V263" s="4"/>
      <c r="W263" s="4"/>
    </row>
    <row r="264" spans="1:23" s="32" customFormat="1" ht="14.4" hidden="1" customHeight="1" x14ac:dyDescent="0.3">
      <c r="A264" s="22" t="s">
        <v>20</v>
      </c>
      <c r="B264" s="21">
        <v>46002</v>
      </c>
      <c r="C264" s="22" t="s">
        <v>31</v>
      </c>
      <c r="D264" s="24" t="s">
        <v>27</v>
      </c>
      <c r="E264" s="24" t="s">
        <v>117</v>
      </c>
      <c r="F264" s="25" t="s">
        <v>61</v>
      </c>
      <c r="G264" s="21">
        <v>46002</v>
      </c>
      <c r="H264" s="21">
        <v>46002</v>
      </c>
      <c r="I264" s="21">
        <v>46002</v>
      </c>
      <c r="J264" s="21"/>
      <c r="K264" s="45">
        <v>0.58333333333333337</v>
      </c>
      <c r="L264" s="45">
        <v>0.70833333333333337</v>
      </c>
      <c r="M264" s="11">
        <f t="shared" si="4"/>
        <v>3</v>
      </c>
      <c r="N264" s="63" t="s">
        <v>0</v>
      </c>
      <c r="P264" s="4"/>
      <c r="Q264" s="4"/>
      <c r="R264" s="4"/>
      <c r="S264" s="4"/>
      <c r="T264" s="4"/>
      <c r="U264" s="4"/>
      <c r="V264" s="4"/>
      <c r="W264" s="4"/>
    </row>
    <row r="265" spans="1:23" s="32" customFormat="1" ht="14.4" hidden="1" customHeight="1" x14ac:dyDescent="0.3">
      <c r="A265" s="22" t="s">
        <v>19</v>
      </c>
      <c r="B265" s="21">
        <v>46002</v>
      </c>
      <c r="C265" s="22" t="s">
        <v>9</v>
      </c>
      <c r="D265" s="13" t="s">
        <v>32</v>
      </c>
      <c r="E265" s="13" t="s">
        <v>253</v>
      </c>
      <c r="F265" s="26" t="s">
        <v>254</v>
      </c>
      <c r="G265" s="17">
        <v>45988</v>
      </c>
      <c r="H265" s="17">
        <v>46002</v>
      </c>
      <c r="I265" s="17">
        <v>46002</v>
      </c>
      <c r="J265" s="17"/>
      <c r="K265" s="47">
        <v>0.3125</v>
      </c>
      <c r="L265" s="47">
        <v>0.35416666666666669</v>
      </c>
      <c r="M265" s="11">
        <f t="shared" si="4"/>
        <v>1.0000000000000004</v>
      </c>
      <c r="N265" s="63" t="s">
        <v>0</v>
      </c>
      <c r="P265" s="4"/>
      <c r="Q265" s="4"/>
      <c r="R265" s="4"/>
      <c r="S265" s="4"/>
      <c r="T265" s="4"/>
      <c r="U265" s="4"/>
      <c r="V265" s="4"/>
      <c r="W265" s="4"/>
    </row>
    <row r="266" spans="1:23" s="32" customFormat="1" ht="14.4" hidden="1" customHeight="1" x14ac:dyDescent="0.3">
      <c r="A266" s="22" t="s">
        <v>19</v>
      </c>
      <c r="B266" s="21">
        <v>46002</v>
      </c>
      <c r="C266" s="22" t="s">
        <v>9</v>
      </c>
      <c r="D266" s="221" t="s">
        <v>32</v>
      </c>
      <c r="E266" s="221" t="s">
        <v>255</v>
      </c>
      <c r="F266" s="25" t="s">
        <v>256</v>
      </c>
      <c r="G266" s="223">
        <v>46002</v>
      </c>
      <c r="H266" s="223">
        <v>46002</v>
      </c>
      <c r="I266" s="219">
        <v>46002</v>
      </c>
      <c r="J266" s="17"/>
      <c r="K266" s="45">
        <v>0.35416666666666669</v>
      </c>
      <c r="L266" s="45">
        <v>0.6875</v>
      </c>
      <c r="M266" s="22">
        <f t="shared" si="4"/>
        <v>8</v>
      </c>
      <c r="N266" s="233" t="s">
        <v>0</v>
      </c>
      <c r="O266" s="22"/>
      <c r="P266" s="4"/>
      <c r="Q266" s="4"/>
      <c r="R266" s="4"/>
      <c r="S266" s="4"/>
      <c r="T266" s="4"/>
      <c r="U266" s="4"/>
      <c r="V266" s="4"/>
      <c r="W266" s="4"/>
    </row>
    <row r="267" spans="1:23" s="32" customFormat="1" ht="14.4" hidden="1" customHeight="1" x14ac:dyDescent="0.3">
      <c r="A267" s="22" t="s">
        <v>19</v>
      </c>
      <c r="B267" s="21">
        <v>46002</v>
      </c>
      <c r="C267" s="22" t="s">
        <v>208</v>
      </c>
      <c r="D267" s="221"/>
      <c r="E267" s="221"/>
      <c r="F267" s="25"/>
      <c r="G267" s="223"/>
      <c r="H267" s="223"/>
      <c r="I267" s="220"/>
      <c r="J267" s="19"/>
      <c r="K267" s="45">
        <v>0.3125</v>
      </c>
      <c r="L267" s="45">
        <v>0.6875</v>
      </c>
      <c r="M267" s="18">
        <f t="shared" si="4"/>
        <v>9</v>
      </c>
      <c r="N267" s="215"/>
      <c r="P267" s="4"/>
      <c r="Q267" s="4"/>
      <c r="R267" s="4"/>
      <c r="S267" s="4"/>
      <c r="T267" s="4"/>
      <c r="U267" s="4"/>
      <c r="V267" s="4"/>
      <c r="W267" s="4"/>
    </row>
    <row r="268" spans="1:23" s="32" customFormat="1" ht="14.4" hidden="1" customHeight="1" x14ac:dyDescent="0.3">
      <c r="A268" s="22" t="s">
        <v>19</v>
      </c>
      <c r="B268" s="21">
        <v>46002</v>
      </c>
      <c r="C268" s="22" t="s">
        <v>7</v>
      </c>
      <c r="D268" s="24" t="s">
        <v>180</v>
      </c>
      <c r="E268" s="24" t="s">
        <v>268</v>
      </c>
      <c r="F268" s="25" t="s">
        <v>269</v>
      </c>
      <c r="G268" s="21">
        <v>46002</v>
      </c>
      <c r="H268" s="21">
        <v>46002</v>
      </c>
      <c r="I268" s="21">
        <v>46002</v>
      </c>
      <c r="J268" s="21"/>
      <c r="K268" s="45">
        <v>0.33333333333333331</v>
      </c>
      <c r="L268" s="45">
        <v>0.52083333333333337</v>
      </c>
      <c r="M268" s="11">
        <f t="shared" si="4"/>
        <v>4.5000000000000018</v>
      </c>
      <c r="N268" s="34" t="s">
        <v>0</v>
      </c>
      <c r="P268" s="4"/>
      <c r="Q268" s="4"/>
      <c r="R268" s="4"/>
      <c r="S268" s="4"/>
      <c r="T268" s="4"/>
      <c r="U268" s="4"/>
      <c r="V268" s="4"/>
      <c r="W268" s="4"/>
    </row>
    <row r="269" spans="1:23" s="32" customFormat="1" ht="14.4" hidden="1" customHeight="1" x14ac:dyDescent="0.3">
      <c r="A269" s="22" t="s">
        <v>19</v>
      </c>
      <c r="B269" s="21">
        <v>46002</v>
      </c>
      <c r="C269" s="22" t="s">
        <v>7</v>
      </c>
      <c r="D269" s="24" t="s">
        <v>8</v>
      </c>
      <c r="E269" s="24" t="s">
        <v>270</v>
      </c>
      <c r="F269" s="25" t="s">
        <v>182</v>
      </c>
      <c r="G269" s="21">
        <v>46002</v>
      </c>
      <c r="H269" s="21">
        <v>46002</v>
      </c>
      <c r="I269" s="21">
        <v>46002</v>
      </c>
      <c r="J269" s="21"/>
      <c r="K269" s="45">
        <v>0.58333333333333337</v>
      </c>
      <c r="L269" s="45">
        <v>0.6875</v>
      </c>
      <c r="M269" s="11">
        <f t="shared" si="4"/>
        <v>2.4999999999999991</v>
      </c>
      <c r="N269" s="34" t="s">
        <v>0</v>
      </c>
      <c r="P269" s="4"/>
      <c r="Q269" s="4"/>
      <c r="R269" s="4"/>
      <c r="S269" s="4"/>
      <c r="T269" s="4"/>
      <c r="U269" s="4"/>
      <c r="V269" s="4"/>
      <c r="W269" s="4"/>
    </row>
    <row r="270" spans="1:23" s="32" customFormat="1" ht="14.4" hidden="1" customHeight="1" x14ac:dyDescent="0.3">
      <c r="A270" s="22" t="s">
        <v>21</v>
      </c>
      <c r="B270" s="21">
        <v>46002</v>
      </c>
      <c r="C270" s="22" t="s">
        <v>26</v>
      </c>
      <c r="D270" s="24" t="s">
        <v>32</v>
      </c>
      <c r="E270" s="24" t="s">
        <v>257</v>
      </c>
      <c r="F270" s="25" t="s">
        <v>258</v>
      </c>
      <c r="G270" s="21">
        <v>46002</v>
      </c>
      <c r="H270" s="21">
        <v>46002</v>
      </c>
      <c r="I270" s="21">
        <v>46002</v>
      </c>
      <c r="J270" s="21"/>
      <c r="K270" s="45">
        <v>0.33333333333333331</v>
      </c>
      <c r="L270" s="45">
        <v>0.5</v>
      </c>
      <c r="M270" s="11">
        <f t="shared" si="4"/>
        <v>4</v>
      </c>
      <c r="N270" s="11" t="s">
        <v>0</v>
      </c>
      <c r="P270" s="4"/>
      <c r="Q270" s="4"/>
      <c r="R270" s="4"/>
      <c r="S270" s="4"/>
      <c r="T270" s="4"/>
      <c r="U270" s="4"/>
      <c r="V270" s="4"/>
      <c r="W270" s="4"/>
    </row>
    <row r="271" spans="1:23" s="32" customFormat="1" ht="14.4" hidden="1" customHeight="1" x14ac:dyDescent="0.3">
      <c r="A271" s="22" t="s">
        <v>21</v>
      </c>
      <c r="B271" s="21">
        <v>46002</v>
      </c>
      <c r="C271" s="22" t="s">
        <v>26</v>
      </c>
      <c r="D271" s="24" t="s">
        <v>27</v>
      </c>
      <c r="E271" s="24" t="s">
        <v>259</v>
      </c>
      <c r="F271" s="27" t="s">
        <v>260</v>
      </c>
      <c r="G271" s="21">
        <v>46002</v>
      </c>
      <c r="H271" s="21">
        <v>46002</v>
      </c>
      <c r="I271" s="21">
        <v>46002</v>
      </c>
      <c r="J271" s="21"/>
      <c r="K271" s="45">
        <v>0.54166666666666663</v>
      </c>
      <c r="L271" s="45">
        <v>0.70833333333333337</v>
      </c>
      <c r="M271" s="11">
        <f t="shared" si="4"/>
        <v>4.0000000000000018</v>
      </c>
      <c r="N271" s="11" t="s">
        <v>0</v>
      </c>
      <c r="P271" s="4"/>
      <c r="Q271" s="4"/>
      <c r="R271" s="4"/>
      <c r="S271" s="4"/>
      <c r="T271" s="4"/>
      <c r="U271" s="4"/>
      <c r="V271" s="4"/>
      <c r="W271" s="4"/>
    </row>
    <row r="272" spans="1:23" s="32" customFormat="1" ht="14.4" hidden="1" customHeight="1" x14ac:dyDescent="0.3">
      <c r="A272" s="22" t="s">
        <v>21</v>
      </c>
      <c r="B272" s="21">
        <v>46002</v>
      </c>
      <c r="C272" s="22" t="s">
        <v>50</v>
      </c>
      <c r="D272" s="24" t="s">
        <v>27</v>
      </c>
      <c r="E272" s="24" t="s">
        <v>82</v>
      </c>
      <c r="F272" s="27" t="s">
        <v>261</v>
      </c>
      <c r="G272" s="21">
        <v>46002</v>
      </c>
      <c r="H272" s="21">
        <v>46002</v>
      </c>
      <c r="I272" s="21">
        <v>46002</v>
      </c>
      <c r="J272" s="21"/>
      <c r="K272" s="45">
        <v>0.33333333333333331</v>
      </c>
      <c r="L272" s="45">
        <v>0.70833333333333337</v>
      </c>
      <c r="M272" s="11">
        <f t="shared" si="4"/>
        <v>9.0000000000000018</v>
      </c>
      <c r="N272" s="11" t="s">
        <v>0</v>
      </c>
      <c r="P272" s="4"/>
      <c r="Q272" s="4"/>
      <c r="R272" s="4"/>
      <c r="S272" s="4"/>
      <c r="T272" s="4"/>
      <c r="U272" s="4"/>
      <c r="V272" s="4"/>
      <c r="W272" s="4"/>
    </row>
    <row r="273" spans="1:23" s="32" customFormat="1" ht="14.4" hidden="1" customHeight="1" x14ac:dyDescent="0.3">
      <c r="A273" s="22" t="s">
        <v>21</v>
      </c>
      <c r="B273" s="21">
        <v>46002</v>
      </c>
      <c r="C273" s="22" t="s">
        <v>18</v>
      </c>
      <c r="D273" s="214" t="s">
        <v>8</v>
      </c>
      <c r="E273" s="214" t="s">
        <v>242</v>
      </c>
      <c r="F273" s="28" t="s">
        <v>243</v>
      </c>
      <c r="G273" s="219">
        <v>46002</v>
      </c>
      <c r="H273" s="219">
        <v>46003</v>
      </c>
      <c r="I273" s="236"/>
      <c r="J273" s="98"/>
      <c r="K273" s="45">
        <v>0.3125</v>
      </c>
      <c r="L273" s="45">
        <v>0.70833333333333337</v>
      </c>
      <c r="M273" s="11">
        <f t="shared" si="4"/>
        <v>9.5</v>
      </c>
      <c r="N273" s="214" t="s">
        <v>1</v>
      </c>
      <c r="P273" s="4"/>
      <c r="Q273" s="4"/>
      <c r="R273" s="4"/>
      <c r="S273" s="4"/>
      <c r="T273" s="4"/>
      <c r="U273" s="4"/>
      <c r="V273" s="4"/>
      <c r="W273" s="4"/>
    </row>
    <row r="274" spans="1:23" s="32" customFormat="1" ht="14.4" hidden="1" customHeight="1" x14ac:dyDescent="0.3">
      <c r="A274" s="22" t="s">
        <v>21</v>
      </c>
      <c r="B274" s="21">
        <v>46002</v>
      </c>
      <c r="C274" s="22" t="s">
        <v>36</v>
      </c>
      <c r="D274" s="215"/>
      <c r="E274" s="215"/>
      <c r="F274" s="29"/>
      <c r="G274" s="220"/>
      <c r="H274" s="220"/>
      <c r="I274" s="237"/>
      <c r="J274" s="99"/>
      <c r="K274" s="45">
        <v>0.3125</v>
      </c>
      <c r="L274" s="45">
        <v>0.54166666666666663</v>
      </c>
      <c r="M274" s="11">
        <f t="shared" si="4"/>
        <v>5.4999999999999991</v>
      </c>
      <c r="N274" s="215"/>
      <c r="P274" s="4"/>
      <c r="Q274" s="4"/>
      <c r="R274" s="4"/>
      <c r="S274" s="4"/>
      <c r="T274" s="4"/>
      <c r="U274" s="4"/>
      <c r="V274" s="4"/>
      <c r="W274" s="4"/>
    </row>
    <row r="275" spans="1:23" s="32" customFormat="1" ht="14.4" hidden="1" customHeight="1" x14ac:dyDescent="0.3">
      <c r="A275" s="22" t="s">
        <v>21</v>
      </c>
      <c r="B275" s="21">
        <v>46002</v>
      </c>
      <c r="C275" s="22" t="s">
        <v>56</v>
      </c>
      <c r="D275" s="24" t="s">
        <v>27</v>
      </c>
      <c r="E275" s="24" t="s">
        <v>216</v>
      </c>
      <c r="F275" s="25" t="s">
        <v>245</v>
      </c>
      <c r="G275" s="21">
        <v>46000</v>
      </c>
      <c r="H275" s="21">
        <v>46002</v>
      </c>
      <c r="I275" s="21">
        <v>46002</v>
      </c>
      <c r="J275" s="21"/>
      <c r="K275" s="45">
        <v>0.3125</v>
      </c>
      <c r="L275" s="45">
        <v>0.6875</v>
      </c>
      <c r="M275" s="11">
        <f t="shared" si="4"/>
        <v>9</v>
      </c>
      <c r="N275" s="22" t="s">
        <v>0</v>
      </c>
      <c r="P275" s="4"/>
      <c r="Q275" s="4"/>
      <c r="R275" s="4"/>
      <c r="S275" s="4"/>
      <c r="T275" s="4"/>
      <c r="U275" s="4"/>
      <c r="V275" s="4"/>
      <c r="W275" s="4"/>
    </row>
    <row r="276" spans="1:23" s="32" customFormat="1" ht="14.4" hidden="1" customHeight="1" x14ac:dyDescent="0.3">
      <c r="A276" s="12" t="s">
        <v>21</v>
      </c>
      <c r="B276" s="21">
        <v>46002</v>
      </c>
      <c r="C276" s="12" t="s">
        <v>118</v>
      </c>
      <c r="D276" s="11" t="s">
        <v>54</v>
      </c>
      <c r="E276" s="13" t="s">
        <v>246</v>
      </c>
      <c r="F276" s="26" t="s">
        <v>247</v>
      </c>
      <c r="G276" s="19">
        <v>46002</v>
      </c>
      <c r="H276" s="19">
        <v>46002</v>
      </c>
      <c r="I276" s="19">
        <v>46002</v>
      </c>
      <c r="J276" s="19"/>
      <c r="K276" s="45">
        <v>0.33333333333333331</v>
      </c>
      <c r="L276" s="45">
        <v>0.54166666666666663</v>
      </c>
      <c r="M276" s="11">
        <f t="shared" si="4"/>
        <v>5</v>
      </c>
      <c r="N276" s="22" t="s">
        <v>0</v>
      </c>
      <c r="P276" s="4"/>
      <c r="Q276" s="4"/>
      <c r="R276" s="4"/>
      <c r="S276" s="4"/>
      <c r="T276" s="4"/>
      <c r="U276" s="4"/>
      <c r="V276" s="4"/>
      <c r="W276" s="4"/>
    </row>
    <row r="277" spans="1:23" s="32" customFormat="1" ht="14.4" hidden="1" customHeight="1" x14ac:dyDescent="0.3">
      <c r="A277" s="22" t="s">
        <v>21</v>
      </c>
      <c r="B277" s="21">
        <v>46002</v>
      </c>
      <c r="C277" s="22" t="s">
        <v>55</v>
      </c>
      <c r="D277" s="24" t="s">
        <v>43</v>
      </c>
      <c r="E277" s="24" t="s">
        <v>241</v>
      </c>
      <c r="F277" s="25" t="s">
        <v>146</v>
      </c>
      <c r="G277" s="21">
        <v>46001</v>
      </c>
      <c r="H277" s="21">
        <v>46001</v>
      </c>
      <c r="I277" s="19">
        <v>46002</v>
      </c>
      <c r="J277" s="19"/>
      <c r="K277" s="45">
        <v>0.3125</v>
      </c>
      <c r="L277" s="45">
        <v>0.66666666666666663</v>
      </c>
      <c r="M277" s="11">
        <f t="shared" si="4"/>
        <v>8.5</v>
      </c>
      <c r="N277" s="22" t="s">
        <v>0</v>
      </c>
      <c r="P277" s="4"/>
      <c r="Q277" s="4"/>
      <c r="R277" s="4"/>
      <c r="S277" s="4"/>
      <c r="T277" s="4"/>
      <c r="U277" s="4"/>
      <c r="V277" s="4"/>
      <c r="W277" s="4"/>
    </row>
    <row r="278" spans="1:23" s="32" customFormat="1" ht="14.4" hidden="1" customHeight="1" x14ac:dyDescent="0.3">
      <c r="A278" s="22" t="s">
        <v>21</v>
      </c>
      <c r="B278" s="21">
        <v>46002</v>
      </c>
      <c r="C278" s="22" t="s">
        <v>25</v>
      </c>
      <c r="D278" s="24" t="s">
        <v>43</v>
      </c>
      <c r="E278" s="13" t="s">
        <v>271</v>
      </c>
      <c r="F278" s="26" t="s">
        <v>263</v>
      </c>
      <c r="G278" s="19">
        <v>46002</v>
      </c>
      <c r="H278" s="19">
        <v>46002</v>
      </c>
      <c r="I278" s="71">
        <v>46002</v>
      </c>
      <c r="J278" s="71"/>
      <c r="K278" s="45">
        <v>0.3125</v>
      </c>
      <c r="L278" s="45">
        <v>0.66666666666666663</v>
      </c>
      <c r="M278" s="11">
        <f t="shared" si="4"/>
        <v>8.5</v>
      </c>
      <c r="N278" s="11" t="s">
        <v>0</v>
      </c>
      <c r="P278" s="4"/>
      <c r="Q278" s="4"/>
      <c r="R278" s="4"/>
      <c r="S278" s="4"/>
      <c r="T278" s="4"/>
      <c r="U278" s="4"/>
      <c r="V278" s="4"/>
      <c r="W278" s="4"/>
    </row>
    <row r="279" spans="1:23" s="32" customFormat="1" ht="14.4" hidden="1" customHeight="1" x14ac:dyDescent="0.3">
      <c r="A279" s="22" t="s">
        <v>21</v>
      </c>
      <c r="B279" s="21">
        <v>46002</v>
      </c>
      <c r="C279" s="22" t="s">
        <v>36</v>
      </c>
      <c r="D279" s="13" t="s">
        <v>8</v>
      </c>
      <c r="E279" s="13" t="s">
        <v>264</v>
      </c>
      <c r="F279" s="26" t="s">
        <v>267</v>
      </c>
      <c r="G279" s="19">
        <v>46002</v>
      </c>
      <c r="H279" s="19">
        <v>46003</v>
      </c>
      <c r="I279" s="68"/>
      <c r="J279" s="68"/>
      <c r="K279" s="45">
        <v>0.54166666666666663</v>
      </c>
      <c r="L279" s="45">
        <v>0.6875</v>
      </c>
      <c r="M279" s="11">
        <f t="shared" si="4"/>
        <v>3.5000000000000009</v>
      </c>
      <c r="N279" s="11" t="s">
        <v>1</v>
      </c>
      <c r="P279" s="4"/>
      <c r="Q279" s="4"/>
      <c r="R279" s="4"/>
      <c r="S279" s="4"/>
      <c r="T279" s="4"/>
      <c r="U279" s="4"/>
      <c r="V279" s="4"/>
      <c r="W279" s="4"/>
    </row>
    <row r="280" spans="1:23" s="32" customFormat="1" ht="14.4" hidden="1" customHeight="1" x14ac:dyDescent="0.3">
      <c r="A280" s="12" t="s">
        <v>21</v>
      </c>
      <c r="B280" s="21">
        <v>46002</v>
      </c>
      <c r="C280" s="12" t="s">
        <v>118</v>
      </c>
      <c r="D280" s="24" t="s">
        <v>43</v>
      </c>
      <c r="E280" s="13" t="s">
        <v>246</v>
      </c>
      <c r="F280" s="26" t="s">
        <v>247</v>
      </c>
      <c r="G280" s="19">
        <v>46002</v>
      </c>
      <c r="H280" s="19">
        <v>46003</v>
      </c>
      <c r="I280" s="68"/>
      <c r="J280" s="68"/>
      <c r="K280" s="45">
        <v>0.54166666666666663</v>
      </c>
      <c r="L280" s="45">
        <v>0.70833333333333337</v>
      </c>
      <c r="M280" s="11">
        <f t="shared" si="4"/>
        <v>4.0000000000000018</v>
      </c>
      <c r="N280" s="11" t="s">
        <v>1</v>
      </c>
      <c r="P280" s="4"/>
      <c r="Q280" s="4"/>
      <c r="R280" s="4"/>
      <c r="S280" s="4"/>
      <c r="T280" s="4"/>
      <c r="U280" s="4"/>
      <c r="V280" s="4"/>
      <c r="W280" s="4"/>
    </row>
    <row r="281" spans="1:23" s="32" customFormat="1" ht="14.4" hidden="1" customHeight="1" x14ac:dyDescent="0.3">
      <c r="A281" s="22" t="s">
        <v>20</v>
      </c>
      <c r="B281" s="21">
        <v>46002</v>
      </c>
      <c r="C281" s="22" t="s">
        <v>12</v>
      </c>
      <c r="D281" s="13" t="s">
        <v>27</v>
      </c>
      <c r="E281" s="13" t="s">
        <v>82</v>
      </c>
      <c r="F281" s="26" t="s">
        <v>157</v>
      </c>
      <c r="G281" s="21">
        <v>46002</v>
      </c>
      <c r="H281" s="21">
        <v>46002</v>
      </c>
      <c r="I281" s="21"/>
      <c r="J281" s="21"/>
      <c r="K281" s="45">
        <v>0.33333333333333331</v>
      </c>
      <c r="L281" s="45">
        <v>0.70833333333333337</v>
      </c>
      <c r="M281" s="11">
        <f t="shared" si="4"/>
        <v>9.0000000000000018</v>
      </c>
      <c r="N281" s="11" t="s">
        <v>0</v>
      </c>
      <c r="P281" s="4"/>
      <c r="Q281" s="4"/>
      <c r="R281" s="4"/>
      <c r="S281" s="4"/>
      <c r="T281" s="4"/>
      <c r="U281" s="4"/>
      <c r="V281" s="4"/>
      <c r="W281" s="4"/>
    </row>
    <row r="282" spans="1:23" s="32" customFormat="1" ht="14.4" hidden="1" customHeight="1" x14ac:dyDescent="0.3">
      <c r="A282" s="22" t="s">
        <v>20</v>
      </c>
      <c r="B282" s="21">
        <v>46002</v>
      </c>
      <c r="C282" s="22" t="s">
        <v>33</v>
      </c>
      <c r="D282" s="214" t="s">
        <v>44</v>
      </c>
      <c r="E282" s="216" t="s">
        <v>99</v>
      </c>
      <c r="F282" s="26" t="s">
        <v>227</v>
      </c>
      <c r="G282" s="219">
        <v>46002</v>
      </c>
      <c r="H282" s="219">
        <v>46003</v>
      </c>
      <c r="I282" s="219"/>
      <c r="J282" s="17"/>
      <c r="K282" s="45">
        <v>0.33333333333333331</v>
      </c>
      <c r="L282" s="45">
        <v>0.70833333333333337</v>
      </c>
      <c r="M282" s="11">
        <f t="shared" si="4"/>
        <v>9.0000000000000018</v>
      </c>
      <c r="N282" s="224" t="s">
        <v>0</v>
      </c>
      <c r="P282" s="4"/>
      <c r="Q282" s="4"/>
      <c r="R282" s="4"/>
      <c r="S282" s="4"/>
      <c r="T282" s="4"/>
      <c r="U282" s="4"/>
      <c r="V282" s="4"/>
      <c r="W282" s="4"/>
    </row>
    <row r="283" spans="1:23" s="32" customFormat="1" ht="14.4" hidden="1" customHeight="1" x14ac:dyDescent="0.3">
      <c r="A283" s="22" t="s">
        <v>20</v>
      </c>
      <c r="B283" s="21">
        <v>46002</v>
      </c>
      <c r="C283" s="22" t="s">
        <v>13</v>
      </c>
      <c r="D283" s="215"/>
      <c r="E283" s="217"/>
      <c r="F283" s="27"/>
      <c r="G283" s="220"/>
      <c r="H283" s="220"/>
      <c r="I283" s="220"/>
      <c r="J283" s="19"/>
      <c r="K283" s="45">
        <v>0.33333333333333331</v>
      </c>
      <c r="L283" s="45">
        <v>0.70833333333333337</v>
      </c>
      <c r="M283" s="11">
        <f t="shared" si="4"/>
        <v>9.0000000000000018</v>
      </c>
      <c r="N283" s="225"/>
      <c r="P283" s="4"/>
      <c r="Q283" s="4"/>
      <c r="R283" s="4"/>
      <c r="S283" s="4"/>
      <c r="T283" s="4"/>
      <c r="U283" s="4"/>
      <c r="V283" s="4"/>
      <c r="W283" s="4"/>
    </row>
    <row r="284" spans="1:23" s="32" customFormat="1" ht="14.4" hidden="1" customHeight="1" x14ac:dyDescent="0.3">
      <c r="A284" s="22" t="s">
        <v>20</v>
      </c>
      <c r="B284" s="21">
        <v>46002</v>
      </c>
      <c r="C284" s="69" t="s">
        <v>14</v>
      </c>
      <c r="D284" s="22" t="s">
        <v>44</v>
      </c>
      <c r="E284" s="22" t="s">
        <v>248</v>
      </c>
      <c r="F284" s="25" t="s">
        <v>249</v>
      </c>
      <c r="G284" s="21">
        <v>46002</v>
      </c>
      <c r="H284" s="21">
        <v>46003</v>
      </c>
      <c r="I284" s="21"/>
      <c r="J284" s="21"/>
      <c r="K284" s="45">
        <v>0.3125</v>
      </c>
      <c r="L284" s="45">
        <v>0.5</v>
      </c>
      <c r="M284" s="11">
        <f t="shared" si="4"/>
        <v>4.5</v>
      </c>
      <c r="N284" s="11" t="s">
        <v>0</v>
      </c>
      <c r="P284" s="4"/>
      <c r="Q284" s="4"/>
      <c r="R284" s="4"/>
      <c r="S284" s="4"/>
      <c r="T284" s="4"/>
      <c r="U284" s="4"/>
      <c r="V284" s="4"/>
      <c r="W284" s="4"/>
    </row>
    <row r="285" spans="1:23" s="32" customFormat="1" ht="14.4" hidden="1" customHeight="1" x14ac:dyDescent="0.3">
      <c r="A285" s="22" t="s">
        <v>20</v>
      </c>
      <c r="B285" s="21">
        <v>46002</v>
      </c>
      <c r="C285" s="69" t="s">
        <v>14</v>
      </c>
      <c r="D285" s="22" t="s">
        <v>44</v>
      </c>
      <c r="E285" s="22" t="s">
        <v>250</v>
      </c>
      <c r="F285" s="25" t="s">
        <v>249</v>
      </c>
      <c r="G285" s="21">
        <v>46002</v>
      </c>
      <c r="H285" s="21">
        <v>46003</v>
      </c>
      <c r="I285" s="21"/>
      <c r="J285" s="21"/>
      <c r="K285" s="45">
        <v>0.54166666666666663</v>
      </c>
      <c r="L285" s="45">
        <v>0.6875</v>
      </c>
      <c r="M285" s="11">
        <f t="shared" si="4"/>
        <v>3.5000000000000009</v>
      </c>
      <c r="N285" s="11" t="s">
        <v>0</v>
      </c>
      <c r="P285" s="4"/>
      <c r="Q285" s="4"/>
      <c r="R285" s="4"/>
      <c r="S285" s="4"/>
      <c r="T285" s="4"/>
      <c r="U285" s="4"/>
      <c r="V285" s="4"/>
      <c r="W285" s="4"/>
    </row>
    <row r="286" spans="1:23" s="32" customFormat="1" ht="14.4" hidden="1" customHeight="1" x14ac:dyDescent="0.3">
      <c r="A286" s="22" t="s">
        <v>20</v>
      </c>
      <c r="B286" s="21">
        <v>46003</v>
      </c>
      <c r="C286" s="22" t="s">
        <v>28</v>
      </c>
      <c r="D286" s="216" t="s">
        <v>65</v>
      </c>
      <c r="E286" s="221" t="s">
        <v>278</v>
      </c>
      <c r="F286" s="26" t="s">
        <v>229</v>
      </c>
      <c r="G286" s="219">
        <v>46003</v>
      </c>
      <c r="H286" s="219">
        <v>46003</v>
      </c>
      <c r="I286" s="219">
        <v>46003</v>
      </c>
      <c r="J286" s="101"/>
      <c r="K286" s="44">
        <v>0.33333333333333331</v>
      </c>
      <c r="L286" s="45">
        <v>0.75</v>
      </c>
      <c r="M286" s="11">
        <f t="shared" si="4"/>
        <v>10</v>
      </c>
      <c r="N286" s="214" t="s">
        <v>0</v>
      </c>
      <c r="P286" s="4"/>
      <c r="Q286" s="4"/>
      <c r="R286" s="4"/>
      <c r="S286" s="4"/>
      <c r="T286" s="4"/>
      <c r="U286" s="4"/>
      <c r="V286" s="4"/>
      <c r="W286" s="4"/>
    </row>
    <row r="287" spans="1:23" s="32" customFormat="1" ht="14.4" hidden="1" customHeight="1" x14ac:dyDescent="0.3">
      <c r="A287" s="22" t="s">
        <v>20</v>
      </c>
      <c r="B287" s="21">
        <v>46003</v>
      </c>
      <c r="C287" s="22" t="s">
        <v>31</v>
      </c>
      <c r="D287" s="217"/>
      <c r="E287" s="221"/>
      <c r="F287" s="27"/>
      <c r="G287" s="220"/>
      <c r="H287" s="220"/>
      <c r="I287" s="220"/>
      <c r="J287" s="102"/>
      <c r="K287" s="44">
        <v>0.3125</v>
      </c>
      <c r="L287" s="45">
        <v>0.35416666666666669</v>
      </c>
      <c r="M287" s="11">
        <f t="shared" si="4"/>
        <v>1.0000000000000004</v>
      </c>
      <c r="N287" s="215"/>
      <c r="P287" s="4"/>
      <c r="Q287" s="4"/>
      <c r="R287" s="4"/>
      <c r="S287" s="4"/>
      <c r="T287" s="4"/>
      <c r="U287" s="4"/>
      <c r="V287" s="4"/>
      <c r="W287" s="4"/>
    </row>
    <row r="288" spans="1:23" s="32" customFormat="1" ht="14.4" hidden="1" customHeight="1" x14ac:dyDescent="0.3">
      <c r="A288" s="22" t="s">
        <v>20</v>
      </c>
      <c r="B288" s="21">
        <v>46003</v>
      </c>
      <c r="C288" s="22" t="s">
        <v>15</v>
      </c>
      <c r="D288" s="214" t="s">
        <v>65</v>
      </c>
      <c r="E288" s="216" t="s">
        <v>296</v>
      </c>
      <c r="F288" s="26" t="s">
        <v>279</v>
      </c>
      <c r="G288" s="219">
        <v>46000</v>
      </c>
      <c r="H288" s="219">
        <v>46003</v>
      </c>
      <c r="I288" s="219">
        <v>46003</v>
      </c>
      <c r="J288" s="101"/>
      <c r="K288" s="44">
        <v>0.54166666666666663</v>
      </c>
      <c r="L288" s="45">
        <v>0.79166666666666663</v>
      </c>
      <c r="M288" s="11">
        <f t="shared" si="4"/>
        <v>6</v>
      </c>
      <c r="N288" s="214" t="s">
        <v>0</v>
      </c>
      <c r="P288" s="4"/>
      <c r="Q288" s="4"/>
      <c r="R288" s="4"/>
      <c r="S288" s="4"/>
      <c r="T288" s="4"/>
      <c r="U288" s="4"/>
      <c r="V288" s="4"/>
      <c r="W288" s="4"/>
    </row>
    <row r="289" spans="1:23" s="32" customFormat="1" ht="14.4" hidden="1" customHeight="1" x14ac:dyDescent="0.3">
      <c r="A289" s="22" t="s">
        <v>20</v>
      </c>
      <c r="B289" s="21">
        <v>46003</v>
      </c>
      <c r="C289" s="22" t="s">
        <v>31</v>
      </c>
      <c r="D289" s="215"/>
      <c r="E289" s="217"/>
      <c r="F289" s="27"/>
      <c r="G289" s="220"/>
      <c r="H289" s="220"/>
      <c r="I289" s="220"/>
      <c r="J289" s="19"/>
      <c r="K289" s="45">
        <v>0.35416666666666669</v>
      </c>
      <c r="L289" s="45">
        <v>0.39583333333333331</v>
      </c>
      <c r="M289" s="11">
        <f t="shared" si="4"/>
        <v>0.99999999999999911</v>
      </c>
      <c r="N289" s="215"/>
      <c r="P289" s="4"/>
      <c r="Q289" s="4"/>
      <c r="R289" s="4"/>
      <c r="S289" s="4"/>
      <c r="T289" s="4"/>
      <c r="U289" s="4"/>
      <c r="V289" s="4"/>
      <c r="W289" s="4"/>
    </row>
    <row r="290" spans="1:23" s="32" customFormat="1" ht="14.4" hidden="1" customHeight="1" x14ac:dyDescent="0.3">
      <c r="A290" s="22" t="s">
        <v>20</v>
      </c>
      <c r="B290" s="21">
        <v>46003</v>
      </c>
      <c r="C290" s="22" t="s">
        <v>17</v>
      </c>
      <c r="D290" s="216" t="s">
        <v>65</v>
      </c>
      <c r="E290" s="216" t="s">
        <v>197</v>
      </c>
      <c r="F290" s="26" t="s">
        <v>280</v>
      </c>
      <c r="G290" s="219">
        <v>45999</v>
      </c>
      <c r="H290" s="219">
        <v>46003</v>
      </c>
      <c r="I290" s="219">
        <v>46003</v>
      </c>
      <c r="J290" s="101"/>
      <c r="K290" s="44">
        <v>0.3125</v>
      </c>
      <c r="L290" s="45">
        <v>0.6875</v>
      </c>
      <c r="M290" s="11">
        <f t="shared" si="4"/>
        <v>9</v>
      </c>
      <c r="N290" s="214" t="s">
        <v>0</v>
      </c>
      <c r="P290" s="4"/>
      <c r="Q290" s="4"/>
      <c r="R290" s="4"/>
      <c r="S290" s="4"/>
      <c r="T290" s="4"/>
      <c r="U290" s="4"/>
      <c r="V290" s="4"/>
      <c r="W290" s="4"/>
    </row>
    <row r="291" spans="1:23" s="32" customFormat="1" ht="14.4" hidden="1" customHeight="1" x14ac:dyDescent="0.3">
      <c r="A291" s="22" t="s">
        <v>20</v>
      </c>
      <c r="B291" s="21">
        <v>46003</v>
      </c>
      <c r="C291" s="22" t="s">
        <v>31</v>
      </c>
      <c r="D291" s="217"/>
      <c r="E291" s="217"/>
      <c r="F291" s="27"/>
      <c r="G291" s="220"/>
      <c r="H291" s="220"/>
      <c r="I291" s="220"/>
      <c r="J291" s="102"/>
      <c r="K291" s="44">
        <v>0.39583333333333331</v>
      </c>
      <c r="L291" s="45">
        <v>0.4375</v>
      </c>
      <c r="M291" s="11">
        <f t="shared" si="4"/>
        <v>1.0000000000000004</v>
      </c>
      <c r="N291" s="215"/>
      <c r="P291" s="4"/>
      <c r="Q291" s="4"/>
      <c r="R291" s="4"/>
      <c r="S291" s="4"/>
      <c r="T291" s="4"/>
      <c r="U291" s="4"/>
      <c r="V291" s="4"/>
      <c r="W291" s="4"/>
    </row>
    <row r="292" spans="1:23" s="32" customFormat="1" ht="14.4" hidden="1" customHeight="1" x14ac:dyDescent="0.3">
      <c r="A292" s="22" t="s">
        <v>20</v>
      </c>
      <c r="B292" s="21">
        <v>46003</v>
      </c>
      <c r="C292" s="22" t="s">
        <v>47</v>
      </c>
      <c r="D292" s="216" t="s">
        <v>65</v>
      </c>
      <c r="E292" s="216" t="s">
        <v>251</v>
      </c>
      <c r="F292" s="26" t="s">
        <v>281</v>
      </c>
      <c r="G292" s="219">
        <v>46003</v>
      </c>
      <c r="H292" s="219">
        <v>46003</v>
      </c>
      <c r="I292" s="219">
        <v>46003</v>
      </c>
      <c r="J292" s="101"/>
      <c r="K292" s="44">
        <v>0.33333333333333331</v>
      </c>
      <c r="L292" s="45">
        <v>0.41666666666666669</v>
      </c>
      <c r="M292" s="11">
        <f t="shared" si="4"/>
        <v>2.0000000000000009</v>
      </c>
      <c r="N292" s="224" t="s">
        <v>0</v>
      </c>
      <c r="P292" s="4"/>
      <c r="Q292" s="4"/>
      <c r="R292" s="4"/>
      <c r="S292" s="4"/>
      <c r="T292" s="4"/>
      <c r="U292" s="4"/>
      <c r="V292" s="4"/>
      <c r="W292" s="4"/>
    </row>
    <row r="293" spans="1:23" s="32" customFormat="1" ht="14.4" hidden="1" customHeight="1" x14ac:dyDescent="0.3">
      <c r="A293" s="22" t="s">
        <v>20</v>
      </c>
      <c r="B293" s="21">
        <v>46003</v>
      </c>
      <c r="C293" s="22" t="s">
        <v>31</v>
      </c>
      <c r="D293" s="217"/>
      <c r="E293" s="217"/>
      <c r="F293" s="27"/>
      <c r="G293" s="220"/>
      <c r="H293" s="220"/>
      <c r="I293" s="220"/>
      <c r="J293" s="19"/>
      <c r="K293" s="45">
        <v>0.4375</v>
      </c>
      <c r="L293" s="45">
        <v>0.45833333333333331</v>
      </c>
      <c r="M293" s="11">
        <f t="shared" si="4"/>
        <v>0.49999999999999956</v>
      </c>
      <c r="N293" s="225"/>
      <c r="P293" s="4"/>
      <c r="Q293" s="4"/>
      <c r="R293" s="4"/>
      <c r="S293" s="4"/>
      <c r="T293" s="4"/>
      <c r="U293" s="4"/>
      <c r="V293" s="4"/>
      <c r="W293" s="4"/>
    </row>
    <row r="294" spans="1:23" s="32" customFormat="1" ht="14.4" hidden="1" customHeight="1" x14ac:dyDescent="0.3">
      <c r="A294" s="22" t="s">
        <v>20</v>
      </c>
      <c r="B294" s="21">
        <v>46003</v>
      </c>
      <c r="C294" s="22" t="s">
        <v>167</v>
      </c>
      <c r="D294" s="216" t="s">
        <v>65</v>
      </c>
      <c r="E294" s="216" t="s">
        <v>283</v>
      </c>
      <c r="F294" s="26" t="s">
        <v>284</v>
      </c>
      <c r="G294" s="219">
        <v>46003</v>
      </c>
      <c r="H294" s="219">
        <v>46003</v>
      </c>
      <c r="I294" s="219">
        <v>46003</v>
      </c>
      <c r="J294" s="101"/>
      <c r="K294" s="44">
        <v>0.3125</v>
      </c>
      <c r="L294" s="45">
        <v>0.77083333333333337</v>
      </c>
      <c r="M294" s="11">
        <f t="shared" si="4"/>
        <v>11</v>
      </c>
      <c r="N294" s="214" t="s">
        <v>0</v>
      </c>
      <c r="P294" s="4"/>
      <c r="Q294" s="4"/>
      <c r="R294" s="4"/>
      <c r="S294" s="4"/>
      <c r="T294" s="4"/>
      <c r="U294" s="4"/>
      <c r="V294" s="4"/>
      <c r="W294" s="4"/>
    </row>
    <row r="295" spans="1:23" s="32" customFormat="1" ht="14.4" hidden="1" customHeight="1" x14ac:dyDescent="0.3">
      <c r="A295" s="22" t="s">
        <v>20</v>
      </c>
      <c r="B295" s="21">
        <v>46003</v>
      </c>
      <c r="C295" s="22" t="s">
        <v>31</v>
      </c>
      <c r="D295" s="217"/>
      <c r="E295" s="217"/>
      <c r="F295" s="27"/>
      <c r="G295" s="220"/>
      <c r="H295" s="220"/>
      <c r="I295" s="220"/>
      <c r="J295" s="19"/>
      <c r="K295" s="45">
        <v>0.45833333333333331</v>
      </c>
      <c r="L295" s="45">
        <v>0.5</v>
      </c>
      <c r="M295" s="11">
        <f t="shared" si="4"/>
        <v>1.0000000000000004</v>
      </c>
      <c r="N295" s="215"/>
      <c r="P295" s="4"/>
      <c r="Q295" s="4"/>
      <c r="R295" s="4"/>
      <c r="S295" s="4"/>
      <c r="T295" s="4"/>
      <c r="U295" s="4"/>
      <c r="V295" s="4"/>
      <c r="W295" s="4"/>
    </row>
    <row r="296" spans="1:23" s="32" customFormat="1" ht="14.4" hidden="1" customHeight="1" x14ac:dyDescent="0.3">
      <c r="A296" s="22" t="s">
        <v>20</v>
      </c>
      <c r="B296" s="21">
        <v>46003</v>
      </c>
      <c r="C296" s="22" t="s">
        <v>16</v>
      </c>
      <c r="D296" s="14" t="s">
        <v>65</v>
      </c>
      <c r="E296" s="14" t="s">
        <v>251</v>
      </c>
      <c r="F296" s="27" t="s">
        <v>282</v>
      </c>
      <c r="G296" s="19">
        <v>46002</v>
      </c>
      <c r="H296" s="19">
        <v>46005</v>
      </c>
      <c r="I296" s="19"/>
      <c r="J296" s="23"/>
      <c r="K296" s="47">
        <v>0.3125</v>
      </c>
      <c r="L296" s="45">
        <v>0.77083333333333337</v>
      </c>
      <c r="M296" s="11">
        <f t="shared" si="4"/>
        <v>11</v>
      </c>
      <c r="N296" s="42" t="s">
        <v>0</v>
      </c>
      <c r="P296" s="4"/>
      <c r="Q296" s="4"/>
      <c r="R296" s="4"/>
      <c r="S296" s="4"/>
      <c r="T296" s="4"/>
      <c r="U296" s="4"/>
      <c r="V296" s="4"/>
      <c r="W296" s="4"/>
    </row>
    <row r="297" spans="1:23" s="32" customFormat="1" ht="14.4" hidden="1" customHeight="1" x14ac:dyDescent="0.3">
      <c r="A297" s="22" t="s">
        <v>20</v>
      </c>
      <c r="B297" s="21">
        <v>46003</v>
      </c>
      <c r="C297" s="22" t="s">
        <v>31</v>
      </c>
      <c r="D297" s="14" t="s">
        <v>65</v>
      </c>
      <c r="E297" s="14" t="s">
        <v>92</v>
      </c>
      <c r="F297" s="27" t="s">
        <v>285</v>
      </c>
      <c r="G297" s="21">
        <v>46003</v>
      </c>
      <c r="H297" s="21">
        <v>46003</v>
      </c>
      <c r="I297" s="19"/>
      <c r="J297" s="23"/>
      <c r="K297" s="47">
        <v>0.54166666666666663</v>
      </c>
      <c r="L297" s="45">
        <v>0.625</v>
      </c>
      <c r="M297" s="11">
        <f t="shared" si="4"/>
        <v>2.0000000000000009</v>
      </c>
      <c r="N297" s="34" t="s">
        <v>0</v>
      </c>
      <c r="P297" s="4"/>
      <c r="Q297" s="4"/>
      <c r="R297" s="4"/>
      <c r="S297" s="4"/>
      <c r="T297" s="4"/>
      <c r="U297" s="4"/>
      <c r="V297" s="4"/>
      <c r="W297" s="4"/>
    </row>
    <row r="298" spans="1:23" s="32" customFormat="1" ht="14.4" hidden="1" customHeight="1" x14ac:dyDescent="0.3">
      <c r="A298" s="22" t="s">
        <v>20</v>
      </c>
      <c r="B298" s="21">
        <v>46003</v>
      </c>
      <c r="C298" s="22" t="s">
        <v>31</v>
      </c>
      <c r="D298" s="24" t="s">
        <v>27</v>
      </c>
      <c r="E298" s="24" t="s">
        <v>117</v>
      </c>
      <c r="F298" s="25" t="s">
        <v>61</v>
      </c>
      <c r="G298" s="21">
        <v>46003</v>
      </c>
      <c r="H298" s="21">
        <v>46003</v>
      </c>
      <c r="I298" s="21"/>
      <c r="J298" s="21"/>
      <c r="K298" s="45">
        <v>0.625</v>
      </c>
      <c r="L298" s="45">
        <v>0.75</v>
      </c>
      <c r="M298" s="11">
        <f t="shared" si="4"/>
        <v>3</v>
      </c>
      <c r="N298" s="63" t="s">
        <v>0</v>
      </c>
      <c r="P298" s="4"/>
      <c r="Q298" s="4"/>
      <c r="R298" s="4"/>
      <c r="S298" s="4"/>
      <c r="T298" s="4"/>
      <c r="U298" s="4"/>
      <c r="V298" s="4"/>
      <c r="W298" s="4"/>
    </row>
    <row r="299" spans="1:23" s="32" customFormat="1" ht="14.4" hidden="1" customHeight="1" x14ac:dyDescent="0.3">
      <c r="A299" s="22" t="s">
        <v>19</v>
      </c>
      <c r="B299" s="21">
        <v>46003</v>
      </c>
      <c r="C299" s="22" t="s">
        <v>9</v>
      </c>
      <c r="D299" s="221" t="s">
        <v>32</v>
      </c>
      <c r="E299" s="221" t="s">
        <v>213</v>
      </c>
      <c r="F299" s="25" t="s">
        <v>286</v>
      </c>
      <c r="G299" s="223">
        <v>46000</v>
      </c>
      <c r="H299" s="223">
        <v>46003</v>
      </c>
      <c r="I299" s="223">
        <v>46003</v>
      </c>
      <c r="J299" s="21"/>
      <c r="K299" s="45">
        <v>0.3125</v>
      </c>
      <c r="L299" s="45">
        <v>0.4375</v>
      </c>
      <c r="M299" s="11">
        <f t="shared" si="4"/>
        <v>3</v>
      </c>
      <c r="N299" s="233" t="s">
        <v>0</v>
      </c>
      <c r="P299" s="4"/>
      <c r="Q299" s="4"/>
      <c r="R299" s="4"/>
      <c r="S299" s="4"/>
      <c r="T299" s="4"/>
      <c r="U299" s="4"/>
      <c r="V299" s="4"/>
      <c r="W299" s="4"/>
    </row>
    <row r="300" spans="1:23" s="32" customFormat="1" ht="14.4" hidden="1" customHeight="1" x14ac:dyDescent="0.3">
      <c r="A300" s="22" t="s">
        <v>19</v>
      </c>
      <c r="B300" s="21">
        <v>46003</v>
      </c>
      <c r="C300" s="22" t="s">
        <v>208</v>
      </c>
      <c r="D300" s="221"/>
      <c r="E300" s="221"/>
      <c r="F300" s="25"/>
      <c r="G300" s="223"/>
      <c r="H300" s="223"/>
      <c r="I300" s="223"/>
      <c r="J300" s="21"/>
      <c r="K300" s="45">
        <v>0.3125</v>
      </c>
      <c r="L300" s="45">
        <v>0.4375</v>
      </c>
      <c r="M300" s="11">
        <f t="shared" si="4"/>
        <v>3</v>
      </c>
      <c r="N300" s="233"/>
      <c r="P300" s="4"/>
      <c r="Q300" s="4"/>
      <c r="R300" s="4"/>
      <c r="S300" s="4"/>
      <c r="T300" s="4"/>
      <c r="U300" s="4"/>
      <c r="V300" s="4"/>
      <c r="W300" s="4"/>
    </row>
    <row r="301" spans="1:23" s="32" customFormat="1" ht="14.4" hidden="1" customHeight="1" x14ac:dyDescent="0.3">
      <c r="A301" s="22" t="s">
        <v>19</v>
      </c>
      <c r="B301" s="21">
        <v>46003</v>
      </c>
      <c r="C301" s="22" t="s">
        <v>9</v>
      </c>
      <c r="D301" s="216" t="s">
        <v>8</v>
      </c>
      <c r="E301" s="216" t="s">
        <v>235</v>
      </c>
      <c r="F301" s="26" t="s">
        <v>289</v>
      </c>
      <c r="G301" s="223">
        <v>46003</v>
      </c>
      <c r="H301" s="223">
        <v>46003</v>
      </c>
      <c r="I301" s="223">
        <v>46003</v>
      </c>
      <c r="J301" s="21"/>
      <c r="K301" s="45">
        <v>0.4375</v>
      </c>
      <c r="L301" s="45">
        <v>0.60416666666666663</v>
      </c>
      <c r="M301" s="11">
        <f t="shared" si="4"/>
        <v>3.9999999999999991</v>
      </c>
      <c r="N301" s="233" t="s">
        <v>0</v>
      </c>
      <c r="P301" s="4"/>
      <c r="Q301" s="4"/>
      <c r="R301" s="4"/>
      <c r="S301" s="4"/>
      <c r="T301" s="4"/>
      <c r="U301" s="4"/>
      <c r="V301" s="4"/>
      <c r="W301" s="4"/>
    </row>
    <row r="302" spans="1:23" s="32" customFormat="1" ht="14.4" hidden="1" customHeight="1" x14ac:dyDescent="0.3">
      <c r="A302" s="22" t="s">
        <v>19</v>
      </c>
      <c r="B302" s="21">
        <v>46003</v>
      </c>
      <c r="C302" s="22" t="s">
        <v>208</v>
      </c>
      <c r="D302" s="217"/>
      <c r="E302" s="217"/>
      <c r="F302" s="27"/>
      <c r="G302" s="223"/>
      <c r="H302" s="223"/>
      <c r="I302" s="223"/>
      <c r="J302" s="21"/>
      <c r="K302" s="45">
        <v>0.4375</v>
      </c>
      <c r="L302" s="45">
        <v>0.60416666666666663</v>
      </c>
      <c r="M302" s="11">
        <f t="shared" si="4"/>
        <v>3.9999999999999991</v>
      </c>
      <c r="N302" s="233"/>
      <c r="P302" s="4"/>
      <c r="Q302" s="4"/>
      <c r="R302" s="4"/>
      <c r="S302" s="4"/>
      <c r="T302" s="4"/>
      <c r="U302" s="4"/>
      <c r="V302" s="4"/>
      <c r="W302" s="4"/>
    </row>
    <row r="303" spans="1:23" s="32" customFormat="1" ht="14.4" hidden="1" customHeight="1" x14ac:dyDescent="0.3">
      <c r="A303" s="22" t="s">
        <v>19</v>
      </c>
      <c r="B303" s="21">
        <v>46003</v>
      </c>
      <c r="C303" s="22" t="s">
        <v>9</v>
      </c>
      <c r="D303" s="216" t="s">
        <v>8</v>
      </c>
      <c r="E303" s="216" t="s">
        <v>75</v>
      </c>
      <c r="F303" s="26" t="s">
        <v>295</v>
      </c>
      <c r="G303" s="223">
        <v>46003</v>
      </c>
      <c r="H303" s="223">
        <v>46003</v>
      </c>
      <c r="I303" s="223">
        <v>46003</v>
      </c>
      <c r="J303" s="21"/>
      <c r="K303" s="45">
        <v>0.60416666666666663</v>
      </c>
      <c r="L303" s="45">
        <v>0.6875</v>
      </c>
      <c r="M303" s="11">
        <f t="shared" si="4"/>
        <v>2.0000000000000009</v>
      </c>
      <c r="N303" s="224" t="s">
        <v>0</v>
      </c>
      <c r="P303" s="4"/>
      <c r="Q303" s="4"/>
      <c r="R303" s="4"/>
      <c r="S303" s="4"/>
      <c r="T303" s="4"/>
      <c r="U303" s="4"/>
      <c r="V303" s="4"/>
      <c r="W303" s="4"/>
    </row>
    <row r="304" spans="1:23" s="32" customFormat="1" ht="14.4" hidden="1" customHeight="1" x14ac:dyDescent="0.3">
      <c r="A304" s="22" t="s">
        <v>19</v>
      </c>
      <c r="B304" s="21">
        <v>46003</v>
      </c>
      <c r="C304" s="22" t="s">
        <v>208</v>
      </c>
      <c r="D304" s="217"/>
      <c r="E304" s="217"/>
      <c r="F304" s="27"/>
      <c r="G304" s="223"/>
      <c r="H304" s="223"/>
      <c r="I304" s="223"/>
      <c r="J304" s="21"/>
      <c r="K304" s="45">
        <v>0.60416666666666663</v>
      </c>
      <c r="L304" s="45">
        <v>0.6875</v>
      </c>
      <c r="M304" s="11">
        <f t="shared" si="4"/>
        <v>2.0000000000000009</v>
      </c>
      <c r="N304" s="225"/>
      <c r="P304" s="4"/>
      <c r="Q304" s="4"/>
      <c r="R304" s="4"/>
      <c r="S304" s="4"/>
      <c r="T304" s="4"/>
      <c r="U304" s="4"/>
      <c r="V304" s="4"/>
      <c r="W304" s="4"/>
    </row>
    <row r="305" spans="1:23" s="32" customFormat="1" ht="28.8" hidden="1" customHeight="1" x14ac:dyDescent="0.3">
      <c r="A305" s="22" t="s">
        <v>19</v>
      </c>
      <c r="B305" s="21">
        <v>46003</v>
      </c>
      <c r="C305" s="22" t="s">
        <v>7</v>
      </c>
      <c r="D305" s="24" t="s">
        <v>8</v>
      </c>
      <c r="E305" s="24" t="s">
        <v>287</v>
      </c>
      <c r="F305" s="25" t="s">
        <v>288</v>
      </c>
      <c r="G305" s="21">
        <v>46003</v>
      </c>
      <c r="H305" s="21">
        <v>46003</v>
      </c>
      <c r="I305" s="21">
        <v>46003</v>
      </c>
      <c r="J305" s="21"/>
      <c r="K305" s="45">
        <v>0.3125</v>
      </c>
      <c r="L305" s="45">
        <v>0.6875</v>
      </c>
      <c r="M305" s="11">
        <f t="shared" si="4"/>
        <v>9</v>
      </c>
      <c r="N305" s="42" t="s">
        <v>0</v>
      </c>
      <c r="P305" s="4"/>
      <c r="Q305" s="4"/>
      <c r="R305" s="4"/>
      <c r="S305" s="4"/>
      <c r="T305" s="4"/>
      <c r="U305" s="4"/>
      <c r="V305" s="4"/>
      <c r="W305" s="4"/>
    </row>
    <row r="306" spans="1:23" s="32" customFormat="1" ht="14.4" hidden="1" customHeight="1" x14ac:dyDescent="0.3">
      <c r="A306" s="22" t="s">
        <v>21</v>
      </c>
      <c r="B306" s="21">
        <v>46003</v>
      </c>
      <c r="C306" s="22" t="s">
        <v>26</v>
      </c>
      <c r="D306" s="24" t="s">
        <v>27</v>
      </c>
      <c r="E306" s="24" t="s">
        <v>82</v>
      </c>
      <c r="F306" s="27" t="s">
        <v>294</v>
      </c>
      <c r="G306" s="21">
        <v>46003</v>
      </c>
      <c r="H306" s="21">
        <v>46003</v>
      </c>
      <c r="I306" s="21">
        <v>46003</v>
      </c>
      <c r="J306" s="21"/>
      <c r="K306" s="45">
        <v>0.33333333333333331</v>
      </c>
      <c r="L306" s="45">
        <v>0.70833333333333337</v>
      </c>
      <c r="M306" s="11">
        <f t="shared" si="4"/>
        <v>9.0000000000000018</v>
      </c>
      <c r="N306" s="11" t="s">
        <v>0</v>
      </c>
      <c r="P306" s="4"/>
      <c r="Q306" s="4"/>
      <c r="R306" s="4"/>
      <c r="S306" s="4"/>
      <c r="T306" s="4"/>
      <c r="U306" s="4"/>
      <c r="V306" s="4"/>
      <c r="W306" s="4"/>
    </row>
    <row r="307" spans="1:23" s="32" customFormat="1" ht="14.4" hidden="1" customHeight="1" x14ac:dyDescent="0.3">
      <c r="A307" s="22" t="s">
        <v>21</v>
      </c>
      <c r="B307" s="21">
        <v>46003</v>
      </c>
      <c r="C307" s="22" t="s">
        <v>50</v>
      </c>
      <c r="D307" s="24" t="s">
        <v>27</v>
      </c>
      <c r="E307" s="24" t="s">
        <v>82</v>
      </c>
      <c r="F307" s="27" t="s">
        <v>294</v>
      </c>
      <c r="G307" s="21">
        <v>46003</v>
      </c>
      <c r="H307" s="21">
        <v>46003</v>
      </c>
      <c r="I307" s="21">
        <v>46003</v>
      </c>
      <c r="J307" s="21"/>
      <c r="K307" s="45">
        <v>0.33333333333333331</v>
      </c>
      <c r="L307" s="45">
        <v>0.70833333333333337</v>
      </c>
      <c r="M307" s="11">
        <f t="shared" si="4"/>
        <v>9.0000000000000018</v>
      </c>
      <c r="N307" s="11" t="s">
        <v>0</v>
      </c>
      <c r="P307" s="4"/>
      <c r="Q307" s="4"/>
      <c r="R307" s="4"/>
      <c r="S307" s="4"/>
      <c r="T307" s="4"/>
      <c r="U307" s="4"/>
      <c r="V307" s="4"/>
      <c r="W307" s="4"/>
    </row>
    <row r="308" spans="1:23" s="32" customFormat="1" ht="14.4" hidden="1" customHeight="1" x14ac:dyDescent="0.3">
      <c r="A308" s="22" t="s">
        <v>21</v>
      </c>
      <c r="B308" s="21">
        <v>46003</v>
      </c>
      <c r="C308" s="22" t="s">
        <v>18</v>
      </c>
      <c r="D308" s="214" t="s">
        <v>8</v>
      </c>
      <c r="E308" s="214" t="s">
        <v>242</v>
      </c>
      <c r="F308" s="28" t="s">
        <v>273</v>
      </c>
      <c r="G308" s="219">
        <v>46002</v>
      </c>
      <c r="H308" s="219">
        <v>46003</v>
      </c>
      <c r="I308" s="236"/>
      <c r="J308" s="98"/>
      <c r="K308" s="45">
        <v>0.3125</v>
      </c>
      <c r="L308" s="45">
        <v>0.70833333333333337</v>
      </c>
      <c r="M308" s="11">
        <f t="shared" si="4"/>
        <v>9.5</v>
      </c>
      <c r="N308" s="214" t="s">
        <v>1</v>
      </c>
      <c r="P308" s="4"/>
      <c r="Q308" s="4"/>
      <c r="R308" s="4"/>
      <c r="S308" s="4"/>
      <c r="T308" s="4"/>
      <c r="U308" s="4"/>
      <c r="V308" s="4"/>
      <c r="W308" s="4"/>
    </row>
    <row r="309" spans="1:23" s="32" customFormat="1" ht="14.4" hidden="1" customHeight="1" x14ac:dyDescent="0.3">
      <c r="A309" s="22" t="s">
        <v>21</v>
      </c>
      <c r="B309" s="21">
        <v>46003</v>
      </c>
      <c r="C309" s="22" t="s">
        <v>56</v>
      </c>
      <c r="D309" s="215"/>
      <c r="E309" s="215"/>
      <c r="F309" s="29"/>
      <c r="G309" s="220"/>
      <c r="H309" s="220"/>
      <c r="I309" s="237"/>
      <c r="J309" s="99"/>
      <c r="K309" s="45">
        <v>0.4375</v>
      </c>
      <c r="L309" s="45">
        <v>0.70833333333333337</v>
      </c>
      <c r="M309" s="11">
        <f t="shared" si="4"/>
        <v>6.5000000000000009</v>
      </c>
      <c r="N309" s="215"/>
      <c r="P309" s="4"/>
      <c r="Q309" s="4"/>
      <c r="R309" s="4"/>
      <c r="S309" s="4"/>
      <c r="T309" s="4"/>
      <c r="U309" s="4"/>
      <c r="V309" s="4"/>
      <c r="W309" s="4"/>
    </row>
    <row r="310" spans="1:23" s="32" customFormat="1" ht="14.4" hidden="1" customHeight="1" x14ac:dyDescent="0.3">
      <c r="A310" s="22" t="s">
        <v>21</v>
      </c>
      <c r="B310" s="21">
        <v>46003</v>
      </c>
      <c r="C310" s="22" t="s">
        <v>274</v>
      </c>
      <c r="D310" s="216" t="s">
        <v>8</v>
      </c>
      <c r="E310" s="216" t="s">
        <v>264</v>
      </c>
      <c r="F310" s="26" t="s">
        <v>267</v>
      </c>
      <c r="G310" s="219">
        <v>46002</v>
      </c>
      <c r="H310" s="219">
        <v>46004</v>
      </c>
      <c r="I310" s="236"/>
      <c r="J310" s="98"/>
      <c r="K310" s="45">
        <v>0.3125</v>
      </c>
      <c r="L310" s="45">
        <v>0.5</v>
      </c>
      <c r="M310" s="11">
        <f t="shared" si="4"/>
        <v>4.5</v>
      </c>
      <c r="N310" s="214" t="s">
        <v>1</v>
      </c>
      <c r="P310" s="4"/>
      <c r="Q310" s="4"/>
      <c r="R310" s="4"/>
      <c r="S310" s="4"/>
      <c r="T310" s="4"/>
      <c r="U310" s="4"/>
      <c r="V310" s="4"/>
      <c r="W310" s="4"/>
    </row>
    <row r="311" spans="1:23" s="32" customFormat="1" ht="14.4" hidden="1" customHeight="1" x14ac:dyDescent="0.3">
      <c r="A311" s="22" t="s">
        <v>21</v>
      </c>
      <c r="B311" s="21">
        <v>46003</v>
      </c>
      <c r="C311" s="22" t="s">
        <v>37</v>
      </c>
      <c r="D311" s="217"/>
      <c r="E311" s="217"/>
      <c r="F311" s="27"/>
      <c r="G311" s="220"/>
      <c r="H311" s="220"/>
      <c r="I311" s="237"/>
      <c r="J311" s="99"/>
      <c r="K311" s="45">
        <v>0.3125</v>
      </c>
      <c r="L311" s="45">
        <v>0.5</v>
      </c>
      <c r="M311" s="11">
        <f t="shared" si="4"/>
        <v>4.5</v>
      </c>
      <c r="N311" s="215"/>
      <c r="P311" s="4"/>
      <c r="Q311" s="4"/>
      <c r="R311" s="4"/>
      <c r="S311" s="4"/>
      <c r="T311" s="4"/>
      <c r="U311" s="4"/>
      <c r="V311" s="4"/>
      <c r="W311" s="4"/>
    </row>
    <row r="312" spans="1:23" s="32" customFormat="1" ht="14.4" hidden="1" customHeight="1" x14ac:dyDescent="0.3">
      <c r="A312" s="22" t="s">
        <v>21</v>
      </c>
      <c r="B312" s="21">
        <v>46003</v>
      </c>
      <c r="C312" s="22" t="s">
        <v>274</v>
      </c>
      <c r="D312" s="216" t="s">
        <v>8</v>
      </c>
      <c r="E312" s="216" t="s">
        <v>235</v>
      </c>
      <c r="F312" s="26" t="s">
        <v>267</v>
      </c>
      <c r="G312" s="219">
        <v>46003</v>
      </c>
      <c r="H312" s="219">
        <v>46004</v>
      </c>
      <c r="I312" s="236"/>
      <c r="J312" s="98"/>
      <c r="K312" s="45">
        <v>0.5</v>
      </c>
      <c r="L312" s="45">
        <v>0.6875</v>
      </c>
      <c r="M312" s="11">
        <f t="shared" si="4"/>
        <v>4.5</v>
      </c>
      <c r="N312" s="214" t="s">
        <v>1</v>
      </c>
      <c r="P312" s="4"/>
      <c r="Q312" s="4"/>
      <c r="R312" s="4"/>
      <c r="S312" s="4"/>
      <c r="T312" s="4"/>
      <c r="U312" s="4"/>
      <c r="V312" s="4"/>
      <c r="W312" s="4"/>
    </row>
    <row r="313" spans="1:23" s="32" customFormat="1" ht="14.4" hidden="1" customHeight="1" x14ac:dyDescent="0.3">
      <c r="A313" s="22" t="s">
        <v>21</v>
      </c>
      <c r="B313" s="21">
        <v>46003</v>
      </c>
      <c r="C313" s="22" t="s">
        <v>37</v>
      </c>
      <c r="D313" s="217"/>
      <c r="E313" s="217"/>
      <c r="F313" s="27"/>
      <c r="G313" s="220"/>
      <c r="H313" s="220"/>
      <c r="I313" s="237"/>
      <c r="J313" s="99"/>
      <c r="K313" s="45">
        <v>0.5</v>
      </c>
      <c r="L313" s="45">
        <v>0.6875</v>
      </c>
      <c r="M313" s="11">
        <f t="shared" si="4"/>
        <v>4.5</v>
      </c>
      <c r="N313" s="215"/>
      <c r="P313" s="4"/>
      <c r="Q313" s="4"/>
      <c r="R313" s="4"/>
      <c r="S313" s="4"/>
      <c r="T313" s="4"/>
      <c r="U313" s="4"/>
      <c r="V313" s="4"/>
      <c r="W313" s="4"/>
    </row>
    <row r="314" spans="1:23" s="32" customFormat="1" ht="14.4" hidden="1" customHeight="1" x14ac:dyDescent="0.3">
      <c r="A314" s="22" t="s">
        <v>21</v>
      </c>
      <c r="B314" s="21">
        <v>46003</v>
      </c>
      <c r="C314" s="22" t="s">
        <v>56</v>
      </c>
      <c r="D314" s="13" t="s">
        <v>8</v>
      </c>
      <c r="E314" s="13" t="s">
        <v>206</v>
      </c>
      <c r="F314" s="26" t="s">
        <v>199</v>
      </c>
      <c r="G314" s="21">
        <v>46003</v>
      </c>
      <c r="H314" s="21">
        <v>46003</v>
      </c>
      <c r="I314" s="21">
        <v>46003</v>
      </c>
      <c r="J314" s="21"/>
      <c r="K314" s="45">
        <v>0.3125</v>
      </c>
      <c r="L314" s="45">
        <v>0.4375</v>
      </c>
      <c r="M314" s="11">
        <f t="shared" si="4"/>
        <v>3</v>
      </c>
      <c r="N314" s="22" t="s">
        <v>0</v>
      </c>
      <c r="P314" s="4"/>
      <c r="Q314" s="4"/>
      <c r="R314" s="4"/>
      <c r="S314" s="4"/>
      <c r="T314" s="4"/>
      <c r="U314" s="4"/>
      <c r="V314" s="4"/>
      <c r="W314" s="4"/>
    </row>
    <row r="315" spans="1:23" s="32" customFormat="1" ht="14.4" hidden="1" customHeight="1" x14ac:dyDescent="0.3">
      <c r="A315" s="22" t="s">
        <v>21</v>
      </c>
      <c r="B315" s="21">
        <v>46003</v>
      </c>
      <c r="C315" s="22" t="s">
        <v>56</v>
      </c>
      <c r="D315" s="13" t="s">
        <v>8</v>
      </c>
      <c r="E315" s="13" t="s">
        <v>75</v>
      </c>
      <c r="F315" s="26" t="s">
        <v>299</v>
      </c>
      <c r="G315" s="21">
        <v>46003</v>
      </c>
      <c r="H315" s="21">
        <v>46003</v>
      </c>
      <c r="I315" s="21">
        <v>46003</v>
      </c>
      <c r="J315" s="21"/>
      <c r="K315" s="45">
        <v>0.14583333333333334</v>
      </c>
      <c r="L315" s="45">
        <v>0.1875</v>
      </c>
      <c r="M315" s="11">
        <f t="shared" si="4"/>
        <v>0.99999999999999978</v>
      </c>
      <c r="N315" s="22" t="s">
        <v>0</v>
      </c>
      <c r="P315" s="4"/>
      <c r="Q315" s="4"/>
      <c r="R315" s="4"/>
      <c r="S315" s="4"/>
      <c r="T315" s="4"/>
      <c r="U315" s="4"/>
      <c r="V315" s="4"/>
      <c r="W315" s="4"/>
    </row>
    <row r="316" spans="1:23" s="32" customFormat="1" ht="14.4" hidden="1" customHeight="1" x14ac:dyDescent="0.3">
      <c r="A316" s="12" t="s">
        <v>21</v>
      </c>
      <c r="B316" s="21">
        <v>46003</v>
      </c>
      <c r="C316" s="12" t="s">
        <v>118</v>
      </c>
      <c r="D316" s="11" t="s">
        <v>54</v>
      </c>
      <c r="E316" s="13" t="s">
        <v>246</v>
      </c>
      <c r="F316" s="26" t="s">
        <v>275</v>
      </c>
      <c r="G316" s="19">
        <v>46003</v>
      </c>
      <c r="H316" s="19">
        <v>46003</v>
      </c>
      <c r="I316" s="19">
        <v>46003</v>
      </c>
      <c r="J316" s="19"/>
      <c r="K316" s="45">
        <v>0.33333333333333331</v>
      </c>
      <c r="L316" s="45">
        <v>0.54166666666666663</v>
      </c>
      <c r="M316" s="11">
        <f t="shared" si="4"/>
        <v>5</v>
      </c>
      <c r="N316" s="22" t="s">
        <v>0</v>
      </c>
      <c r="P316" s="4"/>
      <c r="Q316" s="4"/>
      <c r="R316" s="4"/>
      <c r="S316" s="4"/>
      <c r="T316" s="4"/>
      <c r="U316" s="4"/>
      <c r="V316" s="4"/>
      <c r="W316" s="4"/>
    </row>
    <row r="317" spans="1:23" s="32" customFormat="1" ht="14.4" hidden="1" customHeight="1" x14ac:dyDescent="0.3">
      <c r="A317" s="22" t="s">
        <v>21</v>
      </c>
      <c r="B317" s="21">
        <v>46003</v>
      </c>
      <c r="C317" s="22" t="s">
        <v>55</v>
      </c>
      <c r="D317" s="216" t="s">
        <v>43</v>
      </c>
      <c r="E317" s="24" t="s">
        <v>276</v>
      </c>
      <c r="F317" s="26" t="s">
        <v>125</v>
      </c>
      <c r="G317" s="219">
        <v>46003</v>
      </c>
      <c r="H317" s="219">
        <v>46003</v>
      </c>
      <c r="I317" s="219">
        <v>46003</v>
      </c>
      <c r="J317" s="17"/>
      <c r="K317" s="45">
        <v>0.3125</v>
      </c>
      <c r="L317" s="45">
        <v>0.5</v>
      </c>
      <c r="M317" s="11">
        <f t="shared" si="4"/>
        <v>4.5</v>
      </c>
      <c r="N317" s="214" t="s">
        <v>0</v>
      </c>
      <c r="P317" s="4"/>
      <c r="Q317" s="4"/>
      <c r="R317" s="4"/>
      <c r="S317" s="4"/>
      <c r="T317" s="4"/>
      <c r="U317" s="4"/>
      <c r="V317" s="4"/>
      <c r="W317" s="4"/>
    </row>
    <row r="318" spans="1:23" s="32" customFormat="1" ht="14.4" hidden="1" customHeight="1" x14ac:dyDescent="0.3">
      <c r="A318" s="22" t="s">
        <v>21</v>
      </c>
      <c r="B318" s="21">
        <v>46003</v>
      </c>
      <c r="C318" s="22" t="s">
        <v>25</v>
      </c>
      <c r="D318" s="217"/>
      <c r="E318" s="13" t="s">
        <v>277</v>
      </c>
      <c r="F318" s="27"/>
      <c r="G318" s="220"/>
      <c r="H318" s="220"/>
      <c r="I318" s="220"/>
      <c r="J318" s="19"/>
      <c r="K318" s="45">
        <v>0.3125</v>
      </c>
      <c r="L318" s="45">
        <v>0.5</v>
      </c>
      <c r="M318" s="11">
        <f t="shared" si="4"/>
        <v>4.5</v>
      </c>
      <c r="N318" s="215"/>
      <c r="P318" s="4"/>
      <c r="Q318" s="4"/>
      <c r="R318" s="4"/>
      <c r="S318" s="4"/>
      <c r="T318" s="4"/>
      <c r="U318" s="4"/>
      <c r="V318" s="4"/>
      <c r="W318" s="4"/>
    </row>
    <row r="319" spans="1:23" s="32" customFormat="1" ht="14.4" hidden="1" customHeight="1" x14ac:dyDescent="0.3">
      <c r="A319" s="22" t="s">
        <v>21</v>
      </c>
      <c r="B319" s="21">
        <v>46003</v>
      </c>
      <c r="C319" s="22" t="s">
        <v>55</v>
      </c>
      <c r="D319" s="216" t="s">
        <v>43</v>
      </c>
      <c r="E319" s="216" t="s">
        <v>271</v>
      </c>
      <c r="F319" s="26" t="s">
        <v>146</v>
      </c>
      <c r="G319" s="219">
        <v>46003</v>
      </c>
      <c r="H319" s="219">
        <v>46003</v>
      </c>
      <c r="I319" s="236"/>
      <c r="J319" s="98"/>
      <c r="K319" s="45">
        <v>0.625</v>
      </c>
      <c r="L319" s="45">
        <v>0.6875</v>
      </c>
      <c r="M319" s="11">
        <f t="shared" si="4"/>
        <v>1.5</v>
      </c>
      <c r="N319" s="227" t="s">
        <v>1</v>
      </c>
      <c r="P319" s="4"/>
      <c r="Q319" s="4"/>
      <c r="R319" s="4"/>
      <c r="S319" s="4"/>
      <c r="T319" s="4"/>
      <c r="U319" s="4"/>
      <c r="V319" s="4"/>
      <c r="W319" s="4"/>
    </row>
    <row r="320" spans="1:23" s="32" customFormat="1" ht="14.4" hidden="1" customHeight="1" x14ac:dyDescent="0.3">
      <c r="A320" s="22" t="s">
        <v>21</v>
      </c>
      <c r="B320" s="21">
        <v>46003</v>
      </c>
      <c r="C320" s="22" t="s">
        <v>25</v>
      </c>
      <c r="D320" s="217"/>
      <c r="E320" s="217"/>
      <c r="F320" s="27"/>
      <c r="G320" s="220"/>
      <c r="H320" s="220"/>
      <c r="I320" s="237"/>
      <c r="J320" s="99"/>
      <c r="K320" s="45">
        <v>0.625</v>
      </c>
      <c r="L320" s="45">
        <v>0.6875</v>
      </c>
      <c r="M320" s="11">
        <f t="shared" si="4"/>
        <v>1.5</v>
      </c>
      <c r="N320" s="228"/>
      <c r="P320" s="4"/>
      <c r="Q320" s="4"/>
      <c r="R320" s="4"/>
      <c r="S320" s="4"/>
      <c r="T320" s="4"/>
      <c r="U320" s="4"/>
      <c r="V320" s="4"/>
      <c r="W320" s="4"/>
    </row>
    <row r="321" spans="1:23" s="32" customFormat="1" ht="14.4" hidden="1" customHeight="1" x14ac:dyDescent="0.3">
      <c r="A321" s="22" t="s">
        <v>20</v>
      </c>
      <c r="B321" s="21">
        <v>46003</v>
      </c>
      <c r="C321" s="22" t="s">
        <v>12</v>
      </c>
      <c r="D321" s="13" t="s">
        <v>27</v>
      </c>
      <c r="E321" s="13" t="s">
        <v>82</v>
      </c>
      <c r="F321" s="26" t="s">
        <v>157</v>
      </c>
      <c r="G321" s="21">
        <v>46003</v>
      </c>
      <c r="H321" s="21">
        <v>46003</v>
      </c>
      <c r="I321" s="21"/>
      <c r="J321" s="21"/>
      <c r="K321" s="45">
        <v>0.3125</v>
      </c>
      <c r="L321" s="45">
        <v>0.6875</v>
      </c>
      <c r="M321" s="11">
        <f t="shared" si="4"/>
        <v>9</v>
      </c>
      <c r="N321" s="11" t="s">
        <v>0</v>
      </c>
      <c r="P321" s="4"/>
      <c r="Q321" s="4"/>
      <c r="R321" s="4"/>
      <c r="S321" s="4"/>
      <c r="T321" s="4"/>
      <c r="U321" s="4"/>
      <c r="V321" s="4"/>
      <c r="W321" s="4"/>
    </row>
    <row r="322" spans="1:23" s="32" customFormat="1" ht="14.4" hidden="1" customHeight="1" x14ac:dyDescent="0.3">
      <c r="A322" s="22" t="s">
        <v>20</v>
      </c>
      <c r="B322" s="21">
        <v>46003</v>
      </c>
      <c r="C322" s="22" t="s">
        <v>33</v>
      </c>
      <c r="D322" s="214" t="s">
        <v>44</v>
      </c>
      <c r="E322" s="216" t="s">
        <v>292</v>
      </c>
      <c r="F322" s="26" t="s">
        <v>293</v>
      </c>
      <c r="G322" s="219">
        <v>46003</v>
      </c>
      <c r="H322" s="219">
        <v>46011</v>
      </c>
      <c r="I322" s="219"/>
      <c r="J322" s="17"/>
      <c r="K322" s="45">
        <v>0.33333333333333331</v>
      </c>
      <c r="L322" s="45">
        <v>0.75</v>
      </c>
      <c r="M322" s="11">
        <f t="shared" si="4"/>
        <v>10</v>
      </c>
      <c r="N322" s="224" t="s">
        <v>0</v>
      </c>
      <c r="P322" s="4"/>
      <c r="Q322" s="4"/>
      <c r="R322" s="4"/>
      <c r="S322" s="4"/>
      <c r="T322" s="4"/>
      <c r="U322" s="4"/>
      <c r="V322" s="4"/>
      <c r="W322" s="4"/>
    </row>
    <row r="323" spans="1:23" s="32" customFormat="1" ht="14.4" hidden="1" customHeight="1" x14ac:dyDescent="0.3">
      <c r="A323" s="22" t="s">
        <v>20</v>
      </c>
      <c r="B323" s="21">
        <v>46003</v>
      </c>
      <c r="C323" s="22" t="s">
        <v>13</v>
      </c>
      <c r="D323" s="215"/>
      <c r="E323" s="217"/>
      <c r="F323" s="27"/>
      <c r="G323" s="220"/>
      <c r="H323" s="220"/>
      <c r="I323" s="220"/>
      <c r="J323" s="19"/>
      <c r="K323" s="45">
        <v>0.33333333333333331</v>
      </c>
      <c r="L323" s="45">
        <v>0.75</v>
      </c>
      <c r="M323" s="11">
        <f t="shared" ref="M323:M386" si="5">MOD(L323-K323,1)*24</f>
        <v>10</v>
      </c>
      <c r="N323" s="225"/>
      <c r="P323" s="4"/>
      <c r="Q323" s="4"/>
      <c r="R323" s="4"/>
      <c r="S323" s="4"/>
      <c r="T323" s="4"/>
      <c r="U323" s="4"/>
      <c r="V323" s="4"/>
      <c r="W323" s="4"/>
    </row>
    <row r="324" spans="1:23" s="32" customFormat="1" ht="14.4" hidden="1" customHeight="1" x14ac:dyDescent="0.3">
      <c r="A324" s="22" t="s">
        <v>20</v>
      </c>
      <c r="B324" s="21">
        <v>46003</v>
      </c>
      <c r="C324" s="69" t="s">
        <v>135</v>
      </c>
      <c r="D324" s="214" t="s">
        <v>44</v>
      </c>
      <c r="E324" s="214" t="s">
        <v>290</v>
      </c>
      <c r="F324" s="26" t="s">
        <v>291</v>
      </c>
      <c r="G324" s="219">
        <v>46003</v>
      </c>
      <c r="H324" s="219">
        <v>46016</v>
      </c>
      <c r="I324" s="219">
        <v>46003</v>
      </c>
      <c r="J324" s="17"/>
      <c r="K324" s="45">
        <v>0.3125</v>
      </c>
      <c r="L324" s="45">
        <v>0.72916666666666663</v>
      </c>
      <c r="M324" s="11">
        <f t="shared" si="5"/>
        <v>10</v>
      </c>
      <c r="N324" s="214" t="s">
        <v>0</v>
      </c>
      <c r="P324" s="4"/>
      <c r="Q324" s="4"/>
      <c r="R324" s="4"/>
      <c r="S324" s="4"/>
      <c r="T324" s="4"/>
      <c r="U324" s="4"/>
      <c r="V324" s="4"/>
      <c r="W324" s="4"/>
    </row>
    <row r="325" spans="1:23" s="32" customFormat="1" ht="14.4" hidden="1" customHeight="1" x14ac:dyDescent="0.3">
      <c r="A325" s="22" t="s">
        <v>20</v>
      </c>
      <c r="B325" s="21">
        <v>46003</v>
      </c>
      <c r="C325" s="69" t="s">
        <v>14</v>
      </c>
      <c r="D325" s="226"/>
      <c r="E325" s="226"/>
      <c r="F325" s="3"/>
      <c r="G325" s="229"/>
      <c r="H325" s="229"/>
      <c r="I325" s="229"/>
      <c r="J325" s="23"/>
      <c r="K325" s="47">
        <v>0.3125</v>
      </c>
      <c r="L325" s="47">
        <v>0.72916666666666663</v>
      </c>
      <c r="M325" s="11">
        <f t="shared" si="5"/>
        <v>10</v>
      </c>
      <c r="N325" s="226"/>
      <c r="P325" s="4"/>
      <c r="Q325" s="4"/>
      <c r="R325" s="4"/>
      <c r="S325" s="4"/>
      <c r="T325" s="4"/>
      <c r="U325" s="4"/>
      <c r="V325" s="4"/>
      <c r="W325" s="4"/>
    </row>
    <row r="326" spans="1:23" s="32" customFormat="1" ht="14.4" hidden="1" customHeight="1" x14ac:dyDescent="0.3">
      <c r="A326" s="22" t="s">
        <v>20</v>
      </c>
      <c r="B326" s="21">
        <v>46003</v>
      </c>
      <c r="C326" s="69" t="s">
        <v>12</v>
      </c>
      <c r="D326" s="233" t="s">
        <v>44</v>
      </c>
      <c r="E326" s="238" t="s">
        <v>297</v>
      </c>
      <c r="F326" s="25" t="s">
        <v>298</v>
      </c>
      <c r="G326" s="239">
        <v>46003</v>
      </c>
      <c r="H326" s="239">
        <v>46003</v>
      </c>
      <c r="I326" s="239">
        <v>46003</v>
      </c>
      <c r="J326" s="30"/>
      <c r="K326" s="48">
        <v>0.66666666666666663</v>
      </c>
      <c r="L326" s="48">
        <v>0.79166666666666663</v>
      </c>
      <c r="M326" s="11">
        <f t="shared" si="5"/>
        <v>3</v>
      </c>
      <c r="N326" s="214" t="s">
        <v>0</v>
      </c>
      <c r="P326" s="4"/>
      <c r="Q326" s="4"/>
      <c r="R326" s="4"/>
      <c r="S326" s="4"/>
      <c r="T326" s="4"/>
      <c r="U326" s="4"/>
      <c r="V326" s="4"/>
      <c r="W326" s="4"/>
    </row>
    <row r="327" spans="1:23" s="32" customFormat="1" ht="14.4" hidden="1" customHeight="1" x14ac:dyDescent="0.3">
      <c r="A327" s="22" t="s">
        <v>20</v>
      </c>
      <c r="B327" s="21">
        <v>46003</v>
      </c>
      <c r="C327" s="69" t="s">
        <v>135</v>
      </c>
      <c r="D327" s="233"/>
      <c r="E327" s="233"/>
      <c r="F327" s="25"/>
      <c r="G327" s="239"/>
      <c r="H327" s="239"/>
      <c r="I327" s="239"/>
      <c r="J327" s="30"/>
      <c r="K327" s="48">
        <v>0.66666666666666663</v>
      </c>
      <c r="L327" s="48">
        <v>0.79166666666666663</v>
      </c>
      <c r="M327" s="11">
        <f t="shared" si="5"/>
        <v>3</v>
      </c>
      <c r="N327" s="226"/>
      <c r="P327" s="4"/>
      <c r="Q327" s="4"/>
      <c r="R327" s="4"/>
      <c r="S327" s="4"/>
      <c r="T327" s="4"/>
      <c r="U327" s="4"/>
      <c r="V327" s="4"/>
      <c r="W327" s="4"/>
    </row>
    <row r="328" spans="1:23" s="32" customFormat="1" ht="14.4" hidden="1" customHeight="1" x14ac:dyDescent="0.3">
      <c r="A328" s="22" t="s">
        <v>20</v>
      </c>
      <c r="B328" s="21">
        <v>46003</v>
      </c>
      <c r="C328" s="69" t="s">
        <v>12</v>
      </c>
      <c r="D328" s="233"/>
      <c r="E328" s="233"/>
      <c r="F328" s="25"/>
      <c r="G328" s="239"/>
      <c r="H328" s="239"/>
      <c r="I328" s="239"/>
      <c r="J328" s="30"/>
      <c r="K328" s="48">
        <v>0.66666666666666663</v>
      </c>
      <c r="L328" s="48">
        <v>0.79166666666666663</v>
      </c>
      <c r="M328" s="11">
        <f t="shared" si="5"/>
        <v>3</v>
      </c>
      <c r="N328" s="215"/>
      <c r="P328" s="4"/>
      <c r="Q328" s="4"/>
      <c r="R328" s="4"/>
      <c r="S328" s="4"/>
      <c r="T328" s="4"/>
      <c r="U328" s="4"/>
      <c r="V328" s="4"/>
      <c r="W328" s="4"/>
    </row>
    <row r="329" spans="1:23" s="32" customFormat="1" ht="14.4" hidden="1" customHeight="1" x14ac:dyDescent="0.3">
      <c r="A329" s="22" t="s">
        <v>20</v>
      </c>
      <c r="B329" s="21">
        <v>46004</v>
      </c>
      <c r="C329" s="22" t="s">
        <v>28</v>
      </c>
      <c r="D329" s="216" t="s">
        <v>65</v>
      </c>
      <c r="E329" s="221" t="s">
        <v>278</v>
      </c>
      <c r="F329" s="26" t="s">
        <v>229</v>
      </c>
      <c r="G329" s="219">
        <v>46003</v>
      </c>
      <c r="H329" s="219">
        <v>46004</v>
      </c>
      <c r="I329" s="219"/>
      <c r="J329" s="101"/>
      <c r="K329" s="44">
        <v>0.33333333333333331</v>
      </c>
      <c r="L329" s="45">
        <v>0.79166666666666663</v>
      </c>
      <c r="M329" s="11">
        <f t="shared" si="5"/>
        <v>11</v>
      </c>
      <c r="N329" s="214" t="s">
        <v>0</v>
      </c>
      <c r="P329" s="4"/>
      <c r="Q329" s="4"/>
      <c r="R329" s="4"/>
      <c r="S329" s="4"/>
      <c r="T329" s="4"/>
      <c r="U329" s="4"/>
      <c r="V329" s="4"/>
      <c r="W329" s="4"/>
    </row>
    <row r="330" spans="1:23" s="32" customFormat="1" ht="14.4" hidden="1" customHeight="1" x14ac:dyDescent="0.3">
      <c r="A330" s="22" t="s">
        <v>20</v>
      </c>
      <c r="B330" s="21">
        <v>46004</v>
      </c>
      <c r="C330" s="22" t="s">
        <v>31</v>
      </c>
      <c r="D330" s="217"/>
      <c r="E330" s="221"/>
      <c r="F330" s="27"/>
      <c r="G330" s="220"/>
      <c r="H330" s="220"/>
      <c r="I330" s="220"/>
      <c r="J330" s="102"/>
      <c r="K330" s="44">
        <v>0.3125</v>
      </c>
      <c r="L330" s="45">
        <v>0.35416666666666669</v>
      </c>
      <c r="M330" s="11">
        <f t="shared" si="5"/>
        <v>1.0000000000000004</v>
      </c>
      <c r="N330" s="215"/>
      <c r="P330" s="4"/>
      <c r="Q330" s="4"/>
      <c r="R330" s="4"/>
      <c r="S330" s="4"/>
      <c r="T330" s="4"/>
      <c r="U330" s="4"/>
      <c r="V330" s="4"/>
      <c r="W330" s="4"/>
    </row>
    <row r="331" spans="1:23" s="32" customFormat="1" ht="14.4" hidden="1" customHeight="1" x14ac:dyDescent="0.3">
      <c r="A331" s="22" t="s">
        <v>20</v>
      </c>
      <c r="B331" s="21">
        <v>46004</v>
      </c>
      <c r="C331" s="22" t="s">
        <v>15</v>
      </c>
      <c r="D331" s="214" t="s">
        <v>65</v>
      </c>
      <c r="E331" s="216" t="s">
        <v>296</v>
      </c>
      <c r="F331" s="26" t="s">
        <v>304</v>
      </c>
      <c r="G331" s="219">
        <v>46000</v>
      </c>
      <c r="H331" s="219">
        <v>46004</v>
      </c>
      <c r="I331" s="219"/>
      <c r="J331" s="101"/>
      <c r="K331" s="44">
        <v>0.54166666666666663</v>
      </c>
      <c r="L331" s="45">
        <v>0.79166666666666663</v>
      </c>
      <c r="M331" s="11">
        <f t="shared" si="5"/>
        <v>6</v>
      </c>
      <c r="N331" s="214" t="s">
        <v>0</v>
      </c>
      <c r="P331" s="4"/>
      <c r="Q331" s="4"/>
      <c r="R331" s="4"/>
      <c r="S331" s="4"/>
      <c r="T331" s="4"/>
      <c r="U331" s="4"/>
      <c r="V331" s="4"/>
      <c r="W331" s="4"/>
    </row>
    <row r="332" spans="1:23" s="32" customFormat="1" ht="14.4" hidden="1" customHeight="1" x14ac:dyDescent="0.3">
      <c r="A332" s="22" t="s">
        <v>20</v>
      </c>
      <c r="B332" s="21">
        <v>46004</v>
      </c>
      <c r="C332" s="22" t="s">
        <v>31</v>
      </c>
      <c r="D332" s="215"/>
      <c r="E332" s="217"/>
      <c r="F332" s="27"/>
      <c r="G332" s="220"/>
      <c r="H332" s="220"/>
      <c r="I332" s="220"/>
      <c r="J332" s="19"/>
      <c r="K332" s="45">
        <v>0.35416666666666669</v>
      </c>
      <c r="L332" s="45">
        <v>0.39583333333333331</v>
      </c>
      <c r="M332" s="11">
        <f t="shared" si="5"/>
        <v>0.99999999999999911</v>
      </c>
      <c r="N332" s="215"/>
      <c r="P332" s="4"/>
      <c r="Q332" s="4"/>
      <c r="R332" s="4"/>
      <c r="S332" s="4"/>
      <c r="T332" s="4"/>
      <c r="U332" s="4"/>
      <c r="V332" s="4"/>
      <c r="W332" s="4"/>
    </row>
    <row r="333" spans="1:23" s="32" customFormat="1" ht="14.4" hidden="1" customHeight="1" x14ac:dyDescent="0.3">
      <c r="A333" s="22" t="s">
        <v>20</v>
      </c>
      <c r="B333" s="21">
        <v>46004</v>
      </c>
      <c r="C333" s="22" t="s">
        <v>17</v>
      </c>
      <c r="D333" s="216" t="s">
        <v>65</v>
      </c>
      <c r="E333" s="216" t="s">
        <v>197</v>
      </c>
      <c r="F333" s="26" t="s">
        <v>305</v>
      </c>
      <c r="G333" s="219">
        <v>45999</v>
      </c>
      <c r="H333" s="219">
        <v>46004</v>
      </c>
      <c r="I333" s="219">
        <v>46004</v>
      </c>
      <c r="J333" s="101"/>
      <c r="K333" s="44">
        <v>0.3125</v>
      </c>
      <c r="L333" s="45">
        <v>0.4375</v>
      </c>
      <c r="M333" s="11">
        <f t="shared" si="5"/>
        <v>3</v>
      </c>
      <c r="N333" s="214" t="s">
        <v>0</v>
      </c>
      <c r="P333" s="4"/>
      <c r="Q333" s="4"/>
      <c r="R333" s="4"/>
      <c r="S333" s="4"/>
      <c r="T333" s="4"/>
      <c r="U333" s="4"/>
      <c r="V333" s="4"/>
      <c r="W333" s="4"/>
    </row>
    <row r="334" spans="1:23" s="32" customFormat="1" ht="14.4" hidden="1" customHeight="1" x14ac:dyDescent="0.3">
      <c r="A334" s="22" t="s">
        <v>20</v>
      </c>
      <c r="B334" s="21">
        <v>46004</v>
      </c>
      <c r="C334" s="22" t="s">
        <v>31</v>
      </c>
      <c r="D334" s="217"/>
      <c r="E334" s="217"/>
      <c r="F334" s="27"/>
      <c r="G334" s="220"/>
      <c r="H334" s="220"/>
      <c r="I334" s="220"/>
      <c r="J334" s="102"/>
      <c r="K334" s="44">
        <v>0.39583333333333331</v>
      </c>
      <c r="L334" s="45">
        <v>0.4375</v>
      </c>
      <c r="M334" s="11">
        <f t="shared" si="5"/>
        <v>1.0000000000000004</v>
      </c>
      <c r="N334" s="215"/>
      <c r="P334" s="4"/>
      <c r="Q334" s="4"/>
      <c r="R334" s="4"/>
      <c r="S334" s="4"/>
      <c r="T334" s="4"/>
      <c r="U334" s="4"/>
      <c r="V334" s="4"/>
      <c r="W334" s="4"/>
    </row>
    <row r="335" spans="1:23" s="32" customFormat="1" ht="14.4" hidden="1" customHeight="1" x14ac:dyDescent="0.3">
      <c r="A335" s="22" t="s">
        <v>20</v>
      </c>
      <c r="B335" s="21">
        <v>46004</v>
      </c>
      <c r="C335" s="22" t="s">
        <v>47</v>
      </c>
      <c r="D335" s="216" t="s">
        <v>65</v>
      </c>
      <c r="E335" s="216" t="s">
        <v>306</v>
      </c>
      <c r="F335" s="26" t="s">
        <v>307</v>
      </c>
      <c r="G335" s="219">
        <v>46003</v>
      </c>
      <c r="H335" s="219">
        <v>46004</v>
      </c>
      <c r="I335" s="219"/>
      <c r="J335" s="101"/>
      <c r="K335" s="44">
        <v>0.33333333333333331</v>
      </c>
      <c r="L335" s="45">
        <v>0.79166666666666663</v>
      </c>
      <c r="M335" s="11">
        <f t="shared" si="5"/>
        <v>11</v>
      </c>
      <c r="N335" s="214" t="s">
        <v>0</v>
      </c>
      <c r="P335" s="4"/>
      <c r="Q335" s="4"/>
      <c r="R335" s="4"/>
      <c r="S335" s="4"/>
      <c r="T335" s="4"/>
      <c r="U335" s="4"/>
      <c r="V335" s="4"/>
      <c r="W335" s="4"/>
    </row>
    <row r="336" spans="1:23" s="32" customFormat="1" ht="14.4" hidden="1" customHeight="1" x14ac:dyDescent="0.3">
      <c r="A336" s="22" t="s">
        <v>20</v>
      </c>
      <c r="B336" s="21">
        <v>46004</v>
      </c>
      <c r="C336" s="22" t="s">
        <v>31</v>
      </c>
      <c r="D336" s="217"/>
      <c r="E336" s="217"/>
      <c r="F336" s="27"/>
      <c r="G336" s="220"/>
      <c r="H336" s="220"/>
      <c r="I336" s="220"/>
      <c r="J336" s="19"/>
      <c r="K336" s="45">
        <v>0.4375</v>
      </c>
      <c r="L336" s="45">
        <v>0.45833333333333331</v>
      </c>
      <c r="M336" s="11">
        <f t="shared" si="5"/>
        <v>0.49999999999999956</v>
      </c>
      <c r="N336" s="215"/>
      <c r="P336" s="4"/>
      <c r="Q336" s="4"/>
      <c r="R336" s="4"/>
      <c r="S336" s="4"/>
      <c r="T336" s="4"/>
      <c r="U336" s="4"/>
      <c r="V336" s="4"/>
      <c r="W336" s="4"/>
    </row>
    <row r="337" spans="1:23" s="32" customFormat="1" ht="14.4" hidden="1" customHeight="1" x14ac:dyDescent="0.3">
      <c r="A337" s="22" t="s">
        <v>20</v>
      </c>
      <c r="B337" s="21">
        <v>46004</v>
      </c>
      <c r="C337" s="22" t="s">
        <v>167</v>
      </c>
      <c r="D337" s="216" t="s">
        <v>65</v>
      </c>
      <c r="E337" s="216" t="s">
        <v>308</v>
      </c>
      <c r="F337" s="26" t="s">
        <v>309</v>
      </c>
      <c r="G337" s="219">
        <v>46004</v>
      </c>
      <c r="H337" s="219">
        <v>46004</v>
      </c>
      <c r="I337" s="219"/>
      <c r="J337" s="101"/>
      <c r="K337" s="44">
        <v>0.3125</v>
      </c>
      <c r="L337" s="45">
        <v>0.77083333333333337</v>
      </c>
      <c r="M337" s="11">
        <f t="shared" si="5"/>
        <v>11</v>
      </c>
      <c r="N337" s="11" t="s">
        <v>0</v>
      </c>
      <c r="P337" s="4"/>
      <c r="Q337" s="4"/>
      <c r="R337" s="4"/>
      <c r="S337" s="4"/>
      <c r="T337" s="4"/>
      <c r="U337" s="4"/>
      <c r="V337" s="4"/>
      <c r="W337" s="4"/>
    </row>
    <row r="338" spans="1:23" s="32" customFormat="1" ht="14.4" hidden="1" customHeight="1" x14ac:dyDescent="0.3">
      <c r="A338" s="22" t="s">
        <v>20</v>
      </c>
      <c r="B338" s="21">
        <v>46004</v>
      </c>
      <c r="C338" s="22" t="s">
        <v>31</v>
      </c>
      <c r="D338" s="217"/>
      <c r="E338" s="217"/>
      <c r="F338" s="27"/>
      <c r="G338" s="220"/>
      <c r="H338" s="220"/>
      <c r="I338" s="220"/>
      <c r="J338" s="19"/>
      <c r="K338" s="45">
        <v>0.45833333333333331</v>
      </c>
      <c r="L338" s="45">
        <v>0.5</v>
      </c>
      <c r="M338" s="11">
        <f t="shared" si="5"/>
        <v>1.0000000000000004</v>
      </c>
      <c r="N338" s="11" t="s">
        <v>0</v>
      </c>
      <c r="P338" s="4"/>
      <c r="Q338" s="4"/>
      <c r="R338" s="4"/>
      <c r="S338" s="4"/>
      <c r="T338" s="4"/>
      <c r="U338" s="4"/>
      <c r="V338" s="4"/>
      <c r="W338" s="4"/>
    </row>
    <row r="339" spans="1:23" s="32" customFormat="1" ht="14.4" hidden="1" customHeight="1" x14ac:dyDescent="0.3">
      <c r="A339" s="22" t="s">
        <v>20</v>
      </c>
      <c r="B339" s="21">
        <v>46004</v>
      </c>
      <c r="C339" s="22" t="s">
        <v>16</v>
      </c>
      <c r="D339" s="216" t="s">
        <v>65</v>
      </c>
      <c r="E339" s="216" t="s">
        <v>251</v>
      </c>
      <c r="F339" s="26" t="s">
        <v>310</v>
      </c>
      <c r="G339" s="219">
        <v>46002</v>
      </c>
      <c r="H339" s="219">
        <v>46004</v>
      </c>
      <c r="I339" s="19"/>
      <c r="J339" s="23"/>
      <c r="K339" s="47">
        <v>0.3125</v>
      </c>
      <c r="L339" s="45">
        <v>0.77083333333333337</v>
      </c>
      <c r="M339" s="11">
        <f t="shared" si="5"/>
        <v>11</v>
      </c>
      <c r="N339" s="214" t="s">
        <v>0</v>
      </c>
      <c r="P339" s="4"/>
      <c r="Q339" s="4"/>
      <c r="R339" s="4"/>
      <c r="S339" s="4"/>
      <c r="T339" s="4"/>
      <c r="U339" s="4"/>
      <c r="V339" s="4"/>
      <c r="W339" s="4"/>
    </row>
    <row r="340" spans="1:23" s="32" customFormat="1" ht="14.4" hidden="1" customHeight="1" x14ac:dyDescent="0.3">
      <c r="A340" s="22" t="s">
        <v>20</v>
      </c>
      <c r="B340" s="21">
        <v>46004</v>
      </c>
      <c r="C340" s="22" t="s">
        <v>31</v>
      </c>
      <c r="D340" s="217"/>
      <c r="E340" s="217"/>
      <c r="F340" s="27"/>
      <c r="G340" s="220"/>
      <c r="H340" s="220"/>
      <c r="I340" s="19"/>
      <c r="J340" s="23"/>
      <c r="K340" s="47">
        <v>0.54166666666666663</v>
      </c>
      <c r="L340" s="45">
        <v>0.625</v>
      </c>
      <c r="M340" s="11">
        <f t="shared" si="5"/>
        <v>2.0000000000000009</v>
      </c>
      <c r="N340" s="215"/>
      <c r="P340" s="4"/>
      <c r="Q340" s="4"/>
      <c r="R340" s="4"/>
      <c r="S340" s="4"/>
      <c r="T340" s="4"/>
      <c r="U340" s="4"/>
      <c r="V340" s="4"/>
      <c r="W340" s="4"/>
    </row>
    <row r="341" spans="1:23" s="32" customFormat="1" ht="35.549999999999997" hidden="1" customHeight="1" x14ac:dyDescent="0.3">
      <c r="A341" s="22" t="s">
        <v>19</v>
      </c>
      <c r="B341" s="21">
        <v>46004</v>
      </c>
      <c r="C341" s="22" t="s">
        <v>7</v>
      </c>
      <c r="D341" s="14" t="s">
        <v>8</v>
      </c>
      <c r="E341" s="14" t="s">
        <v>312</v>
      </c>
      <c r="F341" s="27" t="s">
        <v>311</v>
      </c>
      <c r="G341" s="19">
        <v>46004</v>
      </c>
      <c r="H341" s="19">
        <v>46004</v>
      </c>
      <c r="I341" s="19"/>
      <c r="J341" s="23"/>
      <c r="K341" s="47">
        <v>0.3125</v>
      </c>
      <c r="L341" s="45">
        <v>0.52083333333333337</v>
      </c>
      <c r="M341" s="11">
        <f t="shared" si="5"/>
        <v>5.0000000000000009</v>
      </c>
      <c r="N341" s="43" t="s">
        <v>0</v>
      </c>
      <c r="P341" s="4"/>
      <c r="Q341" s="4"/>
      <c r="R341" s="4"/>
      <c r="S341" s="4"/>
      <c r="T341" s="4"/>
      <c r="U341" s="4"/>
      <c r="V341" s="4"/>
      <c r="W341" s="4"/>
    </row>
    <row r="342" spans="1:23" s="32" customFormat="1" ht="14.4" hidden="1" customHeight="1" x14ac:dyDescent="0.3">
      <c r="A342" s="22" t="s">
        <v>19</v>
      </c>
      <c r="B342" s="21">
        <v>46004</v>
      </c>
      <c r="C342" s="22" t="s">
        <v>7</v>
      </c>
      <c r="D342" s="14" t="s">
        <v>8</v>
      </c>
      <c r="E342" s="14" t="s">
        <v>316</v>
      </c>
      <c r="F342" s="27" t="s">
        <v>317</v>
      </c>
      <c r="G342" s="19">
        <v>45975</v>
      </c>
      <c r="H342" s="19">
        <v>46004</v>
      </c>
      <c r="I342" s="19"/>
      <c r="J342" s="23"/>
      <c r="K342" s="47">
        <v>0.52083333333333337</v>
      </c>
      <c r="L342" s="45">
        <v>0.6875</v>
      </c>
      <c r="M342" s="11">
        <f t="shared" si="5"/>
        <v>3.9999999999999991</v>
      </c>
      <c r="N342" s="72" t="s">
        <v>30</v>
      </c>
      <c r="P342" s="4"/>
      <c r="Q342" s="4"/>
      <c r="R342" s="4"/>
      <c r="S342" s="4"/>
      <c r="T342" s="4"/>
      <c r="U342" s="4"/>
      <c r="V342" s="4"/>
      <c r="W342" s="4"/>
    </row>
    <row r="343" spans="1:23" s="32" customFormat="1" ht="14.4" hidden="1" customHeight="1" x14ac:dyDescent="0.3">
      <c r="A343" s="22" t="s">
        <v>19</v>
      </c>
      <c r="B343" s="21">
        <v>46004</v>
      </c>
      <c r="C343" s="22" t="s">
        <v>7</v>
      </c>
      <c r="D343" s="14" t="s">
        <v>27</v>
      </c>
      <c r="E343" s="14" t="s">
        <v>318</v>
      </c>
      <c r="F343" s="27" t="s">
        <v>319</v>
      </c>
      <c r="G343" s="19">
        <v>46004</v>
      </c>
      <c r="H343" s="19">
        <v>46004</v>
      </c>
      <c r="I343" s="19"/>
      <c r="J343" s="23"/>
      <c r="K343" s="47">
        <v>0.58333333333333337</v>
      </c>
      <c r="L343" s="45">
        <v>0.6875</v>
      </c>
      <c r="M343" s="11">
        <f t="shared" si="5"/>
        <v>2.4999999999999991</v>
      </c>
      <c r="N343" s="43" t="s">
        <v>0</v>
      </c>
      <c r="P343" s="4"/>
      <c r="Q343" s="4"/>
      <c r="R343" s="4"/>
      <c r="S343" s="4"/>
      <c r="T343" s="4"/>
      <c r="U343" s="4"/>
      <c r="V343" s="4"/>
      <c r="W343" s="4"/>
    </row>
    <row r="344" spans="1:23" s="32" customFormat="1" ht="14.4" hidden="1" customHeight="1" x14ac:dyDescent="0.3">
      <c r="A344" s="22" t="s">
        <v>19</v>
      </c>
      <c r="B344" s="21">
        <v>46004</v>
      </c>
      <c r="C344" s="22" t="s">
        <v>9</v>
      </c>
      <c r="D344" s="221" t="s">
        <v>8</v>
      </c>
      <c r="E344" s="221" t="s">
        <v>313</v>
      </c>
      <c r="F344" s="25" t="s">
        <v>314</v>
      </c>
      <c r="G344" s="223">
        <v>46004</v>
      </c>
      <c r="H344" s="223">
        <v>46004</v>
      </c>
      <c r="I344" s="223">
        <v>46004</v>
      </c>
      <c r="J344" s="21"/>
      <c r="K344" s="45">
        <v>0.3125</v>
      </c>
      <c r="L344" s="45">
        <v>0.47916666666666669</v>
      </c>
      <c r="M344" s="11">
        <f t="shared" si="5"/>
        <v>4</v>
      </c>
      <c r="N344" s="233" t="s">
        <v>0</v>
      </c>
      <c r="P344" s="4"/>
      <c r="Q344" s="4"/>
      <c r="R344" s="4"/>
      <c r="S344" s="4"/>
      <c r="T344" s="4"/>
      <c r="U344" s="4"/>
      <c r="V344" s="4"/>
      <c r="W344" s="4"/>
    </row>
    <row r="345" spans="1:23" s="32" customFormat="1" ht="14.4" hidden="1" customHeight="1" x14ac:dyDescent="0.3">
      <c r="A345" s="22" t="s">
        <v>19</v>
      </c>
      <c r="B345" s="21">
        <v>46004</v>
      </c>
      <c r="C345" s="22" t="s">
        <v>208</v>
      </c>
      <c r="D345" s="221"/>
      <c r="E345" s="221"/>
      <c r="F345" s="25"/>
      <c r="G345" s="223"/>
      <c r="H345" s="223"/>
      <c r="I345" s="223"/>
      <c r="J345" s="21"/>
      <c r="K345" s="45">
        <v>0.3125</v>
      </c>
      <c r="L345" s="45">
        <v>0.47916666666666669</v>
      </c>
      <c r="M345" s="11">
        <f t="shared" si="5"/>
        <v>4</v>
      </c>
      <c r="N345" s="233"/>
      <c r="P345" s="4"/>
      <c r="Q345" s="4"/>
      <c r="R345" s="4"/>
      <c r="S345" s="4"/>
      <c r="T345" s="4"/>
      <c r="U345" s="4"/>
      <c r="V345" s="4"/>
      <c r="W345" s="4"/>
    </row>
    <row r="346" spans="1:23" s="32" customFormat="1" ht="14.4" hidden="1" customHeight="1" x14ac:dyDescent="0.3">
      <c r="A346" s="22" t="s">
        <v>19</v>
      </c>
      <c r="B346" s="21">
        <v>46004</v>
      </c>
      <c r="C346" s="22" t="s">
        <v>9</v>
      </c>
      <c r="D346" s="216" t="s">
        <v>8</v>
      </c>
      <c r="E346" s="216" t="s">
        <v>315</v>
      </c>
      <c r="F346" s="26" t="s">
        <v>239</v>
      </c>
      <c r="G346" s="223">
        <v>46004</v>
      </c>
      <c r="H346" s="223">
        <v>46004</v>
      </c>
      <c r="I346" s="223">
        <v>46004</v>
      </c>
      <c r="J346" s="21"/>
      <c r="K346" s="45">
        <v>0.47916666666666669</v>
      </c>
      <c r="L346" s="45">
        <v>0.52083333333333337</v>
      </c>
      <c r="M346" s="11">
        <f t="shared" si="5"/>
        <v>1.0000000000000004</v>
      </c>
      <c r="N346" s="233" t="s">
        <v>0</v>
      </c>
      <c r="P346" s="4"/>
      <c r="Q346" s="4"/>
      <c r="R346" s="4"/>
      <c r="S346" s="4"/>
      <c r="T346" s="4"/>
      <c r="U346" s="4"/>
      <c r="V346" s="4"/>
      <c r="W346" s="4"/>
    </row>
    <row r="347" spans="1:23" s="32" customFormat="1" ht="14.4" hidden="1" customHeight="1" x14ac:dyDescent="0.3">
      <c r="A347" s="22" t="s">
        <v>19</v>
      </c>
      <c r="B347" s="21">
        <v>46004</v>
      </c>
      <c r="C347" s="22" t="s">
        <v>208</v>
      </c>
      <c r="D347" s="217"/>
      <c r="E347" s="217"/>
      <c r="F347" s="27"/>
      <c r="G347" s="223"/>
      <c r="H347" s="223"/>
      <c r="I347" s="223"/>
      <c r="J347" s="21"/>
      <c r="K347" s="45">
        <v>0.47916666666666669</v>
      </c>
      <c r="L347" s="45">
        <v>0.52083333333333337</v>
      </c>
      <c r="M347" s="11">
        <f t="shared" si="5"/>
        <v>1.0000000000000004</v>
      </c>
      <c r="N347" s="233"/>
      <c r="P347" s="4"/>
      <c r="Q347" s="4"/>
      <c r="R347" s="4"/>
      <c r="S347" s="4"/>
      <c r="T347" s="4"/>
      <c r="U347" s="4"/>
      <c r="V347" s="4"/>
      <c r="W347" s="4"/>
    </row>
    <row r="348" spans="1:23" s="32" customFormat="1" ht="14.4" hidden="1" customHeight="1" x14ac:dyDescent="0.3">
      <c r="A348" s="22" t="s">
        <v>19</v>
      </c>
      <c r="B348" s="21">
        <v>46004</v>
      </c>
      <c r="C348" s="22" t="s">
        <v>9</v>
      </c>
      <c r="D348" s="216" t="s">
        <v>8</v>
      </c>
      <c r="E348" s="216" t="s">
        <v>312</v>
      </c>
      <c r="F348" s="26" t="s">
        <v>239</v>
      </c>
      <c r="G348" s="223">
        <v>46004</v>
      </c>
      <c r="H348" s="223">
        <v>46004</v>
      </c>
      <c r="I348" s="223">
        <v>46004</v>
      </c>
      <c r="J348" s="21"/>
      <c r="K348" s="45">
        <v>0.52083333333333337</v>
      </c>
      <c r="L348" s="45">
        <v>0.6875</v>
      </c>
      <c r="M348" s="11">
        <f t="shared" si="5"/>
        <v>3.9999999999999991</v>
      </c>
      <c r="N348" s="224" t="s">
        <v>0</v>
      </c>
      <c r="P348" s="4"/>
      <c r="Q348" s="4"/>
      <c r="R348" s="4"/>
      <c r="S348" s="4"/>
      <c r="T348" s="4"/>
      <c r="U348" s="4"/>
      <c r="V348" s="4"/>
      <c r="W348" s="4"/>
    </row>
    <row r="349" spans="1:23" s="32" customFormat="1" ht="14.4" hidden="1" customHeight="1" x14ac:dyDescent="0.3">
      <c r="A349" s="22" t="s">
        <v>19</v>
      </c>
      <c r="B349" s="21">
        <v>46004</v>
      </c>
      <c r="C349" s="22" t="s">
        <v>208</v>
      </c>
      <c r="D349" s="217"/>
      <c r="E349" s="217"/>
      <c r="F349" s="27"/>
      <c r="G349" s="223"/>
      <c r="H349" s="223"/>
      <c r="I349" s="223"/>
      <c r="J349" s="21"/>
      <c r="K349" s="45">
        <v>0.52083333333333337</v>
      </c>
      <c r="L349" s="45">
        <v>0.6875</v>
      </c>
      <c r="M349" s="11">
        <f t="shared" si="5"/>
        <v>3.9999999999999991</v>
      </c>
      <c r="N349" s="225"/>
      <c r="P349" s="4"/>
      <c r="Q349" s="4"/>
      <c r="R349" s="4"/>
      <c r="S349" s="4"/>
      <c r="T349" s="4"/>
      <c r="U349" s="4"/>
      <c r="V349" s="4"/>
      <c r="W349" s="4"/>
    </row>
    <row r="350" spans="1:23" s="32" customFormat="1" ht="14.4" hidden="1" customHeight="1" x14ac:dyDescent="0.3">
      <c r="A350" s="22" t="s">
        <v>21</v>
      </c>
      <c r="B350" s="21">
        <v>46004</v>
      </c>
      <c r="C350" s="22" t="s">
        <v>26</v>
      </c>
      <c r="D350" s="24" t="s">
        <v>27</v>
      </c>
      <c r="E350" s="24" t="s">
        <v>82</v>
      </c>
      <c r="F350" s="27" t="s">
        <v>294</v>
      </c>
      <c r="G350" s="21">
        <v>46004</v>
      </c>
      <c r="H350" s="21">
        <v>46004</v>
      </c>
      <c r="I350" s="21">
        <v>46004</v>
      </c>
      <c r="J350" s="21"/>
      <c r="K350" s="45">
        <v>0.33333333333333331</v>
      </c>
      <c r="L350" s="45">
        <v>0.70833333333333337</v>
      </c>
      <c r="M350" s="11">
        <f t="shared" si="5"/>
        <v>9.0000000000000018</v>
      </c>
      <c r="N350" s="11" t="s">
        <v>0</v>
      </c>
      <c r="P350" s="4"/>
      <c r="Q350" s="4"/>
      <c r="R350" s="4"/>
      <c r="S350" s="4"/>
      <c r="T350" s="4"/>
      <c r="U350" s="4"/>
      <c r="V350" s="4"/>
      <c r="W350" s="4"/>
    </row>
    <row r="351" spans="1:23" s="32" customFormat="1" ht="14.4" hidden="1" customHeight="1" x14ac:dyDescent="0.3">
      <c r="A351" s="22" t="s">
        <v>21</v>
      </c>
      <c r="B351" s="21">
        <v>46004</v>
      </c>
      <c r="C351" s="22" t="s">
        <v>50</v>
      </c>
      <c r="D351" s="24" t="s">
        <v>27</v>
      </c>
      <c r="E351" s="24" t="s">
        <v>82</v>
      </c>
      <c r="F351" s="27" t="s">
        <v>294</v>
      </c>
      <c r="G351" s="21">
        <v>46004</v>
      </c>
      <c r="H351" s="21">
        <v>46004</v>
      </c>
      <c r="I351" s="21">
        <v>46004</v>
      </c>
      <c r="J351" s="21"/>
      <c r="K351" s="45">
        <v>0.33333333333333331</v>
      </c>
      <c r="L351" s="45">
        <v>0.70833333333333337</v>
      </c>
      <c r="M351" s="11">
        <f t="shared" si="5"/>
        <v>9.0000000000000018</v>
      </c>
      <c r="N351" s="11" t="s">
        <v>0</v>
      </c>
      <c r="P351" s="4"/>
      <c r="Q351" s="4"/>
      <c r="R351" s="4"/>
      <c r="S351" s="4"/>
      <c r="T351" s="4"/>
      <c r="U351" s="4"/>
      <c r="V351" s="4"/>
      <c r="W351" s="4"/>
    </row>
    <row r="352" spans="1:23" s="32" customFormat="1" ht="14.4" hidden="1" customHeight="1" x14ac:dyDescent="0.3">
      <c r="A352" s="22" t="s">
        <v>21</v>
      </c>
      <c r="B352" s="21">
        <v>46004</v>
      </c>
      <c r="C352" s="22" t="s">
        <v>18</v>
      </c>
      <c r="D352" s="214" t="s">
        <v>43</v>
      </c>
      <c r="E352" s="214" t="s">
        <v>300</v>
      </c>
      <c r="F352" s="28" t="s">
        <v>301</v>
      </c>
      <c r="G352" s="219">
        <v>46004</v>
      </c>
      <c r="H352" s="219">
        <v>46004</v>
      </c>
      <c r="I352" s="234"/>
      <c r="J352" s="96"/>
      <c r="K352" s="45">
        <v>0.3125</v>
      </c>
      <c r="L352" s="45">
        <v>0.54166666666666663</v>
      </c>
      <c r="M352" s="11">
        <f t="shared" si="5"/>
        <v>5.4999999999999991</v>
      </c>
      <c r="N352" s="214" t="s">
        <v>0</v>
      </c>
      <c r="P352" s="4"/>
      <c r="Q352" s="4"/>
      <c r="R352" s="4"/>
      <c r="S352" s="4"/>
      <c r="T352" s="4"/>
      <c r="U352" s="4"/>
      <c r="V352" s="4"/>
      <c r="W352" s="4"/>
    </row>
    <row r="353" spans="1:23" s="32" customFormat="1" ht="14.4" hidden="1" customHeight="1" x14ac:dyDescent="0.3">
      <c r="A353" s="22" t="s">
        <v>21</v>
      </c>
      <c r="B353" s="21">
        <v>46004</v>
      </c>
      <c r="C353" s="22" t="s">
        <v>55</v>
      </c>
      <c r="D353" s="226"/>
      <c r="E353" s="226"/>
      <c r="F353" s="73"/>
      <c r="G353" s="229"/>
      <c r="H353" s="229"/>
      <c r="I353" s="240"/>
      <c r="J353" s="74"/>
      <c r="K353" s="45">
        <v>0.3125</v>
      </c>
      <c r="L353" s="45">
        <v>0.54166666666666663</v>
      </c>
      <c r="M353" s="11">
        <f t="shared" si="5"/>
        <v>5.4999999999999991</v>
      </c>
      <c r="N353" s="226"/>
      <c r="P353" s="4"/>
      <c r="Q353" s="4"/>
      <c r="R353" s="4"/>
      <c r="S353" s="4"/>
      <c r="T353" s="4"/>
      <c r="U353" s="4"/>
      <c r="V353" s="4"/>
      <c r="W353" s="4"/>
    </row>
    <row r="354" spans="1:23" s="32" customFormat="1" ht="14.4" hidden="1" customHeight="1" x14ac:dyDescent="0.3">
      <c r="A354" s="22" t="s">
        <v>21</v>
      </c>
      <c r="B354" s="21">
        <v>46004</v>
      </c>
      <c r="C354" s="22" t="s">
        <v>25</v>
      </c>
      <c r="D354" s="215"/>
      <c r="E354" s="215"/>
      <c r="F354" s="29"/>
      <c r="G354" s="220"/>
      <c r="H354" s="220"/>
      <c r="I354" s="235"/>
      <c r="J354" s="97"/>
      <c r="K354" s="45">
        <v>0.3125</v>
      </c>
      <c r="L354" s="45">
        <v>0.54166666666666663</v>
      </c>
      <c r="M354" s="11">
        <f t="shared" si="5"/>
        <v>5.4999999999999991</v>
      </c>
      <c r="N354" s="215"/>
      <c r="P354" s="4"/>
      <c r="Q354" s="4"/>
      <c r="R354" s="4"/>
      <c r="S354" s="4"/>
      <c r="T354" s="4"/>
      <c r="U354" s="4"/>
      <c r="V354" s="4"/>
      <c r="W354" s="4"/>
    </row>
    <row r="355" spans="1:23" s="32" customFormat="1" ht="14.4" hidden="1" customHeight="1" x14ac:dyDescent="0.3">
      <c r="A355" s="22" t="s">
        <v>21</v>
      </c>
      <c r="B355" s="21">
        <v>46004</v>
      </c>
      <c r="C355" s="22" t="s">
        <v>55</v>
      </c>
      <c r="D355" s="18" t="s">
        <v>43</v>
      </c>
      <c r="E355" s="18" t="s">
        <v>271</v>
      </c>
      <c r="F355" s="73" t="s">
        <v>146</v>
      </c>
      <c r="G355" s="21">
        <v>46003</v>
      </c>
      <c r="H355" s="21">
        <v>46006</v>
      </c>
      <c r="I355" s="74"/>
      <c r="J355" s="74"/>
      <c r="K355" s="45">
        <v>0.3125</v>
      </c>
      <c r="L355" s="45">
        <v>0.6875</v>
      </c>
      <c r="M355" s="11">
        <f t="shared" si="5"/>
        <v>9</v>
      </c>
      <c r="N355" s="33" t="s">
        <v>1</v>
      </c>
      <c r="P355" s="4"/>
      <c r="Q355" s="4"/>
      <c r="R355" s="4"/>
      <c r="S355" s="4"/>
      <c r="T355" s="4"/>
      <c r="U355" s="4"/>
      <c r="V355" s="4"/>
      <c r="W355" s="4"/>
    </row>
    <row r="356" spans="1:23" s="32" customFormat="1" ht="14.4" hidden="1" customHeight="1" x14ac:dyDescent="0.3">
      <c r="A356" s="22" t="s">
        <v>21</v>
      </c>
      <c r="B356" s="21">
        <v>46004</v>
      </c>
      <c r="C356" s="22" t="s">
        <v>274</v>
      </c>
      <c r="D356" s="216" t="s">
        <v>8</v>
      </c>
      <c r="E356" s="216" t="s">
        <v>264</v>
      </c>
      <c r="F356" s="26" t="s">
        <v>267</v>
      </c>
      <c r="G356" s="219">
        <v>46002</v>
      </c>
      <c r="H356" s="219">
        <v>46004</v>
      </c>
      <c r="I356" s="234"/>
      <c r="J356" s="96"/>
      <c r="K356" s="45">
        <v>0.3125</v>
      </c>
      <c r="L356" s="45">
        <v>0.66666666666666663</v>
      </c>
      <c r="M356" s="11">
        <f t="shared" si="5"/>
        <v>8.5</v>
      </c>
      <c r="N356" s="214" t="s">
        <v>0</v>
      </c>
      <c r="P356" s="4"/>
      <c r="Q356" s="4"/>
      <c r="R356" s="4"/>
      <c r="S356" s="4"/>
      <c r="T356" s="4"/>
      <c r="U356" s="4"/>
      <c r="V356" s="4"/>
      <c r="W356" s="4"/>
    </row>
    <row r="357" spans="1:23" s="32" customFormat="1" ht="14.4" hidden="1" customHeight="1" x14ac:dyDescent="0.3">
      <c r="A357" s="22" t="s">
        <v>21</v>
      </c>
      <c r="B357" s="21">
        <v>46004</v>
      </c>
      <c r="C357" s="22" t="s">
        <v>37</v>
      </c>
      <c r="D357" s="217"/>
      <c r="E357" s="217"/>
      <c r="F357" s="27"/>
      <c r="G357" s="220"/>
      <c r="H357" s="220"/>
      <c r="I357" s="235"/>
      <c r="J357" s="97"/>
      <c r="K357" s="45">
        <v>0.3125</v>
      </c>
      <c r="L357" s="45">
        <v>0.66666666666666663</v>
      </c>
      <c r="M357" s="11">
        <f t="shared" si="5"/>
        <v>8.5</v>
      </c>
      <c r="N357" s="215"/>
      <c r="P357" s="4"/>
      <c r="Q357" s="4"/>
      <c r="R357" s="4"/>
      <c r="S357" s="4"/>
      <c r="T357" s="4"/>
      <c r="U357" s="4"/>
      <c r="V357" s="4"/>
      <c r="W357" s="4"/>
    </row>
    <row r="358" spans="1:23" s="32" customFormat="1" ht="14.4" hidden="1" customHeight="1" x14ac:dyDescent="0.3">
      <c r="A358" s="12" t="s">
        <v>21</v>
      </c>
      <c r="B358" s="21">
        <v>46004</v>
      </c>
      <c r="C358" s="12" t="s">
        <v>118</v>
      </c>
      <c r="D358" s="11" t="s">
        <v>54</v>
      </c>
      <c r="E358" s="13" t="s">
        <v>302</v>
      </c>
      <c r="F358" s="26" t="s">
        <v>303</v>
      </c>
      <c r="G358" s="19">
        <v>46004</v>
      </c>
      <c r="H358" s="19">
        <v>46004</v>
      </c>
      <c r="I358" s="19"/>
      <c r="J358" s="19"/>
      <c r="K358" s="45">
        <v>0.33333333333333331</v>
      </c>
      <c r="L358" s="45">
        <v>0.54166666666666663</v>
      </c>
      <c r="M358" s="11">
        <f t="shared" si="5"/>
        <v>5</v>
      </c>
      <c r="N358" s="22" t="s">
        <v>0</v>
      </c>
      <c r="P358" s="4"/>
      <c r="Q358" s="4"/>
      <c r="R358" s="4"/>
      <c r="S358" s="4"/>
      <c r="T358" s="4"/>
      <c r="U358" s="4"/>
      <c r="V358" s="4"/>
      <c r="W358" s="4"/>
    </row>
    <row r="359" spans="1:23" s="32" customFormat="1" ht="14.4" hidden="1" customHeight="1" x14ac:dyDescent="0.3">
      <c r="A359" s="22" t="s">
        <v>21</v>
      </c>
      <c r="B359" s="21">
        <v>46004</v>
      </c>
      <c r="C359" s="22" t="s">
        <v>18</v>
      </c>
      <c r="D359" s="214" t="s">
        <v>43</v>
      </c>
      <c r="E359" s="216" t="s">
        <v>321</v>
      </c>
      <c r="F359" s="26" t="s">
        <v>322</v>
      </c>
      <c r="G359" s="219">
        <v>46004</v>
      </c>
      <c r="H359" s="219">
        <v>46004</v>
      </c>
      <c r="I359" s="219">
        <v>46004</v>
      </c>
      <c r="J359" s="17"/>
      <c r="K359" s="45">
        <v>0.54166666666666663</v>
      </c>
      <c r="L359" s="45">
        <v>0.70833333333333337</v>
      </c>
      <c r="M359" s="11">
        <f t="shared" si="5"/>
        <v>4.0000000000000018</v>
      </c>
      <c r="N359" s="214" t="s">
        <v>0</v>
      </c>
      <c r="P359" s="4"/>
      <c r="Q359" s="4"/>
      <c r="R359" s="4"/>
      <c r="S359" s="4"/>
      <c r="T359" s="4"/>
      <c r="U359" s="4"/>
      <c r="V359" s="4"/>
      <c r="W359" s="4"/>
    </row>
    <row r="360" spans="1:23" s="32" customFormat="1" ht="14.4" hidden="1" customHeight="1" x14ac:dyDescent="0.3">
      <c r="A360" s="22" t="s">
        <v>21</v>
      </c>
      <c r="B360" s="21">
        <v>46004</v>
      </c>
      <c r="C360" s="22" t="s">
        <v>320</v>
      </c>
      <c r="D360" s="226"/>
      <c r="E360" s="222"/>
      <c r="F360" s="3"/>
      <c r="G360" s="229"/>
      <c r="H360" s="229"/>
      <c r="I360" s="229"/>
      <c r="J360" s="23"/>
      <c r="K360" s="45">
        <v>0.54166666666666663</v>
      </c>
      <c r="L360" s="45">
        <v>0.70833333333333337</v>
      </c>
      <c r="M360" s="11">
        <f t="shared" si="5"/>
        <v>4.0000000000000018</v>
      </c>
      <c r="N360" s="226"/>
      <c r="P360" s="4"/>
      <c r="Q360" s="4"/>
      <c r="R360" s="4"/>
      <c r="S360" s="4"/>
      <c r="T360" s="4"/>
      <c r="U360" s="4"/>
      <c r="V360" s="4"/>
      <c r="W360" s="4"/>
    </row>
    <row r="361" spans="1:23" s="32" customFormat="1" ht="14.4" hidden="1" customHeight="1" x14ac:dyDescent="0.3">
      <c r="A361" s="22" t="s">
        <v>21</v>
      </c>
      <c r="B361" s="21">
        <v>46004</v>
      </c>
      <c r="C361" s="22" t="s">
        <v>25</v>
      </c>
      <c r="D361" s="215"/>
      <c r="E361" s="217"/>
      <c r="F361" s="27"/>
      <c r="G361" s="220"/>
      <c r="H361" s="220"/>
      <c r="I361" s="220"/>
      <c r="J361" s="19"/>
      <c r="K361" s="45">
        <v>0.54166666666666663</v>
      </c>
      <c r="L361" s="45">
        <v>0.70833333333333337</v>
      </c>
      <c r="M361" s="11">
        <f t="shared" si="5"/>
        <v>4.0000000000000018</v>
      </c>
      <c r="N361" s="215"/>
      <c r="P361" s="4"/>
      <c r="Q361" s="4"/>
      <c r="R361" s="4"/>
      <c r="S361" s="4"/>
      <c r="T361" s="4"/>
      <c r="U361" s="4"/>
      <c r="V361" s="4"/>
      <c r="W361" s="4"/>
    </row>
    <row r="362" spans="1:23" s="32" customFormat="1" ht="14.4" hidden="1" customHeight="1" x14ac:dyDescent="0.3">
      <c r="A362" s="22" t="s">
        <v>20</v>
      </c>
      <c r="B362" s="21">
        <v>46004</v>
      </c>
      <c r="C362" s="22" t="s">
        <v>12</v>
      </c>
      <c r="D362" s="13" t="s">
        <v>27</v>
      </c>
      <c r="E362" s="13" t="s">
        <v>82</v>
      </c>
      <c r="F362" s="26" t="s">
        <v>157</v>
      </c>
      <c r="G362" s="21">
        <v>46003</v>
      </c>
      <c r="H362" s="21">
        <v>46003</v>
      </c>
      <c r="I362" s="21"/>
      <c r="J362" s="21"/>
      <c r="K362" s="45">
        <v>0.3125</v>
      </c>
      <c r="L362" s="45">
        <v>0.6875</v>
      </c>
      <c r="M362" s="11">
        <f t="shared" si="5"/>
        <v>9</v>
      </c>
      <c r="N362" s="11" t="s">
        <v>0</v>
      </c>
      <c r="P362" s="4"/>
      <c r="Q362" s="4"/>
      <c r="R362" s="4"/>
      <c r="S362" s="4"/>
      <c r="T362" s="4"/>
      <c r="U362" s="4"/>
      <c r="V362" s="4"/>
      <c r="W362" s="4"/>
    </row>
    <row r="363" spans="1:23" s="32" customFormat="1" ht="14.4" hidden="1" customHeight="1" x14ac:dyDescent="0.3">
      <c r="A363" s="22" t="s">
        <v>20</v>
      </c>
      <c r="B363" s="21">
        <v>46004</v>
      </c>
      <c r="C363" s="22" t="s">
        <v>33</v>
      </c>
      <c r="D363" s="214" t="s">
        <v>44</v>
      </c>
      <c r="E363" s="216" t="s">
        <v>292</v>
      </c>
      <c r="F363" s="26" t="s">
        <v>293</v>
      </c>
      <c r="G363" s="219">
        <v>46003</v>
      </c>
      <c r="H363" s="219">
        <v>46011</v>
      </c>
      <c r="I363" s="219"/>
      <c r="J363" s="17"/>
      <c r="K363" s="45">
        <v>0.33333333333333331</v>
      </c>
      <c r="L363" s="45">
        <v>0.75</v>
      </c>
      <c r="M363" s="11">
        <f t="shared" si="5"/>
        <v>10</v>
      </c>
      <c r="N363" s="214" t="s">
        <v>0</v>
      </c>
      <c r="P363" s="4"/>
      <c r="Q363" s="4"/>
      <c r="R363" s="4"/>
      <c r="S363" s="4"/>
      <c r="T363" s="4"/>
      <c r="U363" s="4"/>
      <c r="V363" s="4"/>
      <c r="W363" s="4"/>
    </row>
    <row r="364" spans="1:23" s="32" customFormat="1" ht="14.4" hidden="1" customHeight="1" x14ac:dyDescent="0.3">
      <c r="A364" s="22" t="s">
        <v>20</v>
      </c>
      <c r="B364" s="21">
        <v>46004</v>
      </c>
      <c r="C364" s="22" t="s">
        <v>13</v>
      </c>
      <c r="D364" s="215"/>
      <c r="E364" s="217"/>
      <c r="F364" s="27"/>
      <c r="G364" s="220"/>
      <c r="H364" s="220"/>
      <c r="I364" s="220"/>
      <c r="J364" s="19"/>
      <c r="K364" s="45">
        <v>0.33333333333333331</v>
      </c>
      <c r="L364" s="45">
        <v>0.75</v>
      </c>
      <c r="M364" s="11">
        <f t="shared" si="5"/>
        <v>10</v>
      </c>
      <c r="N364" s="226"/>
      <c r="P364" s="4"/>
      <c r="Q364" s="4"/>
      <c r="R364" s="4"/>
      <c r="S364" s="4"/>
      <c r="T364" s="4"/>
      <c r="U364" s="4"/>
      <c r="V364" s="4"/>
      <c r="W364" s="4"/>
    </row>
    <row r="365" spans="1:23" s="32" customFormat="1" ht="14.4" hidden="1" customHeight="1" x14ac:dyDescent="0.3">
      <c r="A365" s="22" t="s">
        <v>20</v>
      </c>
      <c r="B365" s="21">
        <v>46004</v>
      </c>
      <c r="C365" s="69" t="s">
        <v>135</v>
      </c>
      <c r="D365" s="214" t="s">
        <v>44</v>
      </c>
      <c r="E365" s="214" t="s">
        <v>290</v>
      </c>
      <c r="F365" s="26" t="s">
        <v>291</v>
      </c>
      <c r="G365" s="219">
        <v>46003</v>
      </c>
      <c r="H365" s="219">
        <v>46016</v>
      </c>
      <c r="I365" s="219">
        <v>46003</v>
      </c>
      <c r="J365" s="17"/>
      <c r="K365" s="45">
        <v>0.3125</v>
      </c>
      <c r="L365" s="45">
        <v>0.72916666666666663</v>
      </c>
      <c r="M365" s="11">
        <f t="shared" si="5"/>
        <v>10</v>
      </c>
      <c r="N365" s="214" t="s">
        <v>0</v>
      </c>
      <c r="P365" s="4"/>
      <c r="Q365" s="4"/>
      <c r="R365" s="4"/>
      <c r="S365" s="4"/>
      <c r="T365" s="4"/>
      <c r="U365" s="4"/>
      <c r="V365" s="4"/>
      <c r="W365" s="4"/>
    </row>
    <row r="366" spans="1:23" s="32" customFormat="1" ht="14.4" hidden="1" customHeight="1" x14ac:dyDescent="0.3">
      <c r="A366" s="22" t="s">
        <v>20</v>
      </c>
      <c r="B366" s="21">
        <v>46004</v>
      </c>
      <c r="C366" s="69" t="s">
        <v>14</v>
      </c>
      <c r="D366" s="226"/>
      <c r="E366" s="226"/>
      <c r="F366" s="3"/>
      <c r="G366" s="229"/>
      <c r="H366" s="229"/>
      <c r="I366" s="229"/>
      <c r="J366" s="23"/>
      <c r="K366" s="47">
        <v>0.3125</v>
      </c>
      <c r="L366" s="47">
        <v>0.72916666666666663</v>
      </c>
      <c r="M366" s="11">
        <f t="shared" si="5"/>
        <v>10</v>
      </c>
      <c r="N366" s="226"/>
      <c r="P366" s="4"/>
      <c r="Q366" s="4"/>
      <c r="R366" s="4"/>
      <c r="S366" s="4"/>
      <c r="T366" s="4"/>
      <c r="U366" s="4"/>
      <c r="V366" s="4"/>
      <c r="W366" s="4"/>
    </row>
    <row r="367" spans="1:23" s="32" customFormat="1" ht="14.4" hidden="1" customHeight="1" x14ac:dyDescent="0.3">
      <c r="A367" s="22" t="s">
        <v>20</v>
      </c>
      <c r="B367" s="21">
        <v>46004</v>
      </c>
      <c r="C367" s="69" t="s">
        <v>12</v>
      </c>
      <c r="D367" s="233" t="s">
        <v>44</v>
      </c>
      <c r="E367" s="238" t="s">
        <v>297</v>
      </c>
      <c r="F367" s="25" t="s">
        <v>298</v>
      </c>
      <c r="G367" s="223">
        <v>46003</v>
      </c>
      <c r="H367" s="223">
        <v>46003</v>
      </c>
      <c r="I367" s="223">
        <v>46003</v>
      </c>
      <c r="J367" s="21"/>
      <c r="K367" s="48">
        <v>0.66666666666666663</v>
      </c>
      <c r="L367" s="48">
        <v>0.79166666666666663</v>
      </c>
      <c r="M367" s="11">
        <f t="shared" si="5"/>
        <v>3</v>
      </c>
      <c r="N367" s="214" t="s">
        <v>0</v>
      </c>
      <c r="P367" s="4"/>
      <c r="Q367" s="4"/>
      <c r="R367" s="4"/>
      <c r="S367" s="4"/>
      <c r="T367" s="4"/>
      <c r="U367" s="4"/>
      <c r="V367" s="4"/>
      <c r="W367" s="4"/>
    </row>
    <row r="368" spans="1:23" ht="14.4" hidden="1" customHeight="1" x14ac:dyDescent="0.3">
      <c r="A368" s="22" t="s">
        <v>20</v>
      </c>
      <c r="B368" s="21">
        <v>46004</v>
      </c>
      <c r="C368" s="69" t="s">
        <v>135</v>
      </c>
      <c r="D368" s="233"/>
      <c r="E368" s="233"/>
      <c r="F368" s="25"/>
      <c r="G368" s="223"/>
      <c r="H368" s="223"/>
      <c r="I368" s="223"/>
      <c r="J368" s="21"/>
      <c r="K368" s="48">
        <v>0.66666666666666663</v>
      </c>
      <c r="L368" s="48">
        <v>0.79166666666666663</v>
      </c>
      <c r="M368" s="11">
        <f t="shared" si="5"/>
        <v>3</v>
      </c>
      <c r="N368" s="226"/>
    </row>
    <row r="369" spans="1:15" ht="14.4" hidden="1" customHeight="1" x14ac:dyDescent="0.3">
      <c r="A369" s="22" t="s">
        <v>20</v>
      </c>
      <c r="B369" s="21">
        <v>46004</v>
      </c>
      <c r="C369" s="69" t="s">
        <v>12</v>
      </c>
      <c r="D369" s="233"/>
      <c r="E369" s="233"/>
      <c r="F369" s="25"/>
      <c r="G369" s="223"/>
      <c r="H369" s="223"/>
      <c r="I369" s="223"/>
      <c r="J369" s="21"/>
      <c r="K369" s="48">
        <v>0.66666666666666663</v>
      </c>
      <c r="L369" s="48">
        <v>0.79166666666666663</v>
      </c>
      <c r="M369" s="11">
        <f t="shared" si="5"/>
        <v>3</v>
      </c>
      <c r="N369" s="215"/>
    </row>
    <row r="370" spans="1:15" ht="14.4" hidden="1" customHeight="1" x14ac:dyDescent="0.3">
      <c r="A370" s="22" t="s">
        <v>21</v>
      </c>
      <c r="B370" s="21">
        <v>46006</v>
      </c>
      <c r="C370" s="22" t="s">
        <v>26</v>
      </c>
      <c r="D370" s="24" t="s">
        <v>27</v>
      </c>
      <c r="E370" s="24" t="s">
        <v>82</v>
      </c>
      <c r="F370" s="27" t="s">
        <v>294</v>
      </c>
      <c r="G370" s="21">
        <v>46004</v>
      </c>
      <c r="H370" s="21">
        <v>46004</v>
      </c>
      <c r="I370" s="21">
        <v>46004</v>
      </c>
      <c r="J370" s="21"/>
      <c r="K370" s="45">
        <v>0.33333333333333331</v>
      </c>
      <c r="L370" s="45">
        <v>0.70833333333333337</v>
      </c>
      <c r="M370" s="11">
        <f t="shared" si="5"/>
        <v>9.0000000000000018</v>
      </c>
      <c r="N370" s="11" t="s">
        <v>0</v>
      </c>
      <c r="O370" s="4"/>
    </row>
    <row r="371" spans="1:15" ht="14.4" hidden="1" customHeight="1" x14ac:dyDescent="0.3">
      <c r="A371" s="22" t="s">
        <v>21</v>
      </c>
      <c r="B371" s="21">
        <v>46006</v>
      </c>
      <c r="C371" s="22" t="s">
        <v>50</v>
      </c>
      <c r="D371" s="24" t="s">
        <v>27</v>
      </c>
      <c r="E371" s="24" t="s">
        <v>82</v>
      </c>
      <c r="F371" s="27" t="s">
        <v>294</v>
      </c>
      <c r="G371" s="21">
        <v>46004</v>
      </c>
      <c r="H371" s="21">
        <v>46004</v>
      </c>
      <c r="I371" s="21">
        <v>46004</v>
      </c>
      <c r="J371" s="21"/>
      <c r="K371" s="45">
        <v>0.33333333333333331</v>
      </c>
      <c r="L371" s="45">
        <v>0.70833333333333337</v>
      </c>
      <c r="M371" s="11">
        <f t="shared" si="5"/>
        <v>9.0000000000000018</v>
      </c>
      <c r="N371" s="11" t="s">
        <v>0</v>
      </c>
      <c r="O371" s="4"/>
    </row>
    <row r="372" spans="1:15" ht="14.4" hidden="1" customHeight="1" x14ac:dyDescent="0.3">
      <c r="A372" s="22" t="s">
        <v>21</v>
      </c>
      <c r="B372" s="21">
        <v>46006</v>
      </c>
      <c r="C372" s="22" t="s">
        <v>18</v>
      </c>
      <c r="D372" s="214" t="s">
        <v>8</v>
      </c>
      <c r="E372" s="214" t="s">
        <v>73</v>
      </c>
      <c r="F372" s="28" t="s">
        <v>323</v>
      </c>
      <c r="G372" s="219">
        <v>46006</v>
      </c>
      <c r="H372" s="219">
        <v>46007</v>
      </c>
      <c r="I372" s="234"/>
      <c r="J372" s="96"/>
      <c r="K372" s="45">
        <v>0.33333333333333331</v>
      </c>
      <c r="L372" s="45">
        <v>0.70833333333333337</v>
      </c>
      <c r="M372" s="11">
        <f t="shared" si="5"/>
        <v>9.0000000000000018</v>
      </c>
      <c r="N372" s="214" t="s">
        <v>30</v>
      </c>
      <c r="O372" s="4"/>
    </row>
    <row r="373" spans="1:15" ht="14.4" hidden="1" customHeight="1" x14ac:dyDescent="0.3">
      <c r="A373" s="22" t="s">
        <v>21</v>
      </c>
      <c r="B373" s="21">
        <v>46006</v>
      </c>
      <c r="C373" s="22" t="s">
        <v>320</v>
      </c>
      <c r="D373" s="226"/>
      <c r="E373" s="226"/>
      <c r="F373" s="73"/>
      <c r="G373" s="229"/>
      <c r="H373" s="229"/>
      <c r="I373" s="240"/>
      <c r="J373" s="74"/>
      <c r="K373" s="47">
        <v>0.33333333333333331</v>
      </c>
      <c r="L373" s="47">
        <v>0.70833333333333337</v>
      </c>
      <c r="M373" s="11">
        <f t="shared" si="5"/>
        <v>9.0000000000000018</v>
      </c>
      <c r="N373" s="226"/>
      <c r="O373" s="4"/>
    </row>
    <row r="374" spans="1:15" ht="14.4" hidden="1" customHeight="1" x14ac:dyDescent="0.3">
      <c r="A374" s="22" t="s">
        <v>21</v>
      </c>
      <c r="B374" s="21">
        <v>46006</v>
      </c>
      <c r="C374" s="22" t="s">
        <v>37</v>
      </c>
      <c r="D374" s="216" t="s">
        <v>8</v>
      </c>
      <c r="E374" s="216" t="s">
        <v>235</v>
      </c>
      <c r="F374" s="28" t="s">
        <v>323</v>
      </c>
      <c r="G374" s="219">
        <v>46006</v>
      </c>
      <c r="H374" s="219">
        <v>46006</v>
      </c>
      <c r="I374" s="234"/>
      <c r="J374" s="96"/>
      <c r="K374" s="45">
        <v>0.3125</v>
      </c>
      <c r="L374" s="45">
        <v>0.6875</v>
      </c>
      <c r="M374" s="11">
        <f t="shared" si="5"/>
        <v>9</v>
      </c>
      <c r="N374" s="214" t="s">
        <v>30</v>
      </c>
      <c r="O374" s="4"/>
    </row>
    <row r="375" spans="1:15" ht="14.4" hidden="1" customHeight="1" x14ac:dyDescent="0.3">
      <c r="A375" s="22" t="s">
        <v>21</v>
      </c>
      <c r="B375" s="21">
        <v>46006</v>
      </c>
      <c r="C375" s="22" t="s">
        <v>274</v>
      </c>
      <c r="D375" s="217"/>
      <c r="E375" s="217"/>
      <c r="F375" s="73"/>
      <c r="G375" s="229"/>
      <c r="H375" s="229"/>
      <c r="I375" s="235"/>
      <c r="J375" s="97"/>
      <c r="K375" s="45">
        <v>0.3125</v>
      </c>
      <c r="L375" s="45">
        <v>0.6875</v>
      </c>
      <c r="M375" s="11">
        <f t="shared" si="5"/>
        <v>9</v>
      </c>
      <c r="N375" s="215"/>
      <c r="O375" s="4"/>
    </row>
    <row r="376" spans="1:15" ht="14.4" hidden="1" customHeight="1" x14ac:dyDescent="0.3">
      <c r="A376" s="12" t="s">
        <v>21</v>
      </c>
      <c r="B376" s="21">
        <v>46006</v>
      </c>
      <c r="C376" s="12" t="s">
        <v>118</v>
      </c>
      <c r="D376" s="22" t="s">
        <v>54</v>
      </c>
      <c r="E376" s="13" t="s">
        <v>302</v>
      </c>
      <c r="F376" s="26" t="s">
        <v>324</v>
      </c>
      <c r="G376" s="21">
        <v>46006</v>
      </c>
      <c r="H376" s="21">
        <v>46006</v>
      </c>
      <c r="I376" s="19"/>
      <c r="J376" s="19"/>
      <c r="K376" s="45">
        <v>0.33333333333333331</v>
      </c>
      <c r="L376" s="45">
        <v>0.70833333333333337</v>
      </c>
      <c r="M376" s="11">
        <f t="shared" si="5"/>
        <v>9.0000000000000018</v>
      </c>
      <c r="N376" s="22" t="s">
        <v>0</v>
      </c>
      <c r="O376" s="4"/>
    </row>
    <row r="377" spans="1:15" ht="14.4" hidden="1" customHeight="1" x14ac:dyDescent="0.3">
      <c r="A377" s="22" t="s">
        <v>21</v>
      </c>
      <c r="B377" s="21">
        <v>46006</v>
      </c>
      <c r="C377" s="22" t="s">
        <v>22</v>
      </c>
      <c r="D377" s="22" t="s">
        <v>8</v>
      </c>
      <c r="E377" s="14" t="s">
        <v>242</v>
      </c>
      <c r="F377" s="27" t="s">
        <v>325</v>
      </c>
      <c r="G377" s="21">
        <v>46006</v>
      </c>
      <c r="H377" s="21">
        <v>46006</v>
      </c>
      <c r="I377" s="19"/>
      <c r="J377" s="19"/>
      <c r="K377" s="45">
        <v>0.3125</v>
      </c>
      <c r="L377" s="45">
        <v>0.6875</v>
      </c>
      <c r="M377" s="11">
        <f t="shared" si="5"/>
        <v>9</v>
      </c>
      <c r="N377" s="22" t="s">
        <v>30</v>
      </c>
      <c r="O377" s="4"/>
    </row>
    <row r="378" spans="1:15" ht="14.4" hidden="1" customHeight="1" x14ac:dyDescent="0.3">
      <c r="A378" s="22" t="s">
        <v>21</v>
      </c>
      <c r="B378" s="21">
        <v>46006</v>
      </c>
      <c r="C378" s="22" t="s">
        <v>55</v>
      </c>
      <c r="D378" s="233" t="s">
        <v>43</v>
      </c>
      <c r="E378" s="233" t="s">
        <v>271</v>
      </c>
      <c r="F378" s="31" t="s">
        <v>146</v>
      </c>
      <c r="G378" s="21">
        <v>46003</v>
      </c>
      <c r="H378" s="21">
        <v>46006</v>
      </c>
      <c r="I378" s="71"/>
      <c r="J378" s="71"/>
      <c r="K378" s="45">
        <v>0.3125</v>
      </c>
      <c r="L378" s="45">
        <v>0.6875</v>
      </c>
      <c r="M378" s="11">
        <f t="shared" si="5"/>
        <v>9</v>
      </c>
      <c r="N378" s="22" t="s">
        <v>0</v>
      </c>
      <c r="O378" s="4"/>
    </row>
    <row r="379" spans="1:15" ht="14.4" hidden="1" customHeight="1" x14ac:dyDescent="0.3">
      <c r="A379" s="22" t="s">
        <v>21</v>
      </c>
      <c r="B379" s="21">
        <v>46006</v>
      </c>
      <c r="C379" s="22" t="s">
        <v>25</v>
      </c>
      <c r="D379" s="233"/>
      <c r="E379" s="233"/>
      <c r="F379" s="31"/>
      <c r="G379" s="21">
        <v>46003</v>
      </c>
      <c r="H379" s="21">
        <v>46006</v>
      </c>
      <c r="I379" s="71"/>
      <c r="J379" s="71"/>
      <c r="K379" s="45">
        <v>0.3125</v>
      </c>
      <c r="L379" s="45">
        <v>0.6875</v>
      </c>
      <c r="M379" s="11">
        <f t="shared" si="5"/>
        <v>9</v>
      </c>
      <c r="N379" s="22" t="s">
        <v>0</v>
      </c>
    </row>
    <row r="380" spans="1:15" ht="14.4" hidden="1" customHeight="1" x14ac:dyDescent="0.3">
      <c r="A380" s="22" t="s">
        <v>21</v>
      </c>
      <c r="B380" s="21">
        <v>46006</v>
      </c>
      <c r="C380" s="22" t="s">
        <v>50</v>
      </c>
      <c r="D380" s="233" t="s">
        <v>24</v>
      </c>
      <c r="E380" s="233" t="s">
        <v>82</v>
      </c>
      <c r="F380" s="31" t="s">
        <v>342</v>
      </c>
      <c r="G380" s="21">
        <v>46006</v>
      </c>
      <c r="H380" s="21">
        <v>46006</v>
      </c>
      <c r="I380" s="71"/>
      <c r="J380" s="71"/>
      <c r="K380" s="45">
        <v>0.3125</v>
      </c>
      <c r="L380" s="45">
        <v>0.6875</v>
      </c>
      <c r="M380" s="11">
        <f t="shared" si="5"/>
        <v>9</v>
      </c>
      <c r="N380" s="11" t="s">
        <v>0</v>
      </c>
    </row>
    <row r="381" spans="1:15" ht="14.4" hidden="1" customHeight="1" x14ac:dyDescent="0.3">
      <c r="A381" s="22" t="s">
        <v>21</v>
      </c>
      <c r="B381" s="21">
        <v>46006</v>
      </c>
      <c r="C381" s="22" t="s">
        <v>26</v>
      </c>
      <c r="D381" s="233"/>
      <c r="E381" s="233"/>
      <c r="F381" s="31"/>
      <c r="G381" s="21">
        <v>46006</v>
      </c>
      <c r="H381" s="21">
        <v>46006</v>
      </c>
      <c r="I381" s="71"/>
      <c r="J381" s="71"/>
      <c r="K381" s="45">
        <v>0.3125</v>
      </c>
      <c r="L381" s="45">
        <v>0.6875</v>
      </c>
      <c r="M381" s="11">
        <f t="shared" si="5"/>
        <v>9</v>
      </c>
      <c r="N381" s="11" t="s">
        <v>0</v>
      </c>
    </row>
    <row r="382" spans="1:15" ht="14.4" hidden="1" customHeight="1" x14ac:dyDescent="0.3">
      <c r="A382" s="22" t="s">
        <v>19</v>
      </c>
      <c r="B382" s="21">
        <v>46006</v>
      </c>
      <c r="C382" s="22" t="s">
        <v>7</v>
      </c>
      <c r="D382" s="14" t="s">
        <v>8</v>
      </c>
      <c r="E382" s="14" t="s">
        <v>270</v>
      </c>
      <c r="F382" s="27" t="s">
        <v>326</v>
      </c>
      <c r="G382" s="21">
        <v>46006</v>
      </c>
      <c r="H382" s="21">
        <v>46006</v>
      </c>
      <c r="I382" s="19"/>
      <c r="J382" s="23"/>
      <c r="K382" s="47">
        <v>0.3125</v>
      </c>
      <c r="L382" s="45">
        <v>0.54166666666666663</v>
      </c>
      <c r="M382" s="11">
        <f t="shared" si="5"/>
        <v>5.4999999999999991</v>
      </c>
      <c r="N382" s="11" t="s">
        <v>0</v>
      </c>
      <c r="O382" s="4"/>
    </row>
    <row r="383" spans="1:15" ht="14.4" hidden="1" customHeight="1" x14ac:dyDescent="0.3">
      <c r="A383" s="22" t="s">
        <v>19</v>
      </c>
      <c r="B383" s="21">
        <v>46006</v>
      </c>
      <c r="C383" s="22" t="s">
        <v>9</v>
      </c>
      <c r="D383" s="221" t="s">
        <v>32</v>
      </c>
      <c r="E383" s="24" t="s">
        <v>327</v>
      </c>
      <c r="F383" s="25" t="s">
        <v>329</v>
      </c>
      <c r="G383" s="223">
        <v>46006</v>
      </c>
      <c r="H383" s="223">
        <v>46006</v>
      </c>
      <c r="I383" s="223"/>
      <c r="J383" s="21"/>
      <c r="K383" s="45">
        <v>0.3125</v>
      </c>
      <c r="L383" s="45">
        <v>0.58333333333333337</v>
      </c>
      <c r="M383" s="11">
        <f t="shared" si="5"/>
        <v>6.5000000000000009</v>
      </c>
      <c r="N383" s="233" t="s">
        <v>30</v>
      </c>
      <c r="O383" s="4"/>
    </row>
    <row r="384" spans="1:15" ht="14.4" hidden="1" customHeight="1" x14ac:dyDescent="0.3">
      <c r="A384" s="22" t="s">
        <v>19</v>
      </c>
      <c r="B384" s="21">
        <v>46006</v>
      </c>
      <c r="C384" s="22" t="s">
        <v>9</v>
      </c>
      <c r="D384" s="221"/>
      <c r="E384" s="24" t="s">
        <v>328</v>
      </c>
      <c r="F384" s="25"/>
      <c r="G384" s="223"/>
      <c r="H384" s="223"/>
      <c r="I384" s="223"/>
      <c r="J384" s="21"/>
      <c r="K384" s="45">
        <v>0.3125</v>
      </c>
      <c r="L384" s="45">
        <v>0.58333333333333337</v>
      </c>
      <c r="M384" s="11">
        <f t="shared" si="5"/>
        <v>6.5000000000000009</v>
      </c>
      <c r="N384" s="233"/>
      <c r="O384" s="4"/>
    </row>
    <row r="385" spans="1:15" ht="14.4" hidden="1" customHeight="1" x14ac:dyDescent="0.3">
      <c r="A385" s="22" t="s">
        <v>19</v>
      </c>
      <c r="B385" s="21">
        <v>46006</v>
      </c>
      <c r="C385" s="22" t="s">
        <v>9</v>
      </c>
      <c r="D385" s="216" t="s">
        <v>8</v>
      </c>
      <c r="E385" s="216" t="s">
        <v>316</v>
      </c>
      <c r="F385" s="26" t="s">
        <v>339</v>
      </c>
      <c r="G385" s="223">
        <v>46004</v>
      </c>
      <c r="H385" s="223">
        <v>46006</v>
      </c>
      <c r="I385" s="223"/>
      <c r="J385" s="21"/>
      <c r="K385" s="45">
        <v>0.58333333333333337</v>
      </c>
      <c r="L385" s="45">
        <v>0.6875</v>
      </c>
      <c r="M385" s="11">
        <f t="shared" si="5"/>
        <v>2.4999999999999991</v>
      </c>
      <c r="N385" s="233" t="s">
        <v>0</v>
      </c>
      <c r="O385" s="4"/>
    </row>
    <row r="386" spans="1:15" ht="14.4" hidden="1" customHeight="1" x14ac:dyDescent="0.3">
      <c r="A386" s="22" t="s">
        <v>19</v>
      </c>
      <c r="B386" s="21">
        <v>46006</v>
      </c>
      <c r="C386" s="22" t="s">
        <v>7</v>
      </c>
      <c r="D386" s="217"/>
      <c r="E386" s="217"/>
      <c r="F386" s="27"/>
      <c r="G386" s="223"/>
      <c r="H386" s="223"/>
      <c r="I386" s="223"/>
      <c r="J386" s="21"/>
      <c r="K386" s="45">
        <v>0.58333333333333337</v>
      </c>
      <c r="L386" s="45">
        <v>0.6875</v>
      </c>
      <c r="M386" s="11">
        <f t="shared" si="5"/>
        <v>2.4999999999999991</v>
      </c>
      <c r="N386" s="233"/>
      <c r="O386" s="4"/>
    </row>
    <row r="387" spans="1:15" ht="14.4" hidden="1" customHeight="1" x14ac:dyDescent="0.3">
      <c r="A387" s="22" t="s">
        <v>19</v>
      </c>
      <c r="B387" s="21">
        <v>46006</v>
      </c>
      <c r="C387" s="22" t="s">
        <v>7</v>
      </c>
      <c r="D387" s="14" t="s">
        <v>8</v>
      </c>
      <c r="E387" s="14" t="s">
        <v>340</v>
      </c>
      <c r="F387" s="27" t="s">
        <v>341</v>
      </c>
      <c r="G387" s="21">
        <v>46006</v>
      </c>
      <c r="H387" s="21">
        <v>46006</v>
      </c>
      <c r="I387" s="19"/>
      <c r="J387" s="23"/>
      <c r="K387" s="47">
        <v>0.375</v>
      </c>
      <c r="L387" s="45">
        <v>0.58333333333333337</v>
      </c>
      <c r="M387" s="11">
        <f t="shared" ref="M387:M450" si="6">MOD(L387-K387,1)*24</f>
        <v>5.0000000000000009</v>
      </c>
      <c r="N387" s="11" t="s">
        <v>0</v>
      </c>
      <c r="O387" s="4"/>
    </row>
    <row r="388" spans="1:15" ht="14.4" hidden="1" customHeight="1" x14ac:dyDescent="0.3">
      <c r="A388" s="22" t="s">
        <v>20</v>
      </c>
      <c r="B388" s="21">
        <v>46006</v>
      </c>
      <c r="C388" s="22" t="s">
        <v>12</v>
      </c>
      <c r="D388" s="13" t="s">
        <v>27</v>
      </c>
      <c r="E388" s="13" t="s">
        <v>333</v>
      </c>
      <c r="F388" s="26" t="s">
        <v>334</v>
      </c>
      <c r="G388" s="21">
        <v>46006</v>
      </c>
      <c r="H388" s="21">
        <v>46006</v>
      </c>
      <c r="I388" s="21"/>
      <c r="J388" s="21"/>
      <c r="K388" s="45">
        <v>0.3125</v>
      </c>
      <c r="L388" s="45">
        <v>0.54166666666666663</v>
      </c>
      <c r="M388" s="11">
        <f t="shared" si="6"/>
        <v>5.4999999999999991</v>
      </c>
      <c r="N388" s="11" t="s">
        <v>0</v>
      </c>
      <c r="O388" s="4"/>
    </row>
    <row r="389" spans="1:15" ht="14.4" hidden="1" customHeight="1" x14ac:dyDescent="0.3">
      <c r="A389" s="22" t="s">
        <v>20</v>
      </c>
      <c r="B389" s="21">
        <v>46006</v>
      </c>
      <c r="C389" s="22" t="s">
        <v>12</v>
      </c>
      <c r="D389" s="13" t="s">
        <v>27</v>
      </c>
      <c r="E389" s="13" t="s">
        <v>333</v>
      </c>
      <c r="F389" s="26" t="s">
        <v>334</v>
      </c>
      <c r="G389" s="21">
        <v>46006</v>
      </c>
      <c r="H389" s="21">
        <v>46006</v>
      </c>
      <c r="I389" s="21"/>
      <c r="J389" s="21"/>
      <c r="K389" s="45">
        <v>0.58333333333333337</v>
      </c>
      <c r="L389" s="45">
        <v>0.6875</v>
      </c>
      <c r="M389" s="11">
        <f t="shared" si="6"/>
        <v>2.4999999999999991</v>
      </c>
      <c r="N389" s="11" t="s">
        <v>0</v>
      </c>
      <c r="O389" s="4"/>
    </row>
    <row r="390" spans="1:15" ht="14.4" hidden="1" customHeight="1" x14ac:dyDescent="0.3">
      <c r="A390" s="22" t="s">
        <v>20</v>
      </c>
      <c r="B390" s="21">
        <v>46006</v>
      </c>
      <c r="C390" s="22" t="s">
        <v>12</v>
      </c>
      <c r="D390" s="13" t="s">
        <v>44</v>
      </c>
      <c r="E390" s="13" t="s">
        <v>343</v>
      </c>
      <c r="F390" s="26" t="s">
        <v>334</v>
      </c>
      <c r="G390" s="21">
        <v>46006</v>
      </c>
      <c r="H390" s="21">
        <v>46006</v>
      </c>
      <c r="I390" s="21"/>
      <c r="J390" s="21"/>
      <c r="K390" s="45">
        <v>0.54166666666666663</v>
      </c>
      <c r="L390" s="45">
        <v>0.6875</v>
      </c>
      <c r="M390" s="11">
        <f t="shared" si="6"/>
        <v>3.5000000000000009</v>
      </c>
      <c r="N390" s="11" t="s">
        <v>0</v>
      </c>
      <c r="O390" s="4"/>
    </row>
    <row r="391" spans="1:15" ht="14.4" hidden="1" customHeight="1" x14ac:dyDescent="0.3">
      <c r="A391" s="22" t="s">
        <v>20</v>
      </c>
      <c r="B391" s="21">
        <v>46006</v>
      </c>
      <c r="C391" s="69" t="s">
        <v>135</v>
      </c>
      <c r="D391" s="214" t="s">
        <v>44</v>
      </c>
      <c r="E391" s="214" t="s">
        <v>290</v>
      </c>
      <c r="F391" s="26" t="s">
        <v>330</v>
      </c>
      <c r="G391" s="219">
        <v>46006</v>
      </c>
      <c r="H391" s="219">
        <v>46016</v>
      </c>
      <c r="I391" s="219"/>
      <c r="J391" s="17"/>
      <c r="K391" s="45">
        <v>0.3125</v>
      </c>
      <c r="L391" s="45">
        <v>0.6875</v>
      </c>
      <c r="M391" s="11">
        <f t="shared" si="6"/>
        <v>9</v>
      </c>
      <c r="N391" s="214" t="s">
        <v>1</v>
      </c>
      <c r="O391" s="4"/>
    </row>
    <row r="392" spans="1:15" ht="14.4" hidden="1" customHeight="1" x14ac:dyDescent="0.3">
      <c r="A392" s="22" t="s">
        <v>20</v>
      </c>
      <c r="B392" s="21">
        <v>46006</v>
      </c>
      <c r="C392" s="69" t="s">
        <v>14</v>
      </c>
      <c r="D392" s="226"/>
      <c r="E392" s="226"/>
      <c r="F392" s="3"/>
      <c r="G392" s="229"/>
      <c r="H392" s="229"/>
      <c r="I392" s="229"/>
      <c r="J392" s="23"/>
      <c r="K392" s="47">
        <v>0.3125</v>
      </c>
      <c r="L392" s="47">
        <v>0.6875</v>
      </c>
      <c r="M392" s="11">
        <f t="shared" si="6"/>
        <v>9</v>
      </c>
      <c r="N392" s="226"/>
      <c r="O392" s="4"/>
    </row>
    <row r="393" spans="1:15" ht="14.4" hidden="1" customHeight="1" x14ac:dyDescent="0.3">
      <c r="A393" s="22" t="s">
        <v>20</v>
      </c>
      <c r="B393" s="21">
        <v>46006</v>
      </c>
      <c r="C393" s="69" t="s">
        <v>13</v>
      </c>
      <c r="D393" s="233" t="s">
        <v>44</v>
      </c>
      <c r="E393" s="238" t="s">
        <v>331</v>
      </c>
      <c r="F393" s="25" t="s">
        <v>332</v>
      </c>
      <c r="G393" s="223">
        <v>46006</v>
      </c>
      <c r="H393" s="223">
        <v>46021</v>
      </c>
      <c r="I393" s="223"/>
      <c r="J393" s="21"/>
      <c r="K393" s="45">
        <v>0.33333333333333331</v>
      </c>
      <c r="L393" s="48">
        <v>0.70833333333333337</v>
      </c>
      <c r="M393" s="11">
        <f t="shared" si="6"/>
        <v>9.0000000000000018</v>
      </c>
      <c r="N393" s="214" t="s">
        <v>1</v>
      </c>
      <c r="O393" s="4"/>
    </row>
    <row r="394" spans="1:15" ht="14.4" hidden="1" customHeight="1" x14ac:dyDescent="0.3">
      <c r="A394" s="22" t="s">
        <v>20</v>
      </c>
      <c r="B394" s="21">
        <v>46006</v>
      </c>
      <c r="C394" s="69" t="s">
        <v>33</v>
      </c>
      <c r="D394" s="233"/>
      <c r="E394" s="233"/>
      <c r="F394" s="25"/>
      <c r="G394" s="223"/>
      <c r="H394" s="223"/>
      <c r="I394" s="223"/>
      <c r="J394" s="21"/>
      <c r="K394" s="45">
        <v>0.33333333333333331</v>
      </c>
      <c r="L394" s="48">
        <v>0.70833333333333337</v>
      </c>
      <c r="M394" s="11">
        <f t="shared" si="6"/>
        <v>9.0000000000000018</v>
      </c>
      <c r="N394" s="226"/>
      <c r="O394" s="4"/>
    </row>
    <row r="395" spans="1:15" ht="14.4" hidden="1" customHeight="1" x14ac:dyDescent="0.3">
      <c r="A395" s="22" t="s">
        <v>20</v>
      </c>
      <c r="B395" s="21">
        <v>46006</v>
      </c>
      <c r="C395" s="22" t="s">
        <v>28</v>
      </c>
      <c r="D395" s="13" t="s">
        <v>65</v>
      </c>
      <c r="E395" s="24" t="s">
        <v>278</v>
      </c>
      <c r="F395" s="26" t="s">
        <v>229</v>
      </c>
      <c r="G395" s="17">
        <v>46006</v>
      </c>
      <c r="H395" s="17">
        <v>46006</v>
      </c>
      <c r="I395" s="17"/>
      <c r="J395" s="101"/>
      <c r="K395" s="44">
        <v>0.33333333333333331</v>
      </c>
      <c r="L395" s="45">
        <v>0.79166666666666663</v>
      </c>
      <c r="M395" s="11">
        <f t="shared" si="6"/>
        <v>11</v>
      </c>
      <c r="N395" s="11" t="s">
        <v>0</v>
      </c>
      <c r="O395" s="4"/>
    </row>
    <row r="396" spans="1:15" ht="14.4" hidden="1" customHeight="1" x14ac:dyDescent="0.3">
      <c r="A396" s="22" t="s">
        <v>20</v>
      </c>
      <c r="B396" s="21">
        <v>46006</v>
      </c>
      <c r="C396" s="22" t="s">
        <v>15</v>
      </c>
      <c r="D396" s="214" t="s">
        <v>65</v>
      </c>
      <c r="E396" s="216" t="s">
        <v>296</v>
      </c>
      <c r="F396" s="26" t="s">
        <v>335</v>
      </c>
      <c r="G396" s="219">
        <v>46003</v>
      </c>
      <c r="H396" s="219">
        <v>46006</v>
      </c>
      <c r="I396" s="219"/>
      <c r="J396" s="101"/>
      <c r="K396" s="44">
        <v>0.33333333333333331</v>
      </c>
      <c r="L396" s="45">
        <v>0.79166666666666663</v>
      </c>
      <c r="M396" s="11">
        <f t="shared" si="6"/>
        <v>11</v>
      </c>
      <c r="N396" s="214" t="s">
        <v>0</v>
      </c>
      <c r="O396" s="4"/>
    </row>
    <row r="397" spans="1:15" ht="14.4" hidden="1" customHeight="1" x14ac:dyDescent="0.3">
      <c r="A397" s="22" t="s">
        <v>20</v>
      </c>
      <c r="B397" s="21">
        <v>46006</v>
      </c>
      <c r="C397" s="22" t="s">
        <v>31</v>
      </c>
      <c r="D397" s="215"/>
      <c r="E397" s="217"/>
      <c r="F397" s="27"/>
      <c r="G397" s="220"/>
      <c r="H397" s="220"/>
      <c r="I397" s="220"/>
      <c r="J397" s="19"/>
      <c r="K397" s="45">
        <v>0.35416666666666669</v>
      </c>
      <c r="L397" s="45">
        <v>0.39583333333333331</v>
      </c>
      <c r="M397" s="11">
        <f t="shared" si="6"/>
        <v>0.99999999999999911</v>
      </c>
      <c r="N397" s="215"/>
      <c r="O397" s="4"/>
    </row>
    <row r="398" spans="1:15" ht="14.4" hidden="1" customHeight="1" x14ac:dyDescent="0.3">
      <c r="A398" s="22" t="s">
        <v>20</v>
      </c>
      <c r="B398" s="21">
        <v>46006</v>
      </c>
      <c r="C398" s="22" t="s">
        <v>17</v>
      </c>
      <c r="D398" s="216" t="s">
        <v>65</v>
      </c>
      <c r="E398" s="216" t="s">
        <v>337</v>
      </c>
      <c r="F398" s="26" t="s">
        <v>338</v>
      </c>
      <c r="G398" s="219">
        <v>46004</v>
      </c>
      <c r="H398" s="219">
        <v>46006</v>
      </c>
      <c r="I398" s="219"/>
      <c r="J398" s="101"/>
      <c r="K398" s="44">
        <v>0.3125</v>
      </c>
      <c r="L398" s="45">
        <v>0.77083333333333337</v>
      </c>
      <c r="M398" s="11">
        <f t="shared" si="6"/>
        <v>11</v>
      </c>
      <c r="N398" s="214" t="s">
        <v>0</v>
      </c>
      <c r="O398" s="4"/>
    </row>
    <row r="399" spans="1:15" ht="14.4" hidden="1" customHeight="1" x14ac:dyDescent="0.3">
      <c r="A399" s="22" t="s">
        <v>20</v>
      </c>
      <c r="B399" s="21">
        <v>46006</v>
      </c>
      <c r="C399" s="22" t="s">
        <v>31</v>
      </c>
      <c r="D399" s="217"/>
      <c r="E399" s="217"/>
      <c r="F399" s="27"/>
      <c r="G399" s="220"/>
      <c r="H399" s="220"/>
      <c r="I399" s="220"/>
      <c r="J399" s="102"/>
      <c r="K399" s="44">
        <v>0.39583333333333331</v>
      </c>
      <c r="L399" s="45">
        <v>0.4375</v>
      </c>
      <c r="M399" s="11">
        <f t="shared" si="6"/>
        <v>1.0000000000000004</v>
      </c>
      <c r="N399" s="215"/>
      <c r="O399" s="4"/>
    </row>
    <row r="400" spans="1:15" ht="14.4" hidden="1" customHeight="1" x14ac:dyDescent="0.3">
      <c r="A400" s="22" t="s">
        <v>20</v>
      </c>
      <c r="B400" s="21">
        <v>46006</v>
      </c>
      <c r="C400" s="22" t="s">
        <v>47</v>
      </c>
      <c r="D400" s="216" t="s">
        <v>65</v>
      </c>
      <c r="E400" s="216" t="s">
        <v>306</v>
      </c>
      <c r="F400" s="26" t="s">
        <v>115</v>
      </c>
      <c r="G400" s="219">
        <v>46003</v>
      </c>
      <c r="H400" s="219">
        <v>46006</v>
      </c>
      <c r="I400" s="219"/>
      <c r="J400" s="101"/>
      <c r="K400" s="44">
        <v>0.33333333333333331</v>
      </c>
      <c r="L400" s="45">
        <v>0.79166666666666663</v>
      </c>
      <c r="M400" s="11">
        <f t="shared" si="6"/>
        <v>11</v>
      </c>
      <c r="N400" s="214" t="s">
        <v>0</v>
      </c>
      <c r="O400" s="4"/>
    </row>
    <row r="401" spans="1:23" ht="14.4" hidden="1" customHeight="1" x14ac:dyDescent="0.3">
      <c r="A401" s="22" t="s">
        <v>20</v>
      </c>
      <c r="B401" s="21">
        <v>46006</v>
      </c>
      <c r="C401" s="22" t="s">
        <v>31</v>
      </c>
      <c r="D401" s="217"/>
      <c r="E401" s="217"/>
      <c r="F401" s="27"/>
      <c r="G401" s="220"/>
      <c r="H401" s="220"/>
      <c r="I401" s="220"/>
      <c r="J401" s="19"/>
      <c r="K401" s="45">
        <v>0.4375</v>
      </c>
      <c r="L401" s="45">
        <v>0.45833333333333331</v>
      </c>
      <c r="M401" s="11">
        <f t="shared" si="6"/>
        <v>0.49999999999999956</v>
      </c>
      <c r="N401" s="215"/>
      <c r="O401" s="4"/>
    </row>
    <row r="402" spans="1:23" ht="14.4" hidden="1" customHeight="1" x14ac:dyDescent="0.3">
      <c r="A402" s="22" t="s">
        <v>20</v>
      </c>
      <c r="B402" s="21">
        <v>46006</v>
      </c>
      <c r="C402" s="22" t="s">
        <v>167</v>
      </c>
      <c r="D402" s="216" t="s">
        <v>65</v>
      </c>
      <c r="E402" s="216" t="s">
        <v>308</v>
      </c>
      <c r="F402" s="26" t="s">
        <v>335</v>
      </c>
      <c r="G402" s="219">
        <v>46004</v>
      </c>
      <c r="H402" s="219">
        <v>46006</v>
      </c>
      <c r="I402" s="219"/>
      <c r="J402" s="101"/>
      <c r="K402" s="44">
        <v>0.3125</v>
      </c>
      <c r="L402" s="45">
        <v>0.77083333333333337</v>
      </c>
      <c r="M402" s="11">
        <f t="shared" si="6"/>
        <v>11</v>
      </c>
      <c r="N402" s="11" t="s">
        <v>0</v>
      </c>
      <c r="O402" s="4"/>
    </row>
    <row r="403" spans="1:23" ht="14.4" hidden="1" customHeight="1" x14ac:dyDescent="0.3">
      <c r="A403" s="22" t="s">
        <v>20</v>
      </c>
      <c r="B403" s="21">
        <v>46006</v>
      </c>
      <c r="C403" s="22" t="s">
        <v>31</v>
      </c>
      <c r="D403" s="217"/>
      <c r="E403" s="217"/>
      <c r="F403" s="27"/>
      <c r="G403" s="220"/>
      <c r="H403" s="220"/>
      <c r="I403" s="220"/>
      <c r="J403" s="19"/>
      <c r="K403" s="45">
        <v>0.45833333333333331</v>
      </c>
      <c r="L403" s="45">
        <v>0.5</v>
      </c>
      <c r="M403" s="11">
        <f t="shared" si="6"/>
        <v>1.0000000000000004</v>
      </c>
      <c r="N403" s="11" t="s">
        <v>0</v>
      </c>
      <c r="O403" s="4"/>
    </row>
    <row r="404" spans="1:23" ht="14.4" hidden="1" customHeight="1" x14ac:dyDescent="0.3">
      <c r="A404" s="22" t="s">
        <v>20</v>
      </c>
      <c r="B404" s="21">
        <v>46006</v>
      </c>
      <c r="C404" s="22" t="s">
        <v>16</v>
      </c>
      <c r="D404" s="216" t="s">
        <v>65</v>
      </c>
      <c r="E404" s="216" t="s">
        <v>60</v>
      </c>
      <c r="F404" s="26" t="s">
        <v>336</v>
      </c>
      <c r="G404" s="219">
        <v>46004</v>
      </c>
      <c r="H404" s="219">
        <v>46006</v>
      </c>
      <c r="I404" s="219"/>
      <c r="J404" s="17"/>
      <c r="K404" s="47">
        <v>0.3125</v>
      </c>
      <c r="L404" s="45">
        <v>0.77083333333333337</v>
      </c>
      <c r="M404" s="11">
        <f t="shared" si="6"/>
        <v>11</v>
      </c>
      <c r="N404" s="214" t="s">
        <v>0</v>
      </c>
      <c r="O404" s="4"/>
    </row>
    <row r="405" spans="1:23" ht="14.4" hidden="1" customHeight="1" x14ac:dyDescent="0.3">
      <c r="A405" s="22" t="s">
        <v>20</v>
      </c>
      <c r="B405" s="21">
        <v>46006</v>
      </c>
      <c r="C405" s="22" t="s">
        <v>31</v>
      </c>
      <c r="D405" s="217"/>
      <c r="E405" s="217"/>
      <c r="F405" s="27"/>
      <c r="G405" s="220"/>
      <c r="H405" s="220"/>
      <c r="I405" s="220"/>
      <c r="J405" s="19"/>
      <c r="K405" s="45">
        <v>0.4375</v>
      </c>
      <c r="L405" s="45">
        <v>0.45833333333333331</v>
      </c>
      <c r="M405" s="11">
        <f t="shared" si="6"/>
        <v>0.49999999999999956</v>
      </c>
      <c r="N405" s="215"/>
      <c r="O405" s="4"/>
    </row>
    <row r="406" spans="1:23" ht="14.4" hidden="1" customHeight="1" x14ac:dyDescent="0.3">
      <c r="A406" s="22" t="s">
        <v>21</v>
      </c>
      <c r="B406" s="21">
        <v>46007</v>
      </c>
      <c r="C406" s="22" t="s">
        <v>26</v>
      </c>
      <c r="D406" s="24" t="s">
        <v>24</v>
      </c>
      <c r="E406" s="24" t="s">
        <v>344</v>
      </c>
      <c r="F406" s="27" t="s">
        <v>349</v>
      </c>
      <c r="G406" s="21">
        <v>46007</v>
      </c>
      <c r="H406" s="21">
        <v>46007</v>
      </c>
      <c r="I406" s="21">
        <v>46007</v>
      </c>
      <c r="J406" s="21"/>
      <c r="K406" s="45">
        <v>0.33333333333333331</v>
      </c>
      <c r="L406" s="45">
        <v>0.5</v>
      </c>
      <c r="M406" s="11">
        <f t="shared" si="6"/>
        <v>4</v>
      </c>
      <c r="N406" s="11" t="s">
        <v>0</v>
      </c>
    </row>
    <row r="407" spans="1:23" ht="14.4" hidden="1" customHeight="1" x14ac:dyDescent="0.3">
      <c r="A407" s="22" t="s">
        <v>21</v>
      </c>
      <c r="B407" s="21">
        <v>46007</v>
      </c>
      <c r="C407" s="22" t="s">
        <v>26</v>
      </c>
      <c r="D407" s="24" t="s">
        <v>24</v>
      </c>
      <c r="E407" s="24" t="s">
        <v>345</v>
      </c>
      <c r="F407" s="27" t="s">
        <v>349</v>
      </c>
      <c r="G407" s="21">
        <v>46007</v>
      </c>
      <c r="H407" s="21">
        <v>46007</v>
      </c>
      <c r="I407" s="21"/>
      <c r="J407" s="21"/>
      <c r="K407" s="45">
        <v>0.54166666666666663</v>
      </c>
      <c r="L407" s="45">
        <v>0.70833333333333337</v>
      </c>
      <c r="M407" s="11">
        <f t="shared" si="6"/>
        <v>4.0000000000000018</v>
      </c>
      <c r="N407" s="11" t="s">
        <v>30</v>
      </c>
    </row>
    <row r="408" spans="1:23" ht="14.4" hidden="1" customHeight="1" x14ac:dyDescent="0.3">
      <c r="A408" s="22" t="s">
        <v>21</v>
      </c>
      <c r="B408" s="21">
        <v>46007</v>
      </c>
      <c r="C408" s="22" t="s">
        <v>51</v>
      </c>
      <c r="D408" s="24" t="s">
        <v>24</v>
      </c>
      <c r="E408" s="13" t="s">
        <v>350</v>
      </c>
      <c r="F408" s="3" t="s">
        <v>351</v>
      </c>
      <c r="G408" s="21">
        <v>46007</v>
      </c>
      <c r="H408" s="21">
        <v>46007</v>
      </c>
      <c r="I408" s="17"/>
      <c r="J408" s="17"/>
      <c r="K408" s="45">
        <v>0.3125</v>
      </c>
      <c r="L408" s="45">
        <v>0.6875</v>
      </c>
      <c r="M408" s="11">
        <f t="shared" si="6"/>
        <v>9</v>
      </c>
      <c r="N408" s="11" t="s">
        <v>0</v>
      </c>
    </row>
    <row r="409" spans="1:23" ht="14.4" hidden="1" customHeight="1" x14ac:dyDescent="0.3">
      <c r="A409" s="22" t="s">
        <v>21</v>
      </c>
      <c r="B409" s="21">
        <v>46007</v>
      </c>
      <c r="C409" s="22" t="s">
        <v>26</v>
      </c>
      <c r="D409" s="24" t="s">
        <v>24</v>
      </c>
      <c r="E409" s="13" t="s">
        <v>367</v>
      </c>
      <c r="F409" s="3" t="s">
        <v>368</v>
      </c>
      <c r="G409" s="21">
        <v>46007</v>
      </c>
      <c r="H409" s="21">
        <v>46007</v>
      </c>
      <c r="I409" s="21">
        <v>46007</v>
      </c>
      <c r="J409" s="21"/>
      <c r="K409" s="45">
        <v>0.5</v>
      </c>
      <c r="L409" s="45">
        <v>0.625</v>
      </c>
      <c r="M409" s="11">
        <f t="shared" si="6"/>
        <v>3</v>
      </c>
      <c r="N409" s="11" t="s">
        <v>0</v>
      </c>
    </row>
    <row r="410" spans="1:23" ht="14.4" hidden="1" customHeight="1" x14ac:dyDescent="0.3">
      <c r="A410" s="22" t="s">
        <v>21</v>
      </c>
      <c r="B410" s="21">
        <v>46007</v>
      </c>
      <c r="C410" s="22" t="s">
        <v>26</v>
      </c>
      <c r="D410" s="24" t="s">
        <v>24</v>
      </c>
      <c r="E410" s="13" t="s">
        <v>369</v>
      </c>
      <c r="F410" s="3" t="s">
        <v>368</v>
      </c>
      <c r="G410" s="21">
        <v>46007</v>
      </c>
      <c r="H410" s="21">
        <v>46007</v>
      </c>
      <c r="I410" s="17"/>
      <c r="J410" s="17"/>
      <c r="K410" s="45">
        <v>0.625</v>
      </c>
      <c r="L410" s="45">
        <v>0.70833333333333337</v>
      </c>
      <c r="M410" s="11">
        <f t="shared" si="6"/>
        <v>2.0000000000000009</v>
      </c>
      <c r="N410" s="11" t="s">
        <v>0</v>
      </c>
    </row>
    <row r="411" spans="1:23" ht="14.4" hidden="1" customHeight="1" x14ac:dyDescent="0.3">
      <c r="A411" s="22" t="s">
        <v>21</v>
      </c>
      <c r="B411" s="21">
        <v>46007</v>
      </c>
      <c r="C411" s="22" t="s">
        <v>18</v>
      </c>
      <c r="D411" s="214" t="s">
        <v>8</v>
      </c>
      <c r="E411" s="214" t="s">
        <v>73</v>
      </c>
      <c r="F411" s="28" t="s">
        <v>346</v>
      </c>
      <c r="G411" s="219">
        <v>46006</v>
      </c>
      <c r="H411" s="219">
        <v>46007</v>
      </c>
      <c r="I411" s="219">
        <v>46007</v>
      </c>
      <c r="J411" s="17"/>
      <c r="K411" s="45">
        <v>0.3125</v>
      </c>
      <c r="L411" s="45">
        <v>0.70833333333333337</v>
      </c>
      <c r="M411" s="11">
        <f t="shared" si="6"/>
        <v>9.5</v>
      </c>
      <c r="N411" s="214" t="s">
        <v>0</v>
      </c>
    </row>
    <row r="412" spans="1:23" ht="14.4" hidden="1" customHeight="1" x14ac:dyDescent="0.3">
      <c r="A412" s="22" t="s">
        <v>21</v>
      </c>
      <c r="B412" s="21">
        <v>46007</v>
      </c>
      <c r="C412" s="22" t="s">
        <v>25</v>
      </c>
      <c r="D412" s="226"/>
      <c r="E412" s="226"/>
      <c r="F412" s="73"/>
      <c r="G412" s="229"/>
      <c r="H412" s="229"/>
      <c r="I412" s="229"/>
      <c r="J412" s="23"/>
      <c r="K412" s="47">
        <v>0.3125</v>
      </c>
      <c r="L412" s="47">
        <v>0.70833333333333337</v>
      </c>
      <c r="M412" s="11">
        <f t="shared" si="6"/>
        <v>9.5</v>
      </c>
      <c r="N412" s="226"/>
    </row>
    <row r="413" spans="1:23" ht="14.4" hidden="1" customHeight="1" x14ac:dyDescent="0.3">
      <c r="A413" s="22" t="s">
        <v>21</v>
      </c>
      <c r="B413" s="21">
        <v>46007</v>
      </c>
      <c r="C413" s="22" t="s">
        <v>274</v>
      </c>
      <c r="D413" s="24" t="s">
        <v>8</v>
      </c>
      <c r="E413" s="24" t="s">
        <v>235</v>
      </c>
      <c r="F413" s="31" t="s">
        <v>346</v>
      </c>
      <c r="G413" s="21">
        <v>46006</v>
      </c>
      <c r="H413" s="21">
        <v>46007</v>
      </c>
      <c r="I413" s="21">
        <v>46007</v>
      </c>
      <c r="J413" s="21"/>
      <c r="K413" s="45">
        <v>0.3125</v>
      </c>
      <c r="L413" s="45">
        <v>0.6875</v>
      </c>
      <c r="M413" s="11">
        <f t="shared" si="6"/>
        <v>9</v>
      </c>
      <c r="N413" s="42" t="s">
        <v>0</v>
      </c>
    </row>
    <row r="414" spans="1:23" ht="14.4" hidden="1" customHeight="1" x14ac:dyDescent="0.3">
      <c r="A414" s="12" t="s">
        <v>21</v>
      </c>
      <c r="B414" s="21">
        <v>46007</v>
      </c>
      <c r="C414" s="12" t="s">
        <v>118</v>
      </c>
      <c r="D414" s="22" t="s">
        <v>54</v>
      </c>
      <c r="E414" s="24" t="s">
        <v>302</v>
      </c>
      <c r="F414" s="25" t="s">
        <v>347</v>
      </c>
      <c r="G414" s="21">
        <v>46006</v>
      </c>
      <c r="H414" s="21">
        <v>46007</v>
      </c>
      <c r="I414" s="21">
        <v>46007</v>
      </c>
      <c r="J414" s="21"/>
      <c r="K414" s="45">
        <v>0.33333333333333331</v>
      </c>
      <c r="L414" s="45">
        <v>0.70833333333333337</v>
      </c>
      <c r="M414" s="11">
        <f t="shared" si="6"/>
        <v>9.0000000000000018</v>
      </c>
      <c r="N414" s="22" t="s">
        <v>0</v>
      </c>
    </row>
    <row r="415" spans="1:23" ht="14.4" hidden="1" customHeight="1" x14ac:dyDescent="0.3">
      <c r="A415" s="22" t="s">
        <v>21</v>
      </c>
      <c r="B415" s="21">
        <v>46007</v>
      </c>
      <c r="C415" s="22" t="s">
        <v>22</v>
      </c>
      <c r="D415" s="22" t="s">
        <v>8</v>
      </c>
      <c r="E415" s="14" t="s">
        <v>316</v>
      </c>
      <c r="F415" s="27" t="s">
        <v>199</v>
      </c>
      <c r="G415" s="19">
        <v>46007</v>
      </c>
      <c r="H415" s="19">
        <v>46007</v>
      </c>
      <c r="I415" s="19">
        <v>46007</v>
      </c>
      <c r="J415" s="19"/>
      <c r="K415" s="45">
        <v>0.3125</v>
      </c>
      <c r="L415" s="45">
        <v>0.45833333333333331</v>
      </c>
      <c r="M415" s="11">
        <f t="shared" si="6"/>
        <v>3.4999999999999996</v>
      </c>
      <c r="N415" s="22" t="s">
        <v>0</v>
      </c>
    </row>
    <row r="416" spans="1:23" s="32" customFormat="1" ht="14.4" hidden="1" customHeight="1" x14ac:dyDescent="0.3">
      <c r="A416" s="22" t="s">
        <v>21</v>
      </c>
      <c r="B416" s="21">
        <v>46007</v>
      </c>
      <c r="C416" s="22" t="s">
        <v>22</v>
      </c>
      <c r="D416" s="22" t="s">
        <v>8</v>
      </c>
      <c r="E416" s="14" t="s">
        <v>340</v>
      </c>
      <c r="F416" s="27" t="s">
        <v>366</v>
      </c>
      <c r="G416" s="19">
        <v>46007</v>
      </c>
      <c r="H416" s="19">
        <v>46007</v>
      </c>
      <c r="I416" s="19">
        <v>46007</v>
      </c>
      <c r="J416" s="19"/>
      <c r="K416" s="45">
        <v>0.54166666666666663</v>
      </c>
      <c r="L416" s="45">
        <v>0.6875</v>
      </c>
      <c r="M416" s="11">
        <f t="shared" si="6"/>
        <v>3.5000000000000009</v>
      </c>
      <c r="N416" s="11" t="s">
        <v>0</v>
      </c>
      <c r="P416" s="4"/>
      <c r="Q416" s="4"/>
      <c r="R416" s="4"/>
      <c r="S416" s="4"/>
      <c r="T416" s="4"/>
      <c r="U416" s="4"/>
      <c r="V416" s="4"/>
      <c r="W416" s="4"/>
    </row>
    <row r="417" spans="1:23" s="32" customFormat="1" ht="14.4" hidden="1" customHeight="1" x14ac:dyDescent="0.3">
      <c r="A417" s="22" t="s">
        <v>21</v>
      </c>
      <c r="B417" s="21">
        <v>46007</v>
      </c>
      <c r="C417" s="22" t="s">
        <v>55</v>
      </c>
      <c r="D417" s="233" t="s">
        <v>43</v>
      </c>
      <c r="E417" s="233" t="s">
        <v>271</v>
      </c>
      <c r="F417" s="31" t="s">
        <v>348</v>
      </c>
      <c r="G417" s="219">
        <v>46006</v>
      </c>
      <c r="H417" s="219">
        <v>46007</v>
      </c>
      <c r="I417" s="219">
        <v>46007</v>
      </c>
      <c r="J417" s="17"/>
      <c r="K417" s="45">
        <v>0.3125</v>
      </c>
      <c r="L417" s="45">
        <v>0.6875</v>
      </c>
      <c r="M417" s="11">
        <f t="shared" si="6"/>
        <v>9</v>
      </c>
      <c r="N417" s="214" t="s">
        <v>0</v>
      </c>
      <c r="P417" s="4"/>
      <c r="Q417" s="4"/>
      <c r="R417" s="4"/>
      <c r="S417" s="4"/>
      <c r="T417" s="4"/>
      <c r="U417" s="4"/>
      <c r="V417" s="4"/>
      <c r="W417" s="4"/>
    </row>
    <row r="418" spans="1:23" s="32" customFormat="1" ht="14.4" hidden="1" customHeight="1" x14ac:dyDescent="0.3">
      <c r="A418" s="22" t="s">
        <v>21</v>
      </c>
      <c r="B418" s="21">
        <v>46007</v>
      </c>
      <c r="C418" s="22" t="s">
        <v>320</v>
      </c>
      <c r="D418" s="233"/>
      <c r="E418" s="233"/>
      <c r="F418" s="31"/>
      <c r="G418" s="220"/>
      <c r="H418" s="220"/>
      <c r="I418" s="220"/>
      <c r="J418" s="19"/>
      <c r="K418" s="45">
        <v>0.3125</v>
      </c>
      <c r="L418" s="45">
        <v>0.6875</v>
      </c>
      <c r="M418" s="11">
        <f t="shared" si="6"/>
        <v>9</v>
      </c>
      <c r="N418" s="215"/>
      <c r="P418" s="4"/>
      <c r="Q418" s="4"/>
      <c r="R418" s="4"/>
      <c r="S418" s="4"/>
      <c r="T418" s="4"/>
      <c r="U418" s="4"/>
      <c r="V418" s="4"/>
      <c r="W418" s="4"/>
    </row>
    <row r="419" spans="1:23" s="32" customFormat="1" ht="14.4" hidden="1" customHeight="1" x14ac:dyDescent="0.3">
      <c r="A419" s="22" t="s">
        <v>21</v>
      </c>
      <c r="B419" s="21">
        <v>46007</v>
      </c>
      <c r="C419" s="22" t="s">
        <v>274</v>
      </c>
      <c r="D419" s="12" t="s">
        <v>27</v>
      </c>
      <c r="E419" s="12" t="s">
        <v>364</v>
      </c>
      <c r="F419" s="29" t="s">
        <v>365</v>
      </c>
      <c r="G419" s="19">
        <v>46007</v>
      </c>
      <c r="H419" s="19">
        <v>46007</v>
      </c>
      <c r="I419" s="21">
        <v>46007</v>
      </c>
      <c r="J419" s="17"/>
      <c r="K419" s="47">
        <v>0.41666666666666669</v>
      </c>
      <c r="L419" s="45">
        <v>0.45833333333333331</v>
      </c>
      <c r="M419" s="11">
        <f t="shared" si="6"/>
        <v>0.99999999999999911</v>
      </c>
      <c r="N419" s="34" t="s">
        <v>0</v>
      </c>
      <c r="P419" s="4"/>
      <c r="Q419" s="4"/>
      <c r="R419" s="4"/>
      <c r="S419" s="4"/>
      <c r="T419" s="4"/>
      <c r="U419" s="4"/>
      <c r="V419" s="4"/>
      <c r="W419" s="4"/>
    </row>
    <row r="420" spans="1:23" s="32" customFormat="1" ht="14.4" hidden="1" customHeight="1" x14ac:dyDescent="0.3">
      <c r="A420" s="22" t="s">
        <v>19</v>
      </c>
      <c r="B420" s="21">
        <v>46007</v>
      </c>
      <c r="C420" s="22" t="s">
        <v>7</v>
      </c>
      <c r="D420" s="14" t="s">
        <v>8</v>
      </c>
      <c r="E420" s="14" t="s">
        <v>357</v>
      </c>
      <c r="F420" s="27" t="s">
        <v>358</v>
      </c>
      <c r="G420" s="21">
        <v>46007</v>
      </c>
      <c r="H420" s="21">
        <v>46007</v>
      </c>
      <c r="I420" s="21">
        <v>46007</v>
      </c>
      <c r="J420" s="17"/>
      <c r="K420" s="47">
        <v>0.3125</v>
      </c>
      <c r="L420" s="45">
        <v>0.5</v>
      </c>
      <c r="M420" s="11">
        <f t="shared" si="6"/>
        <v>4.5</v>
      </c>
      <c r="N420" s="11" t="s">
        <v>0</v>
      </c>
      <c r="P420" s="4"/>
      <c r="Q420" s="4"/>
      <c r="R420" s="4"/>
      <c r="S420" s="4"/>
      <c r="T420" s="4"/>
      <c r="U420" s="4"/>
      <c r="V420" s="4"/>
      <c r="W420" s="4"/>
    </row>
    <row r="421" spans="1:23" s="32" customFormat="1" ht="14.4" hidden="1" customHeight="1" x14ac:dyDescent="0.3">
      <c r="A421" s="22" t="s">
        <v>19</v>
      </c>
      <c r="B421" s="21">
        <v>46007</v>
      </c>
      <c r="C421" s="22" t="s">
        <v>7</v>
      </c>
      <c r="D421" s="14" t="s">
        <v>8</v>
      </c>
      <c r="E421" s="14" t="s">
        <v>235</v>
      </c>
      <c r="F421" s="27" t="s">
        <v>360</v>
      </c>
      <c r="G421" s="21">
        <v>45999</v>
      </c>
      <c r="H421" s="21">
        <v>46007</v>
      </c>
      <c r="I421" s="21">
        <v>46007</v>
      </c>
      <c r="J421" s="17"/>
      <c r="K421" s="47">
        <v>0.5</v>
      </c>
      <c r="L421" s="45">
        <v>0.6875</v>
      </c>
      <c r="M421" s="11">
        <f t="shared" si="6"/>
        <v>4.5</v>
      </c>
      <c r="N421" s="11" t="s">
        <v>0</v>
      </c>
      <c r="P421" s="4"/>
      <c r="Q421" s="4"/>
      <c r="R421" s="4"/>
      <c r="S421" s="4"/>
      <c r="T421" s="4"/>
      <c r="U421" s="4"/>
      <c r="V421" s="4"/>
      <c r="W421" s="4"/>
    </row>
    <row r="422" spans="1:23" s="32" customFormat="1" ht="14.4" hidden="1" customHeight="1" x14ac:dyDescent="0.3">
      <c r="A422" s="22" t="s">
        <v>19</v>
      </c>
      <c r="B422" s="21">
        <v>46007</v>
      </c>
      <c r="C422" s="22" t="s">
        <v>9</v>
      </c>
      <c r="D422" s="221" t="s">
        <v>32</v>
      </c>
      <c r="E422" s="24" t="s">
        <v>327</v>
      </c>
      <c r="F422" s="25" t="s">
        <v>359</v>
      </c>
      <c r="G422" s="223">
        <v>46006</v>
      </c>
      <c r="H422" s="223">
        <v>46007</v>
      </c>
      <c r="I422" s="223">
        <v>46007</v>
      </c>
      <c r="J422" s="21"/>
      <c r="K422" s="45">
        <v>0.3125</v>
      </c>
      <c r="L422" s="45">
        <v>0.60416666666666663</v>
      </c>
      <c r="M422" s="11">
        <f t="shared" si="6"/>
        <v>6.9999999999999991</v>
      </c>
      <c r="N422" s="233" t="s">
        <v>0</v>
      </c>
      <c r="P422" s="4"/>
      <c r="Q422" s="4"/>
      <c r="R422" s="4"/>
      <c r="S422" s="4"/>
      <c r="T422" s="4"/>
      <c r="U422" s="4"/>
      <c r="V422" s="4"/>
      <c r="W422" s="4"/>
    </row>
    <row r="423" spans="1:23" s="32" customFormat="1" ht="14.4" hidden="1" customHeight="1" x14ac:dyDescent="0.3">
      <c r="A423" s="22" t="s">
        <v>19</v>
      </c>
      <c r="B423" s="21">
        <v>46007</v>
      </c>
      <c r="C423" s="22" t="s">
        <v>208</v>
      </c>
      <c r="D423" s="221"/>
      <c r="E423" s="24" t="s">
        <v>328</v>
      </c>
      <c r="F423" s="25"/>
      <c r="G423" s="223"/>
      <c r="H423" s="223"/>
      <c r="I423" s="223"/>
      <c r="J423" s="21"/>
      <c r="K423" s="45">
        <v>0.3125</v>
      </c>
      <c r="L423" s="45">
        <v>0.60416666666666663</v>
      </c>
      <c r="M423" s="11">
        <f t="shared" si="6"/>
        <v>6.9999999999999991</v>
      </c>
      <c r="N423" s="233"/>
      <c r="P423" s="4"/>
      <c r="Q423" s="4"/>
      <c r="R423" s="4"/>
      <c r="S423" s="4"/>
      <c r="T423" s="4"/>
      <c r="U423" s="4"/>
      <c r="V423" s="4"/>
      <c r="W423" s="4"/>
    </row>
    <row r="424" spans="1:23" s="32" customFormat="1" ht="14.4" hidden="1" customHeight="1" x14ac:dyDescent="0.3">
      <c r="A424" s="22" t="s">
        <v>19</v>
      </c>
      <c r="B424" s="21">
        <v>46007</v>
      </c>
      <c r="C424" s="22" t="s">
        <v>9</v>
      </c>
      <c r="D424" s="216" t="s">
        <v>8</v>
      </c>
      <c r="E424" s="216" t="s">
        <v>361</v>
      </c>
      <c r="F424" s="26" t="s">
        <v>362</v>
      </c>
      <c r="G424" s="223">
        <v>46004</v>
      </c>
      <c r="H424" s="223">
        <v>46007</v>
      </c>
      <c r="I424" s="223">
        <v>46007</v>
      </c>
      <c r="J424" s="21"/>
      <c r="K424" s="45">
        <v>0.60416666666666663</v>
      </c>
      <c r="L424" s="45">
        <v>0.6875</v>
      </c>
      <c r="M424" s="11">
        <f t="shared" si="6"/>
        <v>2.0000000000000009</v>
      </c>
      <c r="N424" s="233" t="s">
        <v>0</v>
      </c>
      <c r="P424" s="4"/>
      <c r="Q424" s="4"/>
      <c r="R424" s="4"/>
      <c r="S424" s="4"/>
      <c r="T424" s="4"/>
      <c r="U424" s="4"/>
      <c r="V424" s="4"/>
      <c r="W424" s="4"/>
    </row>
    <row r="425" spans="1:23" s="32" customFormat="1" ht="14.4" hidden="1" customHeight="1" x14ac:dyDescent="0.3">
      <c r="A425" s="22" t="s">
        <v>19</v>
      </c>
      <c r="B425" s="21">
        <v>46007</v>
      </c>
      <c r="C425" s="22" t="s">
        <v>208</v>
      </c>
      <c r="D425" s="217"/>
      <c r="E425" s="217"/>
      <c r="F425" s="27"/>
      <c r="G425" s="223"/>
      <c r="H425" s="223"/>
      <c r="I425" s="223"/>
      <c r="J425" s="21"/>
      <c r="K425" s="45">
        <v>0.60416666666666663</v>
      </c>
      <c r="L425" s="45">
        <v>0.6875</v>
      </c>
      <c r="M425" s="11">
        <f t="shared" si="6"/>
        <v>2.0000000000000009</v>
      </c>
      <c r="N425" s="233"/>
      <c r="P425" s="4"/>
      <c r="Q425" s="4"/>
      <c r="R425" s="4"/>
      <c r="S425" s="4"/>
      <c r="T425" s="4"/>
      <c r="U425" s="4"/>
      <c r="V425" s="4"/>
      <c r="W425" s="4"/>
    </row>
    <row r="426" spans="1:23" s="32" customFormat="1" ht="14.4" hidden="1" customHeight="1" x14ac:dyDescent="0.3">
      <c r="A426" s="22" t="s">
        <v>20</v>
      </c>
      <c r="B426" s="21">
        <v>46007</v>
      </c>
      <c r="C426" s="22" t="s">
        <v>12</v>
      </c>
      <c r="D426" s="13" t="s">
        <v>27</v>
      </c>
      <c r="E426" s="13" t="s">
        <v>82</v>
      </c>
      <c r="F426" s="26" t="s">
        <v>82</v>
      </c>
      <c r="G426" s="21">
        <v>46007</v>
      </c>
      <c r="H426" s="21">
        <v>46007</v>
      </c>
      <c r="I426" s="21">
        <v>46007</v>
      </c>
      <c r="J426" s="21"/>
      <c r="K426" s="45">
        <v>0.3125</v>
      </c>
      <c r="L426" s="45">
        <v>0.6875</v>
      </c>
      <c r="M426" s="11">
        <f t="shared" si="6"/>
        <v>9</v>
      </c>
      <c r="N426" s="62" t="s">
        <v>0</v>
      </c>
      <c r="P426" s="4"/>
      <c r="Q426" s="4"/>
      <c r="R426" s="4"/>
      <c r="S426" s="4"/>
      <c r="T426" s="4"/>
      <c r="U426" s="4"/>
      <c r="V426" s="4"/>
      <c r="W426" s="4"/>
    </row>
    <row r="427" spans="1:23" s="32" customFormat="1" ht="14.4" hidden="1" customHeight="1" x14ac:dyDescent="0.3">
      <c r="A427" s="22" t="s">
        <v>20</v>
      </c>
      <c r="B427" s="21">
        <v>46007</v>
      </c>
      <c r="C427" s="69" t="s">
        <v>135</v>
      </c>
      <c r="D427" s="214" t="s">
        <v>44</v>
      </c>
      <c r="E427" s="214" t="s">
        <v>290</v>
      </c>
      <c r="F427" s="26" t="s">
        <v>356</v>
      </c>
      <c r="G427" s="219">
        <v>46006</v>
      </c>
      <c r="H427" s="219">
        <v>46016</v>
      </c>
      <c r="I427" s="223">
        <v>46007</v>
      </c>
      <c r="J427" s="21"/>
      <c r="K427" s="45">
        <v>0.3125</v>
      </c>
      <c r="L427" s="45">
        <v>0.6875</v>
      </c>
      <c r="M427" s="11">
        <f t="shared" si="6"/>
        <v>9</v>
      </c>
      <c r="N427" s="214" t="s">
        <v>0</v>
      </c>
      <c r="P427" s="4"/>
      <c r="Q427" s="4"/>
      <c r="R427" s="4"/>
      <c r="S427" s="4"/>
      <c r="T427" s="4"/>
      <c r="U427" s="4"/>
      <c r="V427" s="4"/>
      <c r="W427" s="4"/>
    </row>
    <row r="428" spans="1:23" s="32" customFormat="1" ht="14.4" hidden="1" customHeight="1" x14ac:dyDescent="0.3">
      <c r="A428" s="22" t="s">
        <v>20</v>
      </c>
      <c r="B428" s="21">
        <v>46007</v>
      </c>
      <c r="C428" s="69" t="s">
        <v>14</v>
      </c>
      <c r="D428" s="226"/>
      <c r="E428" s="226"/>
      <c r="F428" s="3"/>
      <c r="G428" s="229"/>
      <c r="H428" s="229"/>
      <c r="I428" s="223"/>
      <c r="J428" s="17"/>
      <c r="K428" s="47">
        <v>0.3125</v>
      </c>
      <c r="L428" s="47">
        <v>0.6875</v>
      </c>
      <c r="M428" s="11">
        <f t="shared" si="6"/>
        <v>9</v>
      </c>
      <c r="N428" s="226"/>
      <c r="P428" s="4"/>
      <c r="Q428" s="4"/>
      <c r="R428" s="4"/>
      <c r="S428" s="4"/>
      <c r="T428" s="4"/>
      <c r="U428" s="4"/>
      <c r="V428" s="4"/>
      <c r="W428" s="4"/>
    </row>
    <row r="429" spans="1:23" s="32" customFormat="1" ht="14.4" hidden="1" customHeight="1" x14ac:dyDescent="0.3">
      <c r="A429" s="22" t="s">
        <v>20</v>
      </c>
      <c r="B429" s="21">
        <v>46007</v>
      </c>
      <c r="C429" s="69" t="s">
        <v>13</v>
      </c>
      <c r="D429" s="233" t="s">
        <v>44</v>
      </c>
      <c r="E429" s="238" t="s">
        <v>331</v>
      </c>
      <c r="F429" s="25" t="s">
        <v>332</v>
      </c>
      <c r="G429" s="223">
        <v>46006</v>
      </c>
      <c r="H429" s="223">
        <v>46021</v>
      </c>
      <c r="I429" s="223">
        <v>46007</v>
      </c>
      <c r="J429" s="21"/>
      <c r="K429" s="45">
        <v>0.33333333333333331</v>
      </c>
      <c r="L429" s="48">
        <v>0.70833333333333337</v>
      </c>
      <c r="M429" s="11">
        <f t="shared" si="6"/>
        <v>9.0000000000000018</v>
      </c>
      <c r="N429" s="214" t="s">
        <v>0</v>
      </c>
      <c r="P429" s="4"/>
      <c r="Q429" s="4"/>
      <c r="R429" s="4"/>
      <c r="S429" s="4"/>
      <c r="T429" s="4"/>
      <c r="U429" s="4"/>
      <c r="V429" s="4"/>
      <c r="W429" s="4"/>
    </row>
    <row r="430" spans="1:23" s="32" customFormat="1" ht="14.4" hidden="1" customHeight="1" x14ac:dyDescent="0.3">
      <c r="A430" s="22" t="s">
        <v>20</v>
      </c>
      <c r="B430" s="21">
        <v>46007</v>
      </c>
      <c r="C430" s="69" t="s">
        <v>33</v>
      </c>
      <c r="D430" s="233"/>
      <c r="E430" s="233"/>
      <c r="F430" s="25"/>
      <c r="G430" s="223"/>
      <c r="H430" s="223"/>
      <c r="I430" s="223"/>
      <c r="J430" s="21"/>
      <c r="K430" s="45">
        <v>0.33333333333333331</v>
      </c>
      <c r="L430" s="48">
        <v>0.70833333333333337</v>
      </c>
      <c r="M430" s="11">
        <f t="shared" si="6"/>
        <v>9.0000000000000018</v>
      </c>
      <c r="N430" s="226"/>
      <c r="P430" s="4"/>
      <c r="Q430" s="4"/>
      <c r="R430" s="4"/>
      <c r="S430" s="4"/>
      <c r="T430" s="4"/>
      <c r="U430" s="4"/>
      <c r="V430" s="4"/>
      <c r="W430" s="4"/>
    </row>
    <row r="431" spans="1:23" s="32" customFormat="1" ht="14.4" hidden="1" customHeight="1" x14ac:dyDescent="0.3">
      <c r="A431" s="22" t="s">
        <v>20</v>
      </c>
      <c r="B431" s="21">
        <v>46007</v>
      </c>
      <c r="C431" s="22" t="s">
        <v>28</v>
      </c>
      <c r="D431" s="13" t="s">
        <v>65</v>
      </c>
      <c r="E431" s="24" t="s">
        <v>278</v>
      </c>
      <c r="F431" s="26" t="s">
        <v>352</v>
      </c>
      <c r="G431" s="17">
        <v>46006</v>
      </c>
      <c r="H431" s="17">
        <v>46007</v>
      </c>
      <c r="I431" s="17">
        <v>46007</v>
      </c>
      <c r="J431" s="101"/>
      <c r="K431" s="44">
        <v>0.33333333333333331</v>
      </c>
      <c r="L431" s="48">
        <v>0.70833333333333337</v>
      </c>
      <c r="M431" s="11">
        <f t="shared" si="6"/>
        <v>9.0000000000000018</v>
      </c>
      <c r="N431" s="11" t="s">
        <v>0</v>
      </c>
      <c r="P431" s="4"/>
      <c r="Q431" s="4"/>
      <c r="R431" s="4"/>
      <c r="S431" s="4"/>
      <c r="T431" s="4"/>
      <c r="U431" s="4"/>
      <c r="V431" s="4"/>
      <c r="W431" s="4"/>
    </row>
    <row r="432" spans="1:23" s="32" customFormat="1" ht="14.4" hidden="1" customHeight="1" x14ac:dyDescent="0.3">
      <c r="A432" s="22" t="s">
        <v>20</v>
      </c>
      <c r="B432" s="21">
        <v>46007</v>
      </c>
      <c r="C432" s="22" t="s">
        <v>15</v>
      </c>
      <c r="D432" s="214" t="s">
        <v>65</v>
      </c>
      <c r="E432" s="216" t="s">
        <v>296</v>
      </c>
      <c r="F432" s="26" t="s">
        <v>353</v>
      </c>
      <c r="G432" s="219">
        <v>46003</v>
      </c>
      <c r="H432" s="219">
        <v>46007</v>
      </c>
      <c r="I432" s="219"/>
      <c r="J432" s="101"/>
      <c r="K432" s="44">
        <v>0.33333333333333331</v>
      </c>
      <c r="L432" s="45">
        <v>0.79166666666666663</v>
      </c>
      <c r="M432" s="11">
        <f t="shared" si="6"/>
        <v>11</v>
      </c>
      <c r="N432" s="214" t="s">
        <v>1</v>
      </c>
      <c r="P432" s="4"/>
      <c r="Q432" s="4"/>
      <c r="R432" s="4"/>
      <c r="S432" s="4"/>
      <c r="T432" s="4"/>
      <c r="U432" s="4"/>
      <c r="V432" s="4"/>
      <c r="W432" s="4"/>
    </row>
    <row r="433" spans="1:23" s="32" customFormat="1" ht="14.4" hidden="1" customHeight="1" x14ac:dyDescent="0.3">
      <c r="A433" s="22" t="s">
        <v>20</v>
      </c>
      <c r="B433" s="21">
        <v>46007</v>
      </c>
      <c r="C433" s="22" t="s">
        <v>31</v>
      </c>
      <c r="D433" s="215"/>
      <c r="E433" s="217"/>
      <c r="F433" s="27"/>
      <c r="G433" s="220"/>
      <c r="H433" s="220"/>
      <c r="I433" s="220"/>
      <c r="J433" s="19"/>
      <c r="K433" s="45">
        <v>0.35416666666666669</v>
      </c>
      <c r="L433" s="45">
        <v>0.39583333333333331</v>
      </c>
      <c r="M433" s="11">
        <f t="shared" si="6"/>
        <v>0.99999999999999911</v>
      </c>
      <c r="N433" s="215"/>
      <c r="P433" s="4"/>
      <c r="Q433" s="4"/>
      <c r="R433" s="4"/>
      <c r="S433" s="4"/>
      <c r="T433" s="4"/>
      <c r="U433" s="4"/>
      <c r="V433" s="4"/>
      <c r="W433" s="4"/>
    </row>
    <row r="434" spans="1:23" s="32" customFormat="1" ht="14.4" hidden="1" customHeight="1" x14ac:dyDescent="0.3">
      <c r="A434" s="22" t="s">
        <v>20</v>
      </c>
      <c r="B434" s="21">
        <v>46007</v>
      </c>
      <c r="C434" s="22" t="s">
        <v>17</v>
      </c>
      <c r="D434" s="216" t="s">
        <v>65</v>
      </c>
      <c r="E434" s="216" t="s">
        <v>337</v>
      </c>
      <c r="F434" s="26" t="s">
        <v>338</v>
      </c>
      <c r="G434" s="219">
        <v>46004</v>
      </c>
      <c r="H434" s="219">
        <v>46007</v>
      </c>
      <c r="I434" s="219">
        <v>46007</v>
      </c>
      <c r="J434" s="101"/>
      <c r="K434" s="44">
        <v>0.3125</v>
      </c>
      <c r="L434" s="45">
        <v>0.77083333333333337</v>
      </c>
      <c r="M434" s="11">
        <f t="shared" si="6"/>
        <v>11</v>
      </c>
      <c r="N434" s="214" t="s">
        <v>0</v>
      </c>
      <c r="P434" s="4"/>
      <c r="Q434" s="4"/>
      <c r="R434" s="4"/>
      <c r="S434" s="4"/>
      <c r="T434" s="4"/>
      <c r="U434" s="4"/>
      <c r="V434" s="4"/>
      <c r="W434" s="4"/>
    </row>
    <row r="435" spans="1:23" s="32" customFormat="1" ht="14.4" hidden="1" customHeight="1" x14ac:dyDescent="0.3">
      <c r="A435" s="22" t="s">
        <v>20</v>
      </c>
      <c r="B435" s="21">
        <v>46007</v>
      </c>
      <c r="C435" s="22" t="s">
        <v>31</v>
      </c>
      <c r="D435" s="217"/>
      <c r="E435" s="217"/>
      <c r="F435" s="27"/>
      <c r="G435" s="220"/>
      <c r="H435" s="220"/>
      <c r="I435" s="220"/>
      <c r="J435" s="102"/>
      <c r="K435" s="44">
        <v>0.39583333333333331</v>
      </c>
      <c r="L435" s="45">
        <v>0.4375</v>
      </c>
      <c r="M435" s="11">
        <f t="shared" si="6"/>
        <v>1.0000000000000004</v>
      </c>
      <c r="N435" s="215"/>
      <c r="P435" s="4"/>
      <c r="Q435" s="4"/>
      <c r="R435" s="4"/>
      <c r="S435" s="4"/>
      <c r="T435" s="4"/>
      <c r="U435" s="4"/>
      <c r="V435" s="4"/>
      <c r="W435" s="4"/>
    </row>
    <row r="436" spans="1:23" s="32" customFormat="1" ht="14.4" hidden="1" customHeight="1" x14ac:dyDescent="0.3">
      <c r="A436" s="22" t="s">
        <v>20</v>
      </c>
      <c r="B436" s="21">
        <v>46007</v>
      </c>
      <c r="C436" s="22" t="s">
        <v>47</v>
      </c>
      <c r="D436" s="216" t="s">
        <v>65</v>
      </c>
      <c r="E436" s="216" t="s">
        <v>306</v>
      </c>
      <c r="F436" s="26" t="s">
        <v>115</v>
      </c>
      <c r="G436" s="219">
        <v>46003</v>
      </c>
      <c r="H436" s="219">
        <v>46007</v>
      </c>
      <c r="I436" s="219">
        <v>46007</v>
      </c>
      <c r="J436" s="101"/>
      <c r="K436" s="44">
        <v>0.33333333333333331</v>
      </c>
      <c r="L436" s="45">
        <v>0.79166666666666663</v>
      </c>
      <c r="M436" s="11">
        <f t="shared" si="6"/>
        <v>11</v>
      </c>
      <c r="N436" s="214" t="s">
        <v>0</v>
      </c>
      <c r="P436" s="4"/>
      <c r="Q436" s="4"/>
      <c r="R436" s="4"/>
      <c r="S436" s="4"/>
      <c r="T436" s="4"/>
      <c r="U436" s="4"/>
      <c r="V436" s="4"/>
      <c r="W436" s="4"/>
    </row>
    <row r="437" spans="1:23" s="32" customFormat="1" ht="14.4" hidden="1" customHeight="1" x14ac:dyDescent="0.3">
      <c r="A437" s="22" t="s">
        <v>20</v>
      </c>
      <c r="B437" s="21">
        <v>46007</v>
      </c>
      <c r="C437" s="22" t="s">
        <v>31</v>
      </c>
      <c r="D437" s="217"/>
      <c r="E437" s="217"/>
      <c r="F437" s="27"/>
      <c r="G437" s="220"/>
      <c r="H437" s="220"/>
      <c r="I437" s="220"/>
      <c r="J437" s="19"/>
      <c r="K437" s="45">
        <v>0.4375</v>
      </c>
      <c r="L437" s="45">
        <v>0.45833333333333331</v>
      </c>
      <c r="M437" s="11">
        <f t="shared" si="6"/>
        <v>0.49999999999999956</v>
      </c>
      <c r="N437" s="215"/>
      <c r="P437" s="4"/>
      <c r="Q437" s="4"/>
      <c r="R437" s="4"/>
      <c r="S437" s="4"/>
      <c r="T437" s="4"/>
      <c r="U437" s="4"/>
      <c r="V437" s="4"/>
      <c r="W437" s="4"/>
    </row>
    <row r="438" spans="1:23" s="32" customFormat="1" ht="14.4" hidden="1" customHeight="1" x14ac:dyDescent="0.3">
      <c r="A438" s="22" t="s">
        <v>20</v>
      </c>
      <c r="B438" s="21">
        <v>46007</v>
      </c>
      <c r="C438" s="22" t="s">
        <v>167</v>
      </c>
      <c r="D438" s="216" t="s">
        <v>65</v>
      </c>
      <c r="E438" s="216" t="s">
        <v>354</v>
      </c>
      <c r="F438" s="26" t="s">
        <v>355</v>
      </c>
      <c r="G438" s="219">
        <v>46004</v>
      </c>
      <c r="H438" s="219">
        <v>46007</v>
      </c>
      <c r="I438" s="219">
        <v>46007</v>
      </c>
      <c r="J438" s="101"/>
      <c r="K438" s="44">
        <v>0.3125</v>
      </c>
      <c r="L438" s="45">
        <v>0.77083333333333337</v>
      </c>
      <c r="M438" s="11">
        <f t="shared" si="6"/>
        <v>11</v>
      </c>
      <c r="N438" s="214" t="s">
        <v>0</v>
      </c>
      <c r="P438" s="4"/>
      <c r="Q438" s="4"/>
      <c r="R438" s="4"/>
      <c r="S438" s="4"/>
      <c r="T438" s="4"/>
      <c r="U438" s="4"/>
      <c r="V438" s="4"/>
      <c r="W438" s="4"/>
    </row>
    <row r="439" spans="1:23" s="32" customFormat="1" ht="14.4" hidden="1" customHeight="1" x14ac:dyDescent="0.3">
      <c r="A439" s="22" t="s">
        <v>20</v>
      </c>
      <c r="B439" s="21">
        <v>46007</v>
      </c>
      <c r="C439" s="22" t="s">
        <v>31</v>
      </c>
      <c r="D439" s="217"/>
      <c r="E439" s="217"/>
      <c r="F439" s="27"/>
      <c r="G439" s="220"/>
      <c r="H439" s="220"/>
      <c r="I439" s="220"/>
      <c r="J439" s="19"/>
      <c r="K439" s="45">
        <v>0.45833333333333331</v>
      </c>
      <c r="L439" s="45">
        <v>0.5</v>
      </c>
      <c r="M439" s="11">
        <f t="shared" si="6"/>
        <v>1.0000000000000004</v>
      </c>
      <c r="N439" s="215"/>
      <c r="P439" s="4"/>
      <c r="Q439" s="4"/>
      <c r="R439" s="4"/>
      <c r="S439" s="4"/>
      <c r="T439" s="4"/>
      <c r="U439" s="4"/>
      <c r="V439" s="4"/>
      <c r="W439" s="4"/>
    </row>
    <row r="440" spans="1:23" s="32" customFormat="1" ht="14.4" hidden="1" customHeight="1" x14ac:dyDescent="0.3">
      <c r="A440" s="22" t="s">
        <v>20</v>
      </c>
      <c r="B440" s="21">
        <v>46007</v>
      </c>
      <c r="C440" s="22" t="s">
        <v>16</v>
      </c>
      <c r="D440" s="216" t="s">
        <v>65</v>
      </c>
      <c r="E440" s="216" t="s">
        <v>306</v>
      </c>
      <c r="F440" s="26" t="s">
        <v>191</v>
      </c>
      <c r="G440" s="219">
        <v>46004</v>
      </c>
      <c r="H440" s="219">
        <v>46007</v>
      </c>
      <c r="I440" s="219">
        <v>46007</v>
      </c>
      <c r="J440" s="17"/>
      <c r="K440" s="47">
        <v>0.3125</v>
      </c>
      <c r="L440" s="45">
        <v>0.77083333333333337</v>
      </c>
      <c r="M440" s="11">
        <f t="shared" si="6"/>
        <v>11</v>
      </c>
      <c r="N440" s="214" t="s">
        <v>0</v>
      </c>
      <c r="P440" s="4"/>
      <c r="Q440" s="4"/>
      <c r="R440" s="4"/>
      <c r="S440" s="4"/>
      <c r="T440" s="4"/>
      <c r="U440" s="4"/>
      <c r="V440" s="4"/>
      <c r="W440" s="4"/>
    </row>
    <row r="441" spans="1:23" s="32" customFormat="1" ht="14.4" hidden="1" customHeight="1" x14ac:dyDescent="0.3">
      <c r="A441" s="22" t="s">
        <v>20</v>
      </c>
      <c r="B441" s="21">
        <v>46007</v>
      </c>
      <c r="C441" s="22" t="s">
        <v>31</v>
      </c>
      <c r="D441" s="217"/>
      <c r="E441" s="217"/>
      <c r="F441" s="27"/>
      <c r="G441" s="220"/>
      <c r="H441" s="220"/>
      <c r="I441" s="220"/>
      <c r="J441" s="19"/>
      <c r="K441" s="45">
        <v>0.4375</v>
      </c>
      <c r="L441" s="45">
        <v>0.45833333333333331</v>
      </c>
      <c r="M441" s="11">
        <f t="shared" si="6"/>
        <v>0.49999999999999956</v>
      </c>
      <c r="N441" s="215"/>
      <c r="P441" s="4"/>
      <c r="Q441" s="4"/>
      <c r="R441" s="4"/>
      <c r="S441" s="4"/>
      <c r="T441" s="4"/>
      <c r="U441" s="4"/>
      <c r="V441" s="4"/>
      <c r="W441" s="4"/>
    </row>
    <row r="442" spans="1:23" s="32" customFormat="1" ht="14.4" hidden="1" customHeight="1" x14ac:dyDescent="0.3">
      <c r="A442" s="22" t="s">
        <v>20</v>
      </c>
      <c r="B442" s="21">
        <v>46007</v>
      </c>
      <c r="C442" s="22" t="s">
        <v>31</v>
      </c>
      <c r="D442" s="22" t="s">
        <v>65</v>
      </c>
      <c r="E442" s="69" t="s">
        <v>223</v>
      </c>
      <c r="F442" s="25" t="s">
        <v>363</v>
      </c>
      <c r="G442" s="30">
        <v>46007</v>
      </c>
      <c r="H442" s="30">
        <v>46007</v>
      </c>
      <c r="I442" s="30"/>
      <c r="J442" s="30"/>
      <c r="K442" s="45">
        <v>0.41666666666666669</v>
      </c>
      <c r="L442" s="48">
        <v>0.5</v>
      </c>
      <c r="M442" s="11">
        <f t="shared" si="6"/>
        <v>1.9999999999999996</v>
      </c>
      <c r="N442" s="11" t="s">
        <v>0</v>
      </c>
      <c r="P442" s="4"/>
      <c r="Q442" s="4"/>
      <c r="R442" s="4"/>
      <c r="S442" s="4"/>
      <c r="T442" s="4"/>
      <c r="U442" s="4"/>
      <c r="V442" s="4"/>
      <c r="W442" s="4"/>
    </row>
    <row r="443" spans="1:23" s="32" customFormat="1" ht="14.4" hidden="1" customHeight="1" x14ac:dyDescent="0.3">
      <c r="A443" s="22" t="s">
        <v>21</v>
      </c>
      <c r="B443" s="21">
        <v>46008</v>
      </c>
      <c r="C443" s="22" t="s">
        <v>26</v>
      </c>
      <c r="D443" s="24" t="s">
        <v>24</v>
      </c>
      <c r="E443" s="24" t="s">
        <v>369</v>
      </c>
      <c r="F443" s="27" t="s">
        <v>383</v>
      </c>
      <c r="G443" s="21">
        <v>46008</v>
      </c>
      <c r="H443" s="21">
        <v>46008</v>
      </c>
      <c r="I443" s="21">
        <v>46008</v>
      </c>
      <c r="J443" s="21"/>
      <c r="K443" s="45">
        <v>0.33333333333333331</v>
      </c>
      <c r="L443" s="45">
        <v>0.5</v>
      </c>
      <c r="M443" s="11">
        <f t="shared" si="6"/>
        <v>4</v>
      </c>
      <c r="N443" s="11" t="s">
        <v>0</v>
      </c>
      <c r="P443" s="4"/>
      <c r="Q443" s="4"/>
      <c r="R443" s="4"/>
      <c r="S443" s="4"/>
      <c r="T443" s="4"/>
      <c r="U443" s="4"/>
      <c r="V443" s="4"/>
      <c r="W443" s="4"/>
    </row>
    <row r="444" spans="1:23" s="32" customFormat="1" ht="14.4" hidden="1" customHeight="1" x14ac:dyDescent="0.3">
      <c r="A444" s="22" t="s">
        <v>21</v>
      </c>
      <c r="B444" s="21">
        <v>46008</v>
      </c>
      <c r="C444" s="22" t="s">
        <v>26</v>
      </c>
      <c r="D444" s="24" t="s">
        <v>24</v>
      </c>
      <c r="E444" s="24" t="s">
        <v>345</v>
      </c>
      <c r="F444" s="27" t="s">
        <v>349</v>
      </c>
      <c r="G444" s="21">
        <v>46008</v>
      </c>
      <c r="H444" s="21">
        <v>46008</v>
      </c>
      <c r="I444" s="21">
        <v>46008</v>
      </c>
      <c r="J444" s="21"/>
      <c r="K444" s="45">
        <v>0.54166666666666663</v>
      </c>
      <c r="L444" s="45">
        <v>0.70833333333333337</v>
      </c>
      <c r="M444" s="11">
        <f t="shared" si="6"/>
        <v>4.0000000000000018</v>
      </c>
      <c r="N444" s="11" t="s">
        <v>0</v>
      </c>
      <c r="P444" s="4"/>
      <c r="Q444" s="4"/>
      <c r="R444" s="4"/>
      <c r="S444" s="4"/>
      <c r="T444" s="4"/>
      <c r="U444" s="4"/>
      <c r="V444" s="4"/>
      <c r="W444" s="4"/>
    </row>
    <row r="445" spans="1:23" s="32" customFormat="1" ht="14.4" hidden="1" customHeight="1" x14ac:dyDescent="0.3">
      <c r="A445" s="22" t="s">
        <v>21</v>
      </c>
      <c r="B445" s="21">
        <v>46008</v>
      </c>
      <c r="C445" s="22" t="s">
        <v>50</v>
      </c>
      <c r="D445" s="24" t="s">
        <v>24</v>
      </c>
      <c r="E445" s="13" t="s">
        <v>384</v>
      </c>
      <c r="F445" s="3" t="s">
        <v>385</v>
      </c>
      <c r="G445" s="21">
        <v>46008</v>
      </c>
      <c r="H445" s="21">
        <v>46008</v>
      </c>
      <c r="I445" s="21">
        <v>46008</v>
      </c>
      <c r="J445" s="21"/>
      <c r="K445" s="45">
        <v>0.33333333333333331</v>
      </c>
      <c r="L445" s="45">
        <v>0.70833333333333337</v>
      </c>
      <c r="M445" s="11">
        <f t="shared" si="6"/>
        <v>9.0000000000000018</v>
      </c>
      <c r="N445" s="11" t="s">
        <v>0</v>
      </c>
      <c r="P445" s="4"/>
      <c r="Q445" s="4"/>
      <c r="R445" s="4"/>
      <c r="S445" s="4"/>
      <c r="T445" s="4"/>
      <c r="U445" s="4"/>
      <c r="V445" s="4"/>
      <c r="W445" s="4"/>
    </row>
    <row r="446" spans="1:23" s="32" customFormat="1" ht="14.4" hidden="1" customHeight="1" x14ac:dyDescent="0.3">
      <c r="A446" s="22" t="s">
        <v>21</v>
      </c>
      <c r="B446" s="21">
        <v>46008</v>
      </c>
      <c r="C446" s="22" t="s">
        <v>51</v>
      </c>
      <c r="D446" s="24" t="s">
        <v>24</v>
      </c>
      <c r="E446" s="13" t="s">
        <v>384</v>
      </c>
      <c r="F446" s="3" t="s">
        <v>385</v>
      </c>
      <c r="G446" s="21">
        <v>46008</v>
      </c>
      <c r="H446" s="21">
        <v>46008</v>
      </c>
      <c r="I446" s="21">
        <v>46008</v>
      </c>
      <c r="J446" s="21"/>
      <c r="K446" s="45">
        <v>0.3125</v>
      </c>
      <c r="L446" s="45">
        <v>0.6875</v>
      </c>
      <c r="M446" s="11">
        <f t="shared" si="6"/>
        <v>9</v>
      </c>
      <c r="N446" s="11" t="s">
        <v>0</v>
      </c>
      <c r="P446" s="4"/>
      <c r="Q446" s="4"/>
      <c r="R446" s="4"/>
      <c r="S446" s="4"/>
      <c r="T446" s="4"/>
      <c r="U446" s="4"/>
      <c r="V446" s="4"/>
      <c r="W446" s="4"/>
    </row>
    <row r="447" spans="1:23" s="32" customFormat="1" ht="14.4" hidden="1" customHeight="1" x14ac:dyDescent="0.3">
      <c r="A447" s="22" t="s">
        <v>21</v>
      </c>
      <c r="B447" s="21">
        <v>46008</v>
      </c>
      <c r="C447" s="22" t="s">
        <v>18</v>
      </c>
      <c r="D447" s="214" t="s">
        <v>24</v>
      </c>
      <c r="E447" s="214" t="s">
        <v>370</v>
      </c>
      <c r="F447" s="28" t="s">
        <v>371</v>
      </c>
      <c r="G447" s="219">
        <v>46007</v>
      </c>
      <c r="H447" s="219">
        <v>46009</v>
      </c>
      <c r="I447" s="219">
        <v>46008</v>
      </c>
      <c r="J447" s="17"/>
      <c r="K447" s="45">
        <v>0.3125</v>
      </c>
      <c r="L447" s="45">
        <v>0.70833333333333337</v>
      </c>
      <c r="M447" s="11">
        <f t="shared" si="6"/>
        <v>9.5</v>
      </c>
      <c r="N447" s="214" t="s">
        <v>0</v>
      </c>
      <c r="P447" s="4"/>
      <c r="Q447" s="4"/>
      <c r="R447" s="4"/>
      <c r="S447" s="4"/>
      <c r="T447" s="4"/>
      <c r="U447" s="4"/>
      <c r="V447" s="4"/>
      <c r="W447" s="4"/>
    </row>
    <row r="448" spans="1:23" s="32" customFormat="1" ht="14.4" hidden="1" customHeight="1" x14ac:dyDescent="0.3">
      <c r="A448" s="22" t="s">
        <v>21</v>
      </c>
      <c r="B448" s="21">
        <v>46008</v>
      </c>
      <c r="C448" s="22" t="s">
        <v>25</v>
      </c>
      <c r="D448" s="226"/>
      <c r="E448" s="226"/>
      <c r="F448" s="73"/>
      <c r="G448" s="229"/>
      <c r="H448" s="229"/>
      <c r="I448" s="229"/>
      <c r="J448" s="23"/>
      <c r="K448" s="47">
        <v>0.3125</v>
      </c>
      <c r="L448" s="47">
        <v>0.70833333333333337</v>
      </c>
      <c r="M448" s="11">
        <f t="shared" si="6"/>
        <v>9.5</v>
      </c>
      <c r="N448" s="226"/>
      <c r="P448" s="4"/>
      <c r="Q448" s="4"/>
      <c r="R448" s="4"/>
      <c r="S448" s="4"/>
      <c r="T448" s="4"/>
      <c r="U448" s="4"/>
      <c r="V448" s="4"/>
      <c r="W448" s="4"/>
    </row>
    <row r="449" spans="1:23" s="32" customFormat="1" ht="14.4" hidden="1" customHeight="1" x14ac:dyDescent="0.3">
      <c r="A449" s="22" t="s">
        <v>21</v>
      </c>
      <c r="B449" s="21">
        <v>46008</v>
      </c>
      <c r="C449" s="22" t="s">
        <v>274</v>
      </c>
      <c r="D449" s="216" t="s">
        <v>8</v>
      </c>
      <c r="E449" s="216" t="s">
        <v>287</v>
      </c>
      <c r="F449" s="28" t="s">
        <v>346</v>
      </c>
      <c r="G449" s="219">
        <v>46008</v>
      </c>
      <c r="H449" s="219">
        <v>46008</v>
      </c>
      <c r="I449" s="21"/>
      <c r="J449" s="21"/>
      <c r="K449" s="45">
        <v>0.3125</v>
      </c>
      <c r="L449" s="45">
        <v>0.6875</v>
      </c>
      <c r="M449" s="11">
        <f t="shared" si="6"/>
        <v>9</v>
      </c>
      <c r="N449" s="214" t="s">
        <v>1</v>
      </c>
      <c r="P449" s="4"/>
      <c r="Q449" s="4"/>
      <c r="R449" s="4"/>
      <c r="S449" s="4"/>
      <c r="T449" s="4"/>
      <c r="U449" s="4"/>
      <c r="V449" s="4"/>
      <c r="W449" s="4"/>
    </row>
    <row r="450" spans="1:23" s="32" customFormat="1" ht="14.4" hidden="1" customHeight="1" x14ac:dyDescent="0.3">
      <c r="A450" s="22" t="s">
        <v>21</v>
      </c>
      <c r="B450" s="21">
        <v>46008</v>
      </c>
      <c r="C450" s="22" t="s">
        <v>37</v>
      </c>
      <c r="D450" s="217"/>
      <c r="E450" s="217"/>
      <c r="F450" s="29"/>
      <c r="G450" s="220"/>
      <c r="H450" s="220"/>
      <c r="I450" s="21"/>
      <c r="J450" s="21"/>
      <c r="K450" s="45">
        <v>0.3125</v>
      </c>
      <c r="L450" s="45">
        <v>0.6875</v>
      </c>
      <c r="M450" s="11">
        <f t="shared" si="6"/>
        <v>9</v>
      </c>
      <c r="N450" s="215"/>
      <c r="P450" s="4"/>
      <c r="Q450" s="4"/>
      <c r="R450" s="4"/>
      <c r="S450" s="4"/>
      <c r="T450" s="4"/>
      <c r="U450" s="4"/>
      <c r="V450" s="4"/>
      <c r="W450" s="4"/>
    </row>
    <row r="451" spans="1:23" s="32" customFormat="1" ht="14.4" hidden="1" customHeight="1" x14ac:dyDescent="0.3">
      <c r="A451" s="22" t="s">
        <v>21</v>
      </c>
      <c r="B451" s="21">
        <v>46008</v>
      </c>
      <c r="C451" s="22" t="s">
        <v>22</v>
      </c>
      <c r="D451" s="22" t="s">
        <v>8</v>
      </c>
      <c r="E451" s="14" t="s">
        <v>340</v>
      </c>
      <c r="F451" s="27" t="s">
        <v>372</v>
      </c>
      <c r="G451" s="19">
        <v>46008</v>
      </c>
      <c r="H451" s="19">
        <v>46010</v>
      </c>
      <c r="I451" s="19"/>
      <c r="J451" s="19"/>
      <c r="K451" s="45">
        <v>0.3125</v>
      </c>
      <c r="L451" s="45">
        <v>0.6875</v>
      </c>
      <c r="M451" s="11">
        <f t="shared" ref="M451:M514" si="7">MOD(L451-K451,1)*24</f>
        <v>9</v>
      </c>
      <c r="N451" s="11" t="s">
        <v>1</v>
      </c>
      <c r="P451" s="4"/>
      <c r="Q451" s="4"/>
      <c r="R451" s="4"/>
      <c r="S451" s="4"/>
      <c r="T451" s="4"/>
      <c r="U451" s="4"/>
      <c r="V451" s="4"/>
      <c r="W451" s="4"/>
    </row>
    <row r="452" spans="1:23" s="32" customFormat="1" ht="14.4" hidden="1" customHeight="1" x14ac:dyDescent="0.3">
      <c r="A452" s="22" t="s">
        <v>21</v>
      </c>
      <c r="B452" s="21">
        <v>46008</v>
      </c>
      <c r="C452" s="22" t="s">
        <v>55</v>
      </c>
      <c r="D452" s="233" t="s">
        <v>43</v>
      </c>
      <c r="E452" s="233" t="s">
        <v>373</v>
      </c>
      <c r="F452" s="31" t="s">
        <v>93</v>
      </c>
      <c r="G452" s="219">
        <v>46008</v>
      </c>
      <c r="H452" s="219">
        <v>46009</v>
      </c>
      <c r="I452" s="219"/>
      <c r="J452" s="17"/>
      <c r="K452" s="45">
        <v>0.3125</v>
      </c>
      <c r="L452" s="45">
        <v>0.6875</v>
      </c>
      <c r="M452" s="11">
        <f t="shared" si="7"/>
        <v>9</v>
      </c>
      <c r="N452" s="214" t="s">
        <v>1</v>
      </c>
      <c r="P452" s="4"/>
      <c r="Q452" s="4"/>
      <c r="R452" s="4"/>
      <c r="S452" s="4"/>
      <c r="T452" s="4"/>
      <c r="U452" s="4"/>
      <c r="V452" s="4"/>
      <c r="W452" s="4"/>
    </row>
    <row r="453" spans="1:23" s="32" customFormat="1" ht="14.4" hidden="1" customHeight="1" x14ac:dyDescent="0.3">
      <c r="A453" s="22" t="s">
        <v>21</v>
      </c>
      <c r="B453" s="21">
        <v>46008</v>
      </c>
      <c r="C453" s="22" t="s">
        <v>320</v>
      </c>
      <c r="D453" s="233"/>
      <c r="E453" s="233"/>
      <c r="F453" s="31"/>
      <c r="G453" s="220"/>
      <c r="H453" s="220"/>
      <c r="I453" s="220"/>
      <c r="J453" s="19"/>
      <c r="K453" s="45">
        <v>0.3125</v>
      </c>
      <c r="L453" s="45">
        <v>0.6875</v>
      </c>
      <c r="M453" s="11">
        <f t="shared" si="7"/>
        <v>9</v>
      </c>
      <c r="N453" s="215"/>
      <c r="P453" s="4"/>
      <c r="Q453" s="4"/>
      <c r="R453" s="4"/>
      <c r="S453" s="4"/>
      <c r="T453" s="4"/>
      <c r="U453" s="4"/>
      <c r="V453" s="4"/>
      <c r="W453" s="4"/>
    </row>
    <row r="454" spans="1:23" s="32" customFormat="1" ht="14.4" hidden="1" customHeight="1" x14ac:dyDescent="0.3">
      <c r="A454" s="22" t="s">
        <v>21</v>
      </c>
      <c r="B454" s="21">
        <v>46008</v>
      </c>
      <c r="C454" s="22" t="s">
        <v>118</v>
      </c>
      <c r="D454" s="24" t="s">
        <v>24</v>
      </c>
      <c r="E454" s="12" t="s">
        <v>200</v>
      </c>
      <c r="F454" s="29" t="s">
        <v>388</v>
      </c>
      <c r="G454" s="19">
        <v>46008</v>
      </c>
      <c r="H454" s="19">
        <v>46008</v>
      </c>
      <c r="I454" s="19">
        <v>46008</v>
      </c>
      <c r="J454" s="23"/>
      <c r="K454" s="47">
        <v>0.33333333333333331</v>
      </c>
      <c r="L454" s="45">
        <v>0.5</v>
      </c>
      <c r="M454" s="11">
        <f t="shared" si="7"/>
        <v>4</v>
      </c>
      <c r="N454" s="11" t="s">
        <v>0</v>
      </c>
      <c r="P454" s="4"/>
      <c r="Q454" s="4"/>
      <c r="R454" s="4"/>
      <c r="S454" s="4"/>
      <c r="T454" s="4"/>
      <c r="U454" s="4"/>
      <c r="V454" s="4"/>
      <c r="W454" s="4"/>
    </row>
    <row r="455" spans="1:23" s="32" customFormat="1" ht="14.4" hidden="1" customHeight="1" x14ac:dyDescent="0.3">
      <c r="A455" s="22" t="s">
        <v>21</v>
      </c>
      <c r="B455" s="21">
        <v>46008</v>
      </c>
      <c r="C455" s="22" t="s">
        <v>118</v>
      </c>
      <c r="D455" s="24" t="s">
        <v>24</v>
      </c>
      <c r="E455" s="12" t="s">
        <v>389</v>
      </c>
      <c r="F455" s="29" t="s">
        <v>390</v>
      </c>
      <c r="G455" s="19">
        <v>46008</v>
      </c>
      <c r="H455" s="19">
        <v>46008</v>
      </c>
      <c r="I455" s="21"/>
      <c r="J455" s="17"/>
      <c r="K455" s="47">
        <v>0.54166666666666663</v>
      </c>
      <c r="L455" s="45">
        <v>0.6875</v>
      </c>
      <c r="M455" s="11">
        <f t="shared" si="7"/>
        <v>3.5000000000000009</v>
      </c>
      <c r="N455" s="11" t="s">
        <v>1</v>
      </c>
      <c r="P455" s="4"/>
      <c r="Q455" s="4"/>
      <c r="R455" s="4"/>
      <c r="S455" s="4"/>
      <c r="T455" s="4"/>
      <c r="U455" s="4"/>
      <c r="V455" s="4"/>
      <c r="W455" s="4"/>
    </row>
    <row r="456" spans="1:23" s="32" customFormat="1" ht="14.4" hidden="1" customHeight="1" x14ac:dyDescent="0.3">
      <c r="A456" s="22" t="s">
        <v>19</v>
      </c>
      <c r="B456" s="21">
        <v>46008</v>
      </c>
      <c r="C456" s="22" t="s">
        <v>9</v>
      </c>
      <c r="D456" s="14" t="s">
        <v>8</v>
      </c>
      <c r="E456" s="14" t="s">
        <v>75</v>
      </c>
      <c r="F456" s="27" t="s">
        <v>374</v>
      </c>
      <c r="G456" s="21">
        <v>45987</v>
      </c>
      <c r="H456" s="21">
        <v>46008</v>
      </c>
      <c r="I456" s="19">
        <v>46008</v>
      </c>
      <c r="J456" s="23"/>
      <c r="K456" s="47">
        <v>0.3125</v>
      </c>
      <c r="L456" s="45">
        <v>0.39583333333333331</v>
      </c>
      <c r="M456" s="11">
        <f t="shared" si="7"/>
        <v>1.9999999999999996</v>
      </c>
      <c r="N456" s="11" t="s">
        <v>0</v>
      </c>
      <c r="P456" s="4"/>
      <c r="Q456" s="4"/>
      <c r="R456" s="4"/>
      <c r="S456" s="4"/>
      <c r="T456" s="4"/>
      <c r="U456" s="4"/>
      <c r="V456" s="4"/>
      <c r="W456" s="4"/>
    </row>
    <row r="457" spans="1:23" s="32" customFormat="1" ht="14.4" hidden="1" customHeight="1" x14ac:dyDescent="0.3">
      <c r="A457" s="22" t="s">
        <v>19</v>
      </c>
      <c r="B457" s="21">
        <v>46008</v>
      </c>
      <c r="C457" s="22" t="s">
        <v>7</v>
      </c>
      <c r="D457" s="216" t="s">
        <v>32</v>
      </c>
      <c r="E457" s="216" t="s">
        <v>375</v>
      </c>
      <c r="F457" s="26" t="s">
        <v>376</v>
      </c>
      <c r="G457" s="219">
        <v>46008</v>
      </c>
      <c r="H457" s="219">
        <v>46008</v>
      </c>
      <c r="I457" s="219">
        <v>46008</v>
      </c>
      <c r="J457" s="17"/>
      <c r="K457" s="47">
        <v>0.5</v>
      </c>
      <c r="L457" s="45">
        <v>0.6875</v>
      </c>
      <c r="M457" s="11">
        <f t="shared" si="7"/>
        <v>4.5</v>
      </c>
      <c r="N457" s="214" t="s">
        <v>0</v>
      </c>
      <c r="P457" s="4"/>
      <c r="Q457" s="4"/>
      <c r="R457" s="4"/>
      <c r="S457" s="4"/>
      <c r="T457" s="4"/>
      <c r="U457" s="4"/>
      <c r="V457" s="4"/>
      <c r="W457" s="4"/>
    </row>
    <row r="458" spans="1:23" s="32" customFormat="1" ht="14.4" hidden="1" customHeight="1" x14ac:dyDescent="0.3">
      <c r="A458" s="22" t="s">
        <v>19</v>
      </c>
      <c r="B458" s="21">
        <v>46008</v>
      </c>
      <c r="C458" s="22" t="s">
        <v>9</v>
      </c>
      <c r="D458" s="222"/>
      <c r="E458" s="222"/>
      <c r="F458" s="3"/>
      <c r="G458" s="229"/>
      <c r="H458" s="229"/>
      <c r="I458" s="229"/>
      <c r="J458" s="23"/>
      <c r="K458" s="45">
        <v>0.39583333333333331</v>
      </c>
      <c r="L458" s="45">
        <v>0.60416666666666663</v>
      </c>
      <c r="M458" s="11">
        <f t="shared" si="7"/>
        <v>5</v>
      </c>
      <c r="N458" s="226"/>
      <c r="P458" s="4"/>
      <c r="Q458" s="4"/>
      <c r="R458" s="4"/>
      <c r="S458" s="4"/>
      <c r="T458" s="4"/>
      <c r="U458" s="4"/>
      <c r="V458" s="4"/>
      <c r="W458" s="4"/>
    </row>
    <row r="459" spans="1:23" s="32" customFormat="1" ht="14.4" hidden="1" customHeight="1" x14ac:dyDescent="0.3">
      <c r="A459" s="22" t="s">
        <v>19</v>
      </c>
      <c r="B459" s="21">
        <v>46008</v>
      </c>
      <c r="C459" s="22" t="s">
        <v>208</v>
      </c>
      <c r="D459" s="217"/>
      <c r="E459" s="217"/>
      <c r="F459" s="27"/>
      <c r="G459" s="220"/>
      <c r="H459" s="220"/>
      <c r="I459" s="220"/>
      <c r="J459" s="19"/>
      <c r="K459" s="45">
        <v>0.3125</v>
      </c>
      <c r="L459" s="45">
        <v>0.60416666666666663</v>
      </c>
      <c r="M459" s="11">
        <f t="shared" si="7"/>
        <v>6.9999999999999991</v>
      </c>
      <c r="N459" s="215"/>
      <c r="P459" s="4"/>
      <c r="Q459" s="4"/>
      <c r="R459" s="4"/>
      <c r="S459" s="4"/>
      <c r="T459" s="4"/>
      <c r="U459" s="4"/>
      <c r="V459" s="4"/>
      <c r="W459" s="4"/>
    </row>
    <row r="460" spans="1:23" s="32" customFormat="1" ht="14.4" hidden="1" customHeight="1" x14ac:dyDescent="0.3">
      <c r="A460" s="22" t="s">
        <v>20</v>
      </c>
      <c r="B460" s="21">
        <v>46008</v>
      </c>
      <c r="C460" s="22" t="s">
        <v>12</v>
      </c>
      <c r="D460" s="13" t="s">
        <v>27</v>
      </c>
      <c r="E460" s="13" t="s">
        <v>82</v>
      </c>
      <c r="F460" s="26" t="s">
        <v>82</v>
      </c>
      <c r="G460" s="21">
        <v>46008</v>
      </c>
      <c r="H460" s="21">
        <v>46008</v>
      </c>
      <c r="I460" s="21"/>
      <c r="J460" s="21"/>
      <c r="K460" s="45">
        <v>0.3125</v>
      </c>
      <c r="L460" s="45">
        <v>0.6875</v>
      </c>
      <c r="M460" s="11">
        <f t="shared" si="7"/>
        <v>9</v>
      </c>
      <c r="N460" s="11" t="s">
        <v>0</v>
      </c>
      <c r="P460" s="4"/>
      <c r="Q460" s="4"/>
      <c r="R460" s="4"/>
      <c r="S460" s="4"/>
      <c r="T460" s="4"/>
      <c r="U460" s="4"/>
      <c r="V460" s="4"/>
      <c r="W460" s="4"/>
    </row>
    <row r="461" spans="1:23" s="32" customFormat="1" ht="14.4" hidden="1" customHeight="1" x14ac:dyDescent="0.3">
      <c r="A461" s="22" t="s">
        <v>20</v>
      </c>
      <c r="B461" s="21">
        <v>46008</v>
      </c>
      <c r="C461" s="69" t="s">
        <v>135</v>
      </c>
      <c r="D461" s="214" t="s">
        <v>44</v>
      </c>
      <c r="E461" s="214" t="s">
        <v>292</v>
      </c>
      <c r="F461" s="26" t="s">
        <v>386</v>
      </c>
      <c r="G461" s="219">
        <v>46008</v>
      </c>
      <c r="H461" s="219">
        <v>46016</v>
      </c>
      <c r="I461" s="223"/>
      <c r="J461" s="21"/>
      <c r="K461" s="45">
        <v>0.3125</v>
      </c>
      <c r="L461" s="45">
        <v>0.6875</v>
      </c>
      <c r="M461" s="11">
        <f t="shared" si="7"/>
        <v>9</v>
      </c>
      <c r="N461" s="214" t="s">
        <v>1</v>
      </c>
      <c r="P461" s="4"/>
      <c r="Q461" s="4"/>
      <c r="R461" s="4"/>
      <c r="S461" s="4"/>
      <c r="T461" s="4"/>
      <c r="U461" s="4"/>
      <c r="V461" s="4"/>
      <c r="W461" s="4"/>
    </row>
    <row r="462" spans="1:23" s="32" customFormat="1" ht="14.4" hidden="1" customHeight="1" x14ac:dyDescent="0.3">
      <c r="A462" s="22" t="s">
        <v>20</v>
      </c>
      <c r="B462" s="21">
        <v>46008</v>
      </c>
      <c r="C462" s="69" t="s">
        <v>14</v>
      </c>
      <c r="D462" s="226"/>
      <c r="E462" s="226"/>
      <c r="F462" s="3"/>
      <c r="G462" s="229"/>
      <c r="H462" s="229"/>
      <c r="I462" s="223"/>
      <c r="J462" s="17"/>
      <c r="K462" s="47">
        <v>0.3125</v>
      </c>
      <c r="L462" s="47">
        <v>0.6875</v>
      </c>
      <c r="M462" s="11">
        <f t="shared" si="7"/>
        <v>9</v>
      </c>
      <c r="N462" s="226"/>
      <c r="P462" s="4"/>
      <c r="Q462" s="4"/>
      <c r="R462" s="4"/>
      <c r="S462" s="4"/>
      <c r="T462" s="4"/>
      <c r="U462" s="4"/>
      <c r="V462" s="4"/>
      <c r="W462" s="4"/>
    </row>
    <row r="463" spans="1:23" s="32" customFormat="1" ht="14.4" hidden="1" customHeight="1" x14ac:dyDescent="0.3">
      <c r="A463" s="22" t="s">
        <v>20</v>
      </c>
      <c r="B463" s="21">
        <v>46008</v>
      </c>
      <c r="C463" s="69" t="s">
        <v>13</v>
      </c>
      <c r="D463" s="233" t="s">
        <v>44</v>
      </c>
      <c r="E463" s="238" t="s">
        <v>331</v>
      </c>
      <c r="F463" s="25" t="s">
        <v>387</v>
      </c>
      <c r="G463" s="223">
        <v>46006</v>
      </c>
      <c r="H463" s="223">
        <v>46021</v>
      </c>
      <c r="I463" s="223">
        <v>46021</v>
      </c>
      <c r="J463" s="21"/>
      <c r="K463" s="45">
        <v>0.33333333333333331</v>
      </c>
      <c r="L463" s="48">
        <v>0.70833333333333337</v>
      </c>
      <c r="M463" s="11">
        <f t="shared" si="7"/>
        <v>9.0000000000000018</v>
      </c>
      <c r="N463" s="214" t="s">
        <v>0</v>
      </c>
      <c r="P463" s="4"/>
      <c r="Q463" s="4"/>
      <c r="R463" s="4"/>
      <c r="S463" s="4"/>
      <c r="T463" s="4"/>
      <c r="U463" s="4"/>
      <c r="V463" s="4"/>
      <c r="W463" s="4"/>
    </row>
    <row r="464" spans="1:23" s="32" customFormat="1" ht="14.4" hidden="1" customHeight="1" x14ac:dyDescent="0.3">
      <c r="A464" s="22" t="s">
        <v>20</v>
      </c>
      <c r="B464" s="21">
        <v>46008</v>
      </c>
      <c r="C464" s="69" t="s">
        <v>33</v>
      </c>
      <c r="D464" s="233"/>
      <c r="E464" s="233"/>
      <c r="F464" s="25"/>
      <c r="G464" s="223"/>
      <c r="H464" s="223"/>
      <c r="I464" s="223"/>
      <c r="J464" s="21"/>
      <c r="K464" s="45">
        <v>0.33333333333333331</v>
      </c>
      <c r="L464" s="48">
        <v>0.70833333333333337</v>
      </c>
      <c r="M464" s="11">
        <f t="shared" si="7"/>
        <v>9.0000000000000018</v>
      </c>
      <c r="N464" s="226"/>
      <c r="P464" s="4"/>
      <c r="Q464" s="4"/>
      <c r="R464" s="4"/>
      <c r="S464" s="4"/>
      <c r="T464" s="4"/>
      <c r="U464" s="4"/>
      <c r="V464" s="4"/>
      <c r="W464" s="4"/>
    </row>
    <row r="465" spans="1:23" s="32" customFormat="1" ht="14.4" hidden="1" customHeight="1" x14ac:dyDescent="0.3">
      <c r="A465" s="22" t="s">
        <v>20</v>
      </c>
      <c r="B465" s="21">
        <v>46008</v>
      </c>
      <c r="C465" s="22" t="s">
        <v>28</v>
      </c>
      <c r="D465" s="13" t="s">
        <v>65</v>
      </c>
      <c r="E465" s="24" t="s">
        <v>377</v>
      </c>
      <c r="F465" s="26" t="s">
        <v>378</v>
      </c>
      <c r="G465" s="17">
        <v>46008</v>
      </c>
      <c r="H465" s="17">
        <v>46008</v>
      </c>
      <c r="I465" s="17"/>
      <c r="J465" s="101"/>
      <c r="K465" s="44">
        <v>0.33333333333333331</v>
      </c>
      <c r="L465" s="48">
        <v>0.70833333333333337</v>
      </c>
      <c r="M465" s="11">
        <f t="shared" si="7"/>
        <v>9.0000000000000018</v>
      </c>
      <c r="N465" s="11" t="s">
        <v>0</v>
      </c>
      <c r="P465" s="4"/>
      <c r="Q465" s="4"/>
      <c r="R465" s="4"/>
      <c r="S465" s="4"/>
      <c r="T465" s="4"/>
      <c r="U465" s="4"/>
      <c r="V465" s="4"/>
      <c r="W465" s="4"/>
    </row>
    <row r="466" spans="1:23" s="32" customFormat="1" ht="14.4" hidden="1" customHeight="1" x14ac:dyDescent="0.3">
      <c r="A466" s="22" t="s">
        <v>20</v>
      </c>
      <c r="B466" s="21">
        <v>46008</v>
      </c>
      <c r="C466" s="22" t="s">
        <v>17</v>
      </c>
      <c r="D466" s="216" t="s">
        <v>65</v>
      </c>
      <c r="E466" s="216" t="s">
        <v>337</v>
      </c>
      <c r="F466" s="26" t="s">
        <v>382</v>
      </c>
      <c r="G466" s="219">
        <v>46004</v>
      </c>
      <c r="H466" s="219">
        <v>46008</v>
      </c>
      <c r="I466" s="219"/>
      <c r="J466" s="101"/>
      <c r="K466" s="44">
        <v>0.3125</v>
      </c>
      <c r="L466" s="45">
        <v>0.77083333333333337</v>
      </c>
      <c r="M466" s="11">
        <f t="shared" si="7"/>
        <v>11</v>
      </c>
      <c r="N466" s="214" t="s">
        <v>1</v>
      </c>
      <c r="P466" s="4"/>
      <c r="Q466" s="4"/>
      <c r="R466" s="4"/>
      <c r="S466" s="4"/>
      <c r="T466" s="4"/>
      <c r="U466" s="4"/>
      <c r="V466" s="4"/>
      <c r="W466" s="4"/>
    </row>
    <row r="467" spans="1:23" s="32" customFormat="1" ht="14.4" hidden="1" customHeight="1" x14ac:dyDescent="0.3">
      <c r="A467" s="22" t="s">
        <v>20</v>
      </c>
      <c r="B467" s="21">
        <v>46008</v>
      </c>
      <c r="C467" s="22" t="s">
        <v>31</v>
      </c>
      <c r="D467" s="217"/>
      <c r="E467" s="217"/>
      <c r="F467" s="27"/>
      <c r="G467" s="220"/>
      <c r="H467" s="220"/>
      <c r="I467" s="220"/>
      <c r="J467" s="102"/>
      <c r="K467" s="44">
        <v>0.39583333333333331</v>
      </c>
      <c r="L467" s="45">
        <v>0.4375</v>
      </c>
      <c r="M467" s="11">
        <f t="shared" si="7"/>
        <v>1.0000000000000004</v>
      </c>
      <c r="N467" s="215"/>
      <c r="P467" s="4"/>
      <c r="Q467" s="4"/>
      <c r="R467" s="4"/>
      <c r="S467" s="4"/>
      <c r="T467" s="4"/>
      <c r="U467" s="4"/>
      <c r="V467" s="4"/>
      <c r="W467" s="4"/>
    </row>
    <row r="468" spans="1:23" s="32" customFormat="1" ht="14.4" hidden="1" customHeight="1" x14ac:dyDescent="0.3">
      <c r="A468" s="22" t="s">
        <v>20</v>
      </c>
      <c r="B468" s="21">
        <v>46008</v>
      </c>
      <c r="C468" s="22" t="s">
        <v>47</v>
      </c>
      <c r="D468" s="216" t="s">
        <v>65</v>
      </c>
      <c r="E468" s="216" t="s">
        <v>306</v>
      </c>
      <c r="F468" s="26" t="s">
        <v>164</v>
      </c>
      <c r="G468" s="219">
        <v>46003</v>
      </c>
      <c r="H468" s="219">
        <v>46008</v>
      </c>
      <c r="I468" s="219">
        <v>46008</v>
      </c>
      <c r="J468" s="101"/>
      <c r="K468" s="44">
        <v>0.33333333333333331</v>
      </c>
      <c r="L468" s="45">
        <v>0.79166666666666663</v>
      </c>
      <c r="M468" s="11">
        <f t="shared" si="7"/>
        <v>11</v>
      </c>
      <c r="N468" s="214" t="s">
        <v>0</v>
      </c>
      <c r="P468" s="4"/>
      <c r="Q468" s="4"/>
      <c r="R468" s="4"/>
      <c r="S468" s="4"/>
      <c r="T468" s="4"/>
      <c r="U468" s="4"/>
      <c r="V468" s="4"/>
      <c r="W468" s="4"/>
    </row>
    <row r="469" spans="1:23" s="32" customFormat="1" ht="14.4" hidden="1" customHeight="1" x14ac:dyDescent="0.3">
      <c r="A469" s="22" t="s">
        <v>20</v>
      </c>
      <c r="B469" s="21">
        <v>46008</v>
      </c>
      <c r="C469" s="22" t="s">
        <v>31</v>
      </c>
      <c r="D469" s="217"/>
      <c r="E469" s="217"/>
      <c r="F469" s="27"/>
      <c r="G469" s="220"/>
      <c r="H469" s="220"/>
      <c r="I469" s="220"/>
      <c r="J469" s="19"/>
      <c r="K469" s="45">
        <v>0.4375</v>
      </c>
      <c r="L469" s="45">
        <v>0.45833333333333331</v>
      </c>
      <c r="M469" s="11">
        <f t="shared" si="7"/>
        <v>0.49999999999999956</v>
      </c>
      <c r="N469" s="215"/>
      <c r="P469" s="4"/>
      <c r="Q469" s="4"/>
      <c r="R469" s="4"/>
      <c r="S469" s="4"/>
      <c r="T469" s="4"/>
      <c r="U469" s="4"/>
      <c r="V469" s="4"/>
      <c r="W469" s="4"/>
    </row>
    <row r="470" spans="1:23" s="32" customFormat="1" ht="14.4" hidden="1" customHeight="1" x14ac:dyDescent="0.3">
      <c r="A470" s="22" t="s">
        <v>20</v>
      </c>
      <c r="B470" s="21">
        <v>46008</v>
      </c>
      <c r="C470" s="22" t="s">
        <v>167</v>
      </c>
      <c r="D470" s="216" t="s">
        <v>65</v>
      </c>
      <c r="E470" s="216" t="s">
        <v>354</v>
      </c>
      <c r="F470" s="26" t="s">
        <v>379</v>
      </c>
      <c r="G470" s="219">
        <v>46006</v>
      </c>
      <c r="H470" s="219">
        <v>46008</v>
      </c>
      <c r="I470" s="219">
        <v>46008</v>
      </c>
      <c r="J470" s="101"/>
      <c r="K470" s="44">
        <v>0.3125</v>
      </c>
      <c r="L470" s="45">
        <v>0.77083333333333337</v>
      </c>
      <c r="M470" s="11">
        <f t="shared" si="7"/>
        <v>11</v>
      </c>
      <c r="N470" s="214" t="s">
        <v>0</v>
      </c>
      <c r="P470" s="4"/>
      <c r="Q470" s="4"/>
      <c r="R470" s="4"/>
      <c r="S470" s="4"/>
      <c r="T470" s="4"/>
      <c r="U470" s="4"/>
      <c r="V470" s="4"/>
      <c r="W470" s="4"/>
    </row>
    <row r="471" spans="1:23" s="32" customFormat="1" ht="14.4" hidden="1" customHeight="1" x14ac:dyDescent="0.3">
      <c r="A471" s="22" t="s">
        <v>20</v>
      </c>
      <c r="B471" s="21">
        <v>46008</v>
      </c>
      <c r="C471" s="22" t="s">
        <v>31</v>
      </c>
      <c r="D471" s="217"/>
      <c r="E471" s="217"/>
      <c r="F471" s="27"/>
      <c r="G471" s="220"/>
      <c r="H471" s="220"/>
      <c r="I471" s="220"/>
      <c r="J471" s="19"/>
      <c r="K471" s="45">
        <v>0.45833333333333331</v>
      </c>
      <c r="L471" s="45">
        <v>0.5</v>
      </c>
      <c r="M471" s="11">
        <f t="shared" si="7"/>
        <v>1.0000000000000004</v>
      </c>
      <c r="N471" s="215"/>
      <c r="P471" s="4"/>
      <c r="Q471" s="4"/>
      <c r="R471" s="4"/>
      <c r="S471" s="4"/>
      <c r="T471" s="4"/>
      <c r="U471" s="4"/>
      <c r="V471" s="4"/>
      <c r="W471" s="4"/>
    </row>
    <row r="472" spans="1:23" s="32" customFormat="1" ht="14.4" hidden="1" customHeight="1" x14ac:dyDescent="0.3">
      <c r="A472" s="22" t="s">
        <v>20</v>
      </c>
      <c r="B472" s="21">
        <v>46008</v>
      </c>
      <c r="C472" s="22" t="s">
        <v>167</v>
      </c>
      <c r="D472" s="22" t="s">
        <v>65</v>
      </c>
      <c r="E472" s="20" t="s">
        <v>308</v>
      </c>
      <c r="F472" s="3" t="s">
        <v>381</v>
      </c>
      <c r="G472" s="23">
        <v>46004</v>
      </c>
      <c r="H472" s="23">
        <v>46008</v>
      </c>
      <c r="I472" s="23"/>
      <c r="J472" s="23"/>
      <c r="K472" s="47">
        <v>0.3125</v>
      </c>
      <c r="L472" s="45">
        <v>0.52083333333333337</v>
      </c>
      <c r="M472" s="11">
        <f t="shared" si="7"/>
        <v>5.0000000000000009</v>
      </c>
      <c r="N472" s="75" t="s">
        <v>30</v>
      </c>
      <c r="P472" s="4"/>
      <c r="Q472" s="4"/>
      <c r="R472" s="4"/>
      <c r="S472" s="4"/>
      <c r="T472" s="4"/>
      <c r="U472" s="4"/>
      <c r="V472" s="4"/>
      <c r="W472" s="4"/>
    </row>
    <row r="473" spans="1:23" s="32" customFormat="1" ht="14.4" hidden="1" customHeight="1" x14ac:dyDescent="0.3">
      <c r="A473" s="22" t="s">
        <v>20</v>
      </c>
      <c r="B473" s="21">
        <v>46008</v>
      </c>
      <c r="C473" s="22" t="s">
        <v>16</v>
      </c>
      <c r="D473" s="216" t="s">
        <v>65</v>
      </c>
      <c r="E473" s="216" t="s">
        <v>306</v>
      </c>
      <c r="F473" s="26" t="s">
        <v>380</v>
      </c>
      <c r="G473" s="219">
        <v>46004</v>
      </c>
      <c r="H473" s="219">
        <v>46008</v>
      </c>
      <c r="I473" s="219"/>
      <c r="J473" s="17"/>
      <c r="K473" s="47">
        <v>0.3125</v>
      </c>
      <c r="L473" s="45">
        <v>0.77083333333333337</v>
      </c>
      <c r="M473" s="11">
        <f t="shared" si="7"/>
        <v>11</v>
      </c>
      <c r="N473" s="214" t="s">
        <v>30</v>
      </c>
      <c r="P473" s="4"/>
      <c r="Q473" s="4"/>
      <c r="R473" s="4"/>
      <c r="S473" s="4"/>
      <c r="T473" s="4"/>
      <c r="U473" s="4"/>
      <c r="V473" s="4"/>
      <c r="W473" s="4"/>
    </row>
    <row r="474" spans="1:23" s="32" customFormat="1" ht="14.4" hidden="1" customHeight="1" x14ac:dyDescent="0.3">
      <c r="A474" s="22" t="s">
        <v>20</v>
      </c>
      <c r="B474" s="21">
        <v>46008</v>
      </c>
      <c r="C474" s="22" t="s">
        <v>31</v>
      </c>
      <c r="D474" s="217"/>
      <c r="E474" s="217"/>
      <c r="F474" s="27"/>
      <c r="G474" s="220"/>
      <c r="H474" s="220"/>
      <c r="I474" s="220"/>
      <c r="J474" s="19"/>
      <c r="K474" s="45">
        <v>0.4375</v>
      </c>
      <c r="L474" s="45">
        <v>0.45833333333333331</v>
      </c>
      <c r="M474" s="11">
        <f t="shared" si="7"/>
        <v>0.49999999999999956</v>
      </c>
      <c r="N474" s="215"/>
      <c r="P474" s="4"/>
      <c r="Q474" s="4"/>
      <c r="R474" s="4"/>
      <c r="S474" s="4"/>
      <c r="T474" s="4"/>
      <c r="U474" s="4"/>
      <c r="V474" s="4"/>
      <c r="W474" s="4"/>
    </row>
    <row r="475" spans="1:23" s="32" customFormat="1" ht="14.4" hidden="1" customHeight="1" x14ac:dyDescent="0.3">
      <c r="A475" s="22" t="s">
        <v>20</v>
      </c>
      <c r="B475" s="21">
        <v>46008</v>
      </c>
      <c r="C475" s="22" t="s">
        <v>31</v>
      </c>
      <c r="D475" s="22" t="s">
        <v>65</v>
      </c>
      <c r="E475" s="69" t="s">
        <v>278</v>
      </c>
      <c r="F475" s="25" t="s">
        <v>391</v>
      </c>
      <c r="G475" s="30">
        <v>46008</v>
      </c>
      <c r="H475" s="30">
        <v>46008</v>
      </c>
      <c r="I475" s="30">
        <v>46008</v>
      </c>
      <c r="J475" s="30"/>
      <c r="K475" s="45">
        <v>0.41666666666666669</v>
      </c>
      <c r="L475" s="48">
        <v>0.5</v>
      </c>
      <c r="M475" s="11">
        <f t="shared" si="7"/>
        <v>1.9999999999999996</v>
      </c>
      <c r="N475" s="11" t="s">
        <v>0</v>
      </c>
      <c r="P475" s="4"/>
      <c r="Q475" s="4"/>
      <c r="R475" s="4"/>
      <c r="S475" s="4"/>
      <c r="T475" s="4"/>
      <c r="U475" s="4"/>
      <c r="V475" s="4"/>
      <c r="W475" s="4"/>
    </row>
    <row r="476" spans="1:23" s="32" customFormat="1" ht="14.4" hidden="1" customHeight="1" x14ac:dyDescent="0.3">
      <c r="A476" s="22" t="s">
        <v>21</v>
      </c>
      <c r="B476" s="21">
        <v>46009</v>
      </c>
      <c r="C476" s="22" t="s">
        <v>26</v>
      </c>
      <c r="D476" s="24" t="s">
        <v>24</v>
      </c>
      <c r="E476" s="24" t="s">
        <v>402</v>
      </c>
      <c r="F476" s="27" t="s">
        <v>401</v>
      </c>
      <c r="G476" s="21">
        <v>46009</v>
      </c>
      <c r="H476" s="21">
        <v>46009</v>
      </c>
      <c r="I476" s="21"/>
      <c r="J476" s="21"/>
      <c r="K476" s="45">
        <v>0.33333333333333331</v>
      </c>
      <c r="L476" s="45">
        <v>0.5</v>
      </c>
      <c r="M476" s="11">
        <f t="shared" si="7"/>
        <v>4</v>
      </c>
      <c r="N476" s="11" t="s">
        <v>30</v>
      </c>
      <c r="P476" s="4"/>
      <c r="Q476" s="4"/>
      <c r="R476" s="4"/>
      <c r="S476" s="4"/>
      <c r="T476" s="4"/>
      <c r="U476" s="4"/>
      <c r="V476" s="4"/>
      <c r="W476" s="4"/>
    </row>
    <row r="477" spans="1:23" s="32" customFormat="1" ht="14.4" hidden="1" customHeight="1" x14ac:dyDescent="0.3">
      <c r="A477" s="22" t="s">
        <v>21</v>
      </c>
      <c r="B477" s="21">
        <v>46009</v>
      </c>
      <c r="C477" s="22" t="s">
        <v>26</v>
      </c>
      <c r="D477" s="24" t="s">
        <v>24</v>
      </c>
      <c r="E477" s="13" t="s">
        <v>53</v>
      </c>
      <c r="F477" s="27" t="s">
        <v>408</v>
      </c>
      <c r="G477" s="21">
        <v>46009</v>
      </c>
      <c r="H477" s="21">
        <v>46009</v>
      </c>
      <c r="I477" s="21">
        <v>46009</v>
      </c>
      <c r="J477" s="21"/>
      <c r="K477" s="45">
        <v>0.54166666666666663</v>
      </c>
      <c r="L477" s="45">
        <v>0.70833333333333337</v>
      </c>
      <c r="M477" s="11">
        <f t="shared" si="7"/>
        <v>4.0000000000000018</v>
      </c>
      <c r="N477" s="11" t="s">
        <v>0</v>
      </c>
      <c r="P477" s="4"/>
      <c r="Q477" s="4"/>
      <c r="R477" s="4"/>
      <c r="S477" s="4"/>
      <c r="T477" s="4"/>
      <c r="U477" s="4"/>
      <c r="V477" s="4"/>
      <c r="W477" s="4"/>
    </row>
    <row r="478" spans="1:23" s="32" customFormat="1" ht="14.4" hidden="1" customHeight="1" x14ac:dyDescent="0.3">
      <c r="A478" s="22" t="s">
        <v>21</v>
      </c>
      <c r="B478" s="21">
        <v>46009</v>
      </c>
      <c r="C478" s="22" t="s">
        <v>50</v>
      </c>
      <c r="D478" s="24" t="s">
        <v>24</v>
      </c>
      <c r="E478" s="13" t="s">
        <v>403</v>
      </c>
      <c r="F478" s="3" t="s">
        <v>385</v>
      </c>
      <c r="G478" s="21">
        <v>46009</v>
      </c>
      <c r="H478" s="21">
        <v>46009</v>
      </c>
      <c r="I478" s="21">
        <v>46009</v>
      </c>
      <c r="J478" s="21"/>
      <c r="K478" s="45">
        <v>0.33333333333333331</v>
      </c>
      <c r="L478" s="45">
        <v>0.70833333333333337</v>
      </c>
      <c r="M478" s="11">
        <f t="shared" si="7"/>
        <v>9.0000000000000018</v>
      </c>
      <c r="N478" s="11" t="s">
        <v>0</v>
      </c>
      <c r="P478" s="4"/>
      <c r="Q478" s="4"/>
      <c r="R478" s="4"/>
      <c r="S478" s="4"/>
      <c r="T478" s="4"/>
      <c r="U478" s="4"/>
      <c r="V478" s="4"/>
      <c r="W478" s="4"/>
    </row>
    <row r="479" spans="1:23" s="32" customFormat="1" ht="14.4" hidden="1" customHeight="1" x14ac:dyDescent="0.3">
      <c r="A479" s="22" t="s">
        <v>21</v>
      </c>
      <c r="B479" s="21">
        <v>46009</v>
      </c>
      <c r="C479" s="22" t="s">
        <v>51</v>
      </c>
      <c r="D479" s="24" t="s">
        <v>24</v>
      </c>
      <c r="E479" s="13" t="s">
        <v>403</v>
      </c>
      <c r="F479" s="3" t="s">
        <v>385</v>
      </c>
      <c r="G479" s="21">
        <v>46009</v>
      </c>
      <c r="H479" s="21">
        <v>46009</v>
      </c>
      <c r="I479" s="21">
        <v>46009</v>
      </c>
      <c r="J479" s="21"/>
      <c r="K479" s="45">
        <v>0.3125</v>
      </c>
      <c r="L479" s="45">
        <v>0.6875</v>
      </c>
      <c r="M479" s="11">
        <f t="shared" si="7"/>
        <v>9</v>
      </c>
      <c r="N479" s="11" t="s">
        <v>0</v>
      </c>
      <c r="P479" s="4"/>
      <c r="Q479" s="4"/>
      <c r="R479" s="4"/>
      <c r="S479" s="4"/>
      <c r="T479" s="4"/>
      <c r="U479" s="4"/>
      <c r="V479" s="4"/>
      <c r="W479" s="4"/>
    </row>
    <row r="480" spans="1:23" s="32" customFormat="1" ht="14.4" hidden="1" customHeight="1" x14ac:dyDescent="0.3">
      <c r="A480" s="22" t="s">
        <v>21</v>
      </c>
      <c r="B480" s="21">
        <v>46009</v>
      </c>
      <c r="C480" s="22" t="s">
        <v>18</v>
      </c>
      <c r="D480" s="214" t="s">
        <v>24</v>
      </c>
      <c r="E480" s="214" t="s">
        <v>370</v>
      </c>
      <c r="F480" s="28" t="s">
        <v>301</v>
      </c>
      <c r="G480" s="219">
        <v>46009</v>
      </c>
      <c r="H480" s="219">
        <v>46009</v>
      </c>
      <c r="I480" s="219">
        <v>46009</v>
      </c>
      <c r="J480" s="17"/>
      <c r="K480" s="45">
        <v>0.3125</v>
      </c>
      <c r="L480" s="45">
        <v>0.5</v>
      </c>
      <c r="M480" s="11">
        <f t="shared" si="7"/>
        <v>4.5</v>
      </c>
      <c r="N480" s="214" t="s">
        <v>0</v>
      </c>
      <c r="P480" s="4"/>
      <c r="Q480" s="4"/>
      <c r="R480" s="4"/>
      <c r="S480" s="4"/>
      <c r="T480" s="4"/>
      <c r="U480" s="4"/>
      <c r="V480" s="4"/>
      <c r="W480" s="4"/>
    </row>
    <row r="481" spans="1:23" s="32" customFormat="1" ht="14.4" hidden="1" customHeight="1" x14ac:dyDescent="0.3">
      <c r="A481" s="22" t="s">
        <v>21</v>
      </c>
      <c r="B481" s="21">
        <v>46009</v>
      </c>
      <c r="C481" s="22" t="s">
        <v>25</v>
      </c>
      <c r="D481" s="226"/>
      <c r="E481" s="226"/>
      <c r="F481" s="73"/>
      <c r="G481" s="229"/>
      <c r="H481" s="229"/>
      <c r="I481" s="229"/>
      <c r="J481" s="23"/>
      <c r="K481" s="47">
        <v>0.3125</v>
      </c>
      <c r="L481" s="45">
        <v>0.5</v>
      </c>
      <c r="M481" s="11">
        <f t="shared" si="7"/>
        <v>4.5</v>
      </c>
      <c r="N481" s="226"/>
      <c r="P481" s="4"/>
      <c r="Q481" s="4"/>
      <c r="R481" s="4"/>
      <c r="S481" s="4"/>
      <c r="T481" s="4"/>
      <c r="U481" s="4"/>
      <c r="V481" s="4"/>
      <c r="W481" s="4"/>
    </row>
    <row r="482" spans="1:23" s="32" customFormat="1" ht="14.4" hidden="1" customHeight="1" x14ac:dyDescent="0.3">
      <c r="A482" s="22" t="s">
        <v>21</v>
      </c>
      <c r="B482" s="21">
        <v>46009</v>
      </c>
      <c r="C482" s="22" t="s">
        <v>320</v>
      </c>
      <c r="D482" s="215"/>
      <c r="E482" s="215"/>
      <c r="F482" s="29"/>
      <c r="G482" s="220"/>
      <c r="H482" s="220"/>
      <c r="I482" s="220"/>
      <c r="J482" s="23"/>
      <c r="K482" s="47">
        <v>0.3125</v>
      </c>
      <c r="L482" s="45">
        <v>0.5</v>
      </c>
      <c r="M482" s="11">
        <f t="shared" si="7"/>
        <v>4.5</v>
      </c>
      <c r="N482" s="215"/>
      <c r="P482" s="4"/>
      <c r="Q482" s="4"/>
      <c r="R482" s="4"/>
      <c r="S482" s="4"/>
      <c r="T482" s="4"/>
      <c r="U482" s="4"/>
      <c r="V482" s="4"/>
      <c r="W482" s="4"/>
    </row>
    <row r="483" spans="1:23" s="32" customFormat="1" ht="14.4" hidden="1" customHeight="1" x14ac:dyDescent="0.3">
      <c r="A483" s="22" t="s">
        <v>21</v>
      </c>
      <c r="B483" s="21">
        <v>46009</v>
      </c>
      <c r="C483" s="22" t="s">
        <v>274</v>
      </c>
      <c r="D483" s="216" t="s">
        <v>8</v>
      </c>
      <c r="E483" s="216" t="s">
        <v>287</v>
      </c>
      <c r="F483" s="28" t="s">
        <v>346</v>
      </c>
      <c r="G483" s="219">
        <v>46008</v>
      </c>
      <c r="H483" s="219">
        <v>46009</v>
      </c>
      <c r="I483" s="219">
        <v>46009</v>
      </c>
      <c r="J483" s="17"/>
      <c r="K483" s="45">
        <v>0.3125</v>
      </c>
      <c r="L483" s="45">
        <v>0.5</v>
      </c>
      <c r="M483" s="11">
        <f t="shared" si="7"/>
        <v>4.5</v>
      </c>
      <c r="N483" s="214" t="s">
        <v>0</v>
      </c>
      <c r="P483" s="4"/>
      <c r="Q483" s="4"/>
      <c r="R483" s="4"/>
      <c r="S483" s="4"/>
      <c r="T483" s="4"/>
      <c r="U483" s="4"/>
      <c r="V483" s="4"/>
      <c r="W483" s="4"/>
    </row>
    <row r="484" spans="1:23" s="32" customFormat="1" ht="14.4" hidden="1" customHeight="1" x14ac:dyDescent="0.3">
      <c r="A484" s="22" t="s">
        <v>21</v>
      </c>
      <c r="B484" s="21">
        <v>46009</v>
      </c>
      <c r="C484" s="22" t="s">
        <v>37</v>
      </c>
      <c r="D484" s="217"/>
      <c r="E484" s="217"/>
      <c r="F484" s="29"/>
      <c r="G484" s="220"/>
      <c r="H484" s="220"/>
      <c r="I484" s="220"/>
      <c r="J484" s="19"/>
      <c r="K484" s="45">
        <v>0.3125</v>
      </c>
      <c r="L484" s="45">
        <v>0.5</v>
      </c>
      <c r="M484" s="11">
        <f t="shared" si="7"/>
        <v>4.5</v>
      </c>
      <c r="N484" s="215"/>
      <c r="P484" s="4"/>
      <c r="Q484" s="4"/>
      <c r="R484" s="4"/>
      <c r="S484" s="4"/>
      <c r="T484" s="4"/>
      <c r="U484" s="4"/>
      <c r="V484" s="4"/>
      <c r="W484" s="4"/>
    </row>
    <row r="485" spans="1:23" s="32" customFormat="1" ht="14.4" hidden="1" customHeight="1" x14ac:dyDescent="0.3">
      <c r="A485" s="22" t="s">
        <v>21</v>
      </c>
      <c r="B485" s="21">
        <v>46009</v>
      </c>
      <c r="C485" s="22" t="s">
        <v>22</v>
      </c>
      <c r="D485" s="22" t="s">
        <v>8</v>
      </c>
      <c r="E485" s="14" t="s">
        <v>340</v>
      </c>
      <c r="F485" s="27" t="s">
        <v>372</v>
      </c>
      <c r="G485" s="19">
        <v>46008</v>
      </c>
      <c r="H485" s="19">
        <v>46009</v>
      </c>
      <c r="I485" s="19">
        <v>46009</v>
      </c>
      <c r="J485" s="19"/>
      <c r="K485" s="45">
        <v>0.3125</v>
      </c>
      <c r="L485" s="45">
        <v>0.5</v>
      </c>
      <c r="M485" s="11">
        <f t="shared" si="7"/>
        <v>4.5</v>
      </c>
      <c r="N485" s="11" t="s">
        <v>0</v>
      </c>
      <c r="P485" s="4"/>
      <c r="Q485" s="4"/>
      <c r="R485" s="4"/>
      <c r="S485" s="4"/>
      <c r="T485" s="4"/>
      <c r="U485" s="4"/>
      <c r="V485" s="4"/>
      <c r="W485" s="4"/>
    </row>
    <row r="486" spans="1:23" s="32" customFormat="1" ht="14.4" hidden="1" customHeight="1" x14ac:dyDescent="0.3">
      <c r="A486" s="22" t="s">
        <v>21</v>
      </c>
      <c r="B486" s="21">
        <v>46009</v>
      </c>
      <c r="C486" s="22" t="s">
        <v>55</v>
      </c>
      <c r="D486" s="24" t="s">
        <v>24</v>
      </c>
      <c r="E486" s="12" t="s">
        <v>392</v>
      </c>
      <c r="F486" s="29" t="s">
        <v>146</v>
      </c>
      <c r="G486" s="19">
        <v>46008</v>
      </c>
      <c r="H486" s="19">
        <v>46009</v>
      </c>
      <c r="I486" s="19"/>
      <c r="J486" s="19"/>
      <c r="K486" s="45">
        <v>0.3125</v>
      </c>
      <c r="L486" s="45">
        <v>0.6875</v>
      </c>
      <c r="M486" s="11">
        <f t="shared" si="7"/>
        <v>9</v>
      </c>
      <c r="N486" s="11" t="s">
        <v>1</v>
      </c>
      <c r="P486" s="4"/>
      <c r="Q486" s="4"/>
      <c r="R486" s="4"/>
      <c r="S486" s="4"/>
      <c r="T486" s="4"/>
      <c r="U486" s="4"/>
      <c r="V486" s="4"/>
      <c r="W486" s="4"/>
    </row>
    <row r="487" spans="1:23" s="32" customFormat="1" ht="14.4" hidden="1" customHeight="1" x14ac:dyDescent="0.3">
      <c r="A487" s="22" t="s">
        <v>21</v>
      </c>
      <c r="B487" s="21">
        <v>46009</v>
      </c>
      <c r="C487" s="22" t="s">
        <v>118</v>
      </c>
      <c r="D487" s="24" t="s">
        <v>24</v>
      </c>
      <c r="E487" s="12" t="s">
        <v>389</v>
      </c>
      <c r="F487" s="29" t="s">
        <v>390</v>
      </c>
      <c r="G487" s="19">
        <v>46008</v>
      </c>
      <c r="H487" s="19">
        <v>46009</v>
      </c>
      <c r="I487" s="21"/>
      <c r="J487" s="17"/>
      <c r="K487" s="47">
        <v>0.33333333333333331</v>
      </c>
      <c r="L487" s="45">
        <v>0.5</v>
      </c>
      <c r="M487" s="11">
        <f t="shared" si="7"/>
        <v>4</v>
      </c>
      <c r="N487" s="11" t="s">
        <v>1</v>
      </c>
      <c r="P487" s="4"/>
      <c r="Q487" s="4"/>
      <c r="R487" s="4"/>
      <c r="S487" s="4"/>
      <c r="T487" s="4"/>
      <c r="U487" s="4"/>
      <c r="V487" s="4"/>
      <c r="W487" s="4"/>
    </row>
    <row r="488" spans="1:23" s="32" customFormat="1" ht="14.4" hidden="1" customHeight="1" x14ac:dyDescent="0.3">
      <c r="A488" s="22" t="s">
        <v>21</v>
      </c>
      <c r="B488" s="21">
        <v>46009</v>
      </c>
      <c r="C488" s="22" t="s">
        <v>25</v>
      </c>
      <c r="D488" s="216" t="s">
        <v>24</v>
      </c>
      <c r="E488" s="216" t="s">
        <v>271</v>
      </c>
      <c r="F488" s="13" t="s">
        <v>405</v>
      </c>
      <c r="G488" s="218">
        <v>46009</v>
      </c>
      <c r="H488" s="218">
        <v>46009</v>
      </c>
      <c r="I488" s="219"/>
      <c r="J488" s="17"/>
      <c r="K488" s="47">
        <v>0.54166666666666663</v>
      </c>
      <c r="L488" s="45">
        <v>0.625</v>
      </c>
      <c r="M488" s="11">
        <f t="shared" si="7"/>
        <v>2.0000000000000009</v>
      </c>
      <c r="N488" s="214" t="s">
        <v>1</v>
      </c>
      <c r="P488" s="4"/>
      <c r="Q488" s="4"/>
      <c r="R488" s="4"/>
      <c r="S488" s="4"/>
      <c r="T488" s="4"/>
      <c r="U488" s="4"/>
      <c r="V488" s="4"/>
      <c r="W488" s="4"/>
    </row>
    <row r="489" spans="1:23" s="32" customFormat="1" ht="14.4" hidden="1" customHeight="1" x14ac:dyDescent="0.3">
      <c r="A489" s="22" t="s">
        <v>21</v>
      </c>
      <c r="B489" s="21">
        <v>46009</v>
      </c>
      <c r="C489" s="22" t="s">
        <v>320</v>
      </c>
      <c r="D489" s="217"/>
      <c r="E489" s="217"/>
      <c r="F489" s="14"/>
      <c r="G489" s="217"/>
      <c r="H489" s="217"/>
      <c r="I489" s="220"/>
      <c r="J489" s="23"/>
      <c r="K489" s="47">
        <v>0.54166666666666663</v>
      </c>
      <c r="L489" s="45">
        <v>0.625</v>
      </c>
      <c r="M489" s="11">
        <f t="shared" si="7"/>
        <v>2.0000000000000009</v>
      </c>
      <c r="N489" s="226"/>
      <c r="P489" s="4"/>
      <c r="Q489" s="4"/>
      <c r="R489" s="4"/>
      <c r="S489" s="4"/>
      <c r="T489" s="4"/>
      <c r="U489" s="4"/>
      <c r="V489" s="4"/>
      <c r="W489" s="4"/>
    </row>
    <row r="490" spans="1:23" s="32" customFormat="1" ht="14.4" hidden="1" customHeight="1" x14ac:dyDescent="0.3">
      <c r="A490" s="22" t="s">
        <v>21</v>
      </c>
      <c r="B490" s="21">
        <v>46009</v>
      </c>
      <c r="C490" s="22" t="s">
        <v>22</v>
      </c>
      <c r="D490" s="216" t="s">
        <v>8</v>
      </c>
      <c r="E490" s="216" t="s">
        <v>406</v>
      </c>
      <c r="F490" s="13" t="s">
        <v>407</v>
      </c>
      <c r="G490" s="218">
        <v>46009</v>
      </c>
      <c r="H490" s="218">
        <v>46009</v>
      </c>
      <c r="I490" s="219"/>
      <c r="J490" s="17"/>
      <c r="K490" s="47">
        <v>0.54166666666666663</v>
      </c>
      <c r="L490" s="45">
        <v>0.6875</v>
      </c>
      <c r="M490" s="11">
        <f t="shared" si="7"/>
        <v>3.5000000000000009</v>
      </c>
      <c r="N490" s="214" t="s">
        <v>1</v>
      </c>
      <c r="P490" s="4"/>
      <c r="Q490" s="4"/>
      <c r="R490" s="4"/>
      <c r="S490" s="4"/>
      <c r="T490" s="4"/>
      <c r="U490" s="4"/>
      <c r="V490" s="4"/>
      <c r="W490" s="4"/>
    </row>
    <row r="491" spans="1:23" s="32" customFormat="1" ht="14.4" hidden="1" customHeight="1" x14ac:dyDescent="0.3">
      <c r="A491" s="22" t="s">
        <v>21</v>
      </c>
      <c r="B491" s="21">
        <v>46009</v>
      </c>
      <c r="C491" s="22" t="s">
        <v>18</v>
      </c>
      <c r="D491" s="217"/>
      <c r="E491" s="217"/>
      <c r="F491" s="14"/>
      <c r="G491" s="217"/>
      <c r="H491" s="217"/>
      <c r="I491" s="220"/>
      <c r="J491" s="23"/>
      <c r="K491" s="47">
        <v>0.54166666666666663</v>
      </c>
      <c r="L491" s="45">
        <v>0.6875</v>
      </c>
      <c r="M491" s="11">
        <f t="shared" si="7"/>
        <v>3.5000000000000009</v>
      </c>
      <c r="N491" s="226"/>
      <c r="P491" s="4"/>
      <c r="Q491" s="4"/>
      <c r="R491" s="4"/>
      <c r="S491" s="4"/>
      <c r="T491" s="4"/>
      <c r="U491" s="4"/>
      <c r="V491" s="4"/>
      <c r="W491" s="4"/>
    </row>
    <row r="492" spans="1:23" s="32" customFormat="1" ht="14.4" hidden="1" customHeight="1" x14ac:dyDescent="0.3">
      <c r="A492" s="22" t="s">
        <v>21</v>
      </c>
      <c r="B492" s="21">
        <v>46009</v>
      </c>
      <c r="C492" s="22" t="s">
        <v>274</v>
      </c>
      <c r="D492" s="216" t="s">
        <v>8</v>
      </c>
      <c r="E492" s="216" t="s">
        <v>242</v>
      </c>
      <c r="F492" s="13" t="s">
        <v>346</v>
      </c>
      <c r="G492" s="218">
        <v>46009</v>
      </c>
      <c r="H492" s="218">
        <v>46009</v>
      </c>
      <c r="I492" s="219"/>
      <c r="J492" s="17"/>
      <c r="K492" s="47">
        <v>0.54166666666666663</v>
      </c>
      <c r="L492" s="45">
        <v>0.6875</v>
      </c>
      <c r="M492" s="11">
        <f t="shared" si="7"/>
        <v>3.5000000000000009</v>
      </c>
      <c r="N492" s="214" t="s">
        <v>1</v>
      </c>
      <c r="P492" s="4"/>
      <c r="Q492" s="4"/>
      <c r="R492" s="4"/>
      <c r="S492" s="4"/>
      <c r="T492" s="4"/>
      <c r="U492" s="4"/>
      <c r="V492" s="4"/>
      <c r="W492" s="4"/>
    </row>
    <row r="493" spans="1:23" s="32" customFormat="1" ht="14.4" hidden="1" customHeight="1" x14ac:dyDescent="0.3">
      <c r="A493" s="22" t="s">
        <v>21</v>
      </c>
      <c r="B493" s="21">
        <v>46009</v>
      </c>
      <c r="C493" s="22" t="s">
        <v>37</v>
      </c>
      <c r="D493" s="217"/>
      <c r="E493" s="217"/>
      <c r="F493" s="14"/>
      <c r="G493" s="217"/>
      <c r="H493" s="217"/>
      <c r="I493" s="220"/>
      <c r="J493" s="23"/>
      <c r="K493" s="47">
        <v>0.54166666666666663</v>
      </c>
      <c r="L493" s="45">
        <v>0.6875</v>
      </c>
      <c r="M493" s="11">
        <f t="shared" si="7"/>
        <v>3.5000000000000009</v>
      </c>
      <c r="N493" s="226"/>
      <c r="P493" s="4"/>
      <c r="Q493" s="4"/>
      <c r="R493" s="4"/>
      <c r="S493" s="4"/>
      <c r="T493" s="4"/>
      <c r="U493" s="4"/>
      <c r="V493" s="4"/>
      <c r="W493" s="4"/>
    </row>
    <row r="494" spans="1:23" s="32" customFormat="1" ht="14.4" hidden="1" customHeight="1" x14ac:dyDescent="0.3">
      <c r="A494" s="22" t="s">
        <v>19</v>
      </c>
      <c r="B494" s="21">
        <v>46009</v>
      </c>
      <c r="C494" s="22" t="s">
        <v>9</v>
      </c>
      <c r="D494" s="14" t="s">
        <v>8</v>
      </c>
      <c r="E494" s="14" t="s">
        <v>75</v>
      </c>
      <c r="F494" s="27" t="s">
        <v>374</v>
      </c>
      <c r="G494" s="21">
        <v>45987</v>
      </c>
      <c r="H494" s="21">
        <v>46008</v>
      </c>
      <c r="I494" s="19"/>
      <c r="J494" s="23"/>
      <c r="K494" s="47">
        <v>0.3125</v>
      </c>
      <c r="L494" s="45">
        <v>0.39583333333333331</v>
      </c>
      <c r="M494" s="11">
        <f t="shared" si="7"/>
        <v>1.9999999999999996</v>
      </c>
      <c r="N494" s="11" t="s">
        <v>1</v>
      </c>
      <c r="P494" s="4"/>
      <c r="Q494" s="4"/>
      <c r="R494" s="4"/>
      <c r="S494" s="4"/>
      <c r="T494" s="4"/>
      <c r="U494" s="4"/>
      <c r="V494" s="4"/>
      <c r="W494" s="4"/>
    </row>
    <row r="495" spans="1:23" s="32" customFormat="1" ht="14.4" hidden="1" customHeight="1" x14ac:dyDescent="0.3">
      <c r="A495" s="22" t="s">
        <v>19</v>
      </c>
      <c r="B495" s="21">
        <v>46009</v>
      </c>
      <c r="C495" s="22" t="s">
        <v>7</v>
      </c>
      <c r="D495" s="216" t="s">
        <v>32</v>
      </c>
      <c r="E495" s="216" t="s">
        <v>399</v>
      </c>
      <c r="F495" s="26" t="s">
        <v>400</v>
      </c>
      <c r="G495" s="219">
        <v>46009</v>
      </c>
      <c r="H495" s="219">
        <v>46009</v>
      </c>
      <c r="I495" s="219">
        <v>46009</v>
      </c>
      <c r="J495" s="17"/>
      <c r="K495" s="47">
        <v>0.3125</v>
      </c>
      <c r="L495" s="45">
        <v>0.6875</v>
      </c>
      <c r="M495" s="11">
        <f t="shared" si="7"/>
        <v>9</v>
      </c>
      <c r="N495" s="214" t="s">
        <v>0</v>
      </c>
      <c r="P495" s="4"/>
      <c r="Q495" s="4"/>
      <c r="R495" s="4"/>
      <c r="S495" s="4"/>
      <c r="T495" s="4"/>
      <c r="U495" s="4"/>
      <c r="V495" s="4"/>
      <c r="W495" s="4"/>
    </row>
    <row r="496" spans="1:23" s="32" customFormat="1" ht="14.4" hidden="1" customHeight="1" x14ac:dyDescent="0.3">
      <c r="A496" s="22" t="s">
        <v>19</v>
      </c>
      <c r="B496" s="21">
        <v>46009</v>
      </c>
      <c r="C496" s="22" t="s">
        <v>9</v>
      </c>
      <c r="D496" s="222"/>
      <c r="E496" s="222"/>
      <c r="F496" s="3"/>
      <c r="G496" s="229"/>
      <c r="H496" s="229"/>
      <c r="I496" s="229"/>
      <c r="J496" s="23"/>
      <c r="K496" s="47">
        <v>0.3125</v>
      </c>
      <c r="L496" s="45">
        <v>0.6875</v>
      </c>
      <c r="M496" s="11">
        <f t="shared" si="7"/>
        <v>9</v>
      </c>
      <c r="N496" s="226"/>
      <c r="P496" s="4"/>
      <c r="Q496" s="4"/>
      <c r="R496" s="4"/>
      <c r="S496" s="4"/>
      <c r="T496" s="4"/>
      <c r="U496" s="4"/>
      <c r="V496" s="4"/>
      <c r="W496" s="4"/>
    </row>
    <row r="497" spans="1:23" s="32" customFormat="1" ht="14.4" hidden="1" customHeight="1" x14ac:dyDescent="0.3">
      <c r="A497" s="22" t="s">
        <v>19</v>
      </c>
      <c r="B497" s="21">
        <v>46009</v>
      </c>
      <c r="C497" s="22" t="s">
        <v>208</v>
      </c>
      <c r="D497" s="217"/>
      <c r="E497" s="217"/>
      <c r="F497" s="27"/>
      <c r="G497" s="220"/>
      <c r="H497" s="220"/>
      <c r="I497" s="220"/>
      <c r="J497" s="19"/>
      <c r="K497" s="45">
        <v>0.3125</v>
      </c>
      <c r="L497" s="45">
        <v>0.6875</v>
      </c>
      <c r="M497" s="11">
        <f t="shared" si="7"/>
        <v>9</v>
      </c>
      <c r="N497" s="215"/>
      <c r="P497" s="4"/>
      <c r="Q497" s="4"/>
      <c r="R497" s="4"/>
      <c r="S497" s="4"/>
      <c r="T497" s="4"/>
      <c r="U497" s="4"/>
      <c r="V497" s="4"/>
      <c r="W497" s="4"/>
    </row>
    <row r="498" spans="1:23" s="32" customFormat="1" ht="14.4" hidden="1" customHeight="1" x14ac:dyDescent="0.3">
      <c r="A498" s="22" t="s">
        <v>20</v>
      </c>
      <c r="B498" s="21">
        <v>46009</v>
      </c>
      <c r="C498" s="69" t="s">
        <v>13</v>
      </c>
      <c r="D498" s="233" t="s">
        <v>44</v>
      </c>
      <c r="E498" s="238" t="s">
        <v>292</v>
      </c>
      <c r="F498" s="25" t="s">
        <v>398</v>
      </c>
      <c r="G498" s="223">
        <v>46009</v>
      </c>
      <c r="H498" s="223">
        <v>46016</v>
      </c>
      <c r="I498" s="223"/>
      <c r="J498" s="21"/>
      <c r="K498" s="45">
        <v>0.33333333333333331</v>
      </c>
      <c r="L498" s="48">
        <v>0.625</v>
      </c>
      <c r="M498" s="11">
        <f t="shared" si="7"/>
        <v>7</v>
      </c>
      <c r="N498" s="214" t="s">
        <v>1</v>
      </c>
      <c r="P498" s="4"/>
      <c r="Q498" s="4"/>
      <c r="R498" s="4"/>
      <c r="S498" s="4"/>
      <c r="T498" s="4"/>
      <c r="U498" s="4"/>
      <c r="V498" s="4"/>
      <c r="W498" s="4"/>
    </row>
    <row r="499" spans="1:23" s="32" customFormat="1" ht="14.4" hidden="1" customHeight="1" x14ac:dyDescent="0.3">
      <c r="A499" s="22" t="s">
        <v>20</v>
      </c>
      <c r="B499" s="21">
        <v>46009</v>
      </c>
      <c r="C499" s="69" t="s">
        <v>33</v>
      </c>
      <c r="D499" s="233"/>
      <c r="E499" s="233"/>
      <c r="F499" s="25"/>
      <c r="G499" s="223"/>
      <c r="H499" s="223"/>
      <c r="I499" s="223"/>
      <c r="J499" s="21"/>
      <c r="K499" s="45">
        <v>0.33333333333333331</v>
      </c>
      <c r="L499" s="48">
        <v>0.625</v>
      </c>
      <c r="M499" s="11">
        <f t="shared" si="7"/>
        <v>7</v>
      </c>
      <c r="N499" s="226"/>
      <c r="P499" s="4"/>
      <c r="Q499" s="4"/>
      <c r="R499" s="4"/>
      <c r="S499" s="4"/>
      <c r="T499" s="4"/>
      <c r="U499" s="4"/>
      <c r="V499" s="4"/>
      <c r="W499" s="4"/>
    </row>
    <row r="500" spans="1:23" s="32" customFormat="1" ht="14.4" hidden="1" customHeight="1" x14ac:dyDescent="0.3">
      <c r="A500" s="22" t="s">
        <v>20</v>
      </c>
      <c r="B500" s="21">
        <v>46009</v>
      </c>
      <c r="C500" s="69" t="s">
        <v>13</v>
      </c>
      <c r="D500" s="233" t="s">
        <v>44</v>
      </c>
      <c r="E500" s="214" t="s">
        <v>290</v>
      </c>
      <c r="F500" s="11" t="s">
        <v>404</v>
      </c>
      <c r="G500" s="223">
        <v>46009</v>
      </c>
      <c r="H500" s="223">
        <v>46009</v>
      </c>
      <c r="I500" s="219"/>
      <c r="J500" s="17"/>
      <c r="K500" s="48">
        <v>0.625</v>
      </c>
      <c r="L500" s="48">
        <v>0.70833333333333337</v>
      </c>
      <c r="M500" s="11">
        <f t="shared" si="7"/>
        <v>2.0000000000000009</v>
      </c>
      <c r="N500" s="214" t="s">
        <v>1</v>
      </c>
      <c r="P500" s="4"/>
      <c r="Q500" s="4"/>
      <c r="R500" s="4"/>
      <c r="S500" s="4"/>
      <c r="T500" s="4"/>
      <c r="U500" s="4"/>
      <c r="V500" s="4"/>
      <c r="W500" s="4"/>
    </row>
    <row r="501" spans="1:23" s="32" customFormat="1" ht="14.4" hidden="1" customHeight="1" x14ac:dyDescent="0.3">
      <c r="A501" s="22" t="s">
        <v>20</v>
      </c>
      <c r="B501" s="21">
        <v>46009</v>
      </c>
      <c r="C501" s="69" t="s">
        <v>33</v>
      </c>
      <c r="D501" s="233"/>
      <c r="E501" s="215"/>
      <c r="F501" s="12"/>
      <c r="G501" s="223"/>
      <c r="H501" s="223"/>
      <c r="I501" s="220"/>
      <c r="J501" s="19"/>
      <c r="K501" s="48">
        <v>0.625</v>
      </c>
      <c r="L501" s="48">
        <v>0.70833333333333337</v>
      </c>
      <c r="M501" s="11">
        <f t="shared" si="7"/>
        <v>2.0000000000000009</v>
      </c>
      <c r="N501" s="226"/>
      <c r="P501" s="4"/>
      <c r="Q501" s="4"/>
      <c r="R501" s="4"/>
      <c r="S501" s="4"/>
      <c r="T501" s="4"/>
      <c r="U501" s="4"/>
      <c r="V501" s="4"/>
      <c r="W501" s="4"/>
    </row>
    <row r="502" spans="1:23" s="32" customFormat="1" ht="14.4" hidden="1" customHeight="1" x14ac:dyDescent="0.3">
      <c r="A502" s="22" t="s">
        <v>20</v>
      </c>
      <c r="B502" s="21">
        <v>46009</v>
      </c>
      <c r="C502" s="22" t="s">
        <v>28</v>
      </c>
      <c r="D502" s="13" t="s">
        <v>65</v>
      </c>
      <c r="E502" s="24" t="s">
        <v>409</v>
      </c>
      <c r="F502" s="26" t="s">
        <v>393</v>
      </c>
      <c r="G502" s="17">
        <v>46008</v>
      </c>
      <c r="H502" s="17">
        <v>46009</v>
      </c>
      <c r="I502" s="17"/>
      <c r="J502" s="101"/>
      <c r="K502" s="44">
        <v>0.33333333333333331</v>
      </c>
      <c r="L502" s="48">
        <v>0.5</v>
      </c>
      <c r="M502" s="11">
        <f t="shared" si="7"/>
        <v>4</v>
      </c>
      <c r="N502" s="11" t="s">
        <v>0</v>
      </c>
      <c r="P502" s="4"/>
      <c r="Q502" s="4"/>
      <c r="R502" s="4"/>
      <c r="S502" s="4"/>
      <c r="T502" s="4"/>
      <c r="U502" s="4"/>
      <c r="V502" s="4"/>
      <c r="W502" s="4"/>
    </row>
    <row r="503" spans="1:23" s="32" customFormat="1" ht="14.4" hidden="1" customHeight="1" x14ac:dyDescent="0.3">
      <c r="A503" s="22" t="s">
        <v>20</v>
      </c>
      <c r="B503" s="21">
        <v>46009</v>
      </c>
      <c r="C503" s="22" t="s">
        <v>28</v>
      </c>
      <c r="D503" s="13" t="s">
        <v>65</v>
      </c>
      <c r="E503" s="13" t="s">
        <v>410</v>
      </c>
      <c r="F503" s="26" t="s">
        <v>411</v>
      </c>
      <c r="G503" s="17">
        <v>46009</v>
      </c>
      <c r="H503" s="17">
        <v>46009</v>
      </c>
      <c r="I503" s="17"/>
      <c r="J503" s="101"/>
      <c r="K503" s="44">
        <v>0.54166666666666663</v>
      </c>
      <c r="L503" s="48">
        <v>0.79166666666666663</v>
      </c>
      <c r="M503" s="11">
        <f t="shared" si="7"/>
        <v>6</v>
      </c>
      <c r="N503" s="11" t="s">
        <v>0</v>
      </c>
      <c r="P503" s="4"/>
      <c r="Q503" s="4"/>
      <c r="R503" s="4"/>
      <c r="S503" s="4"/>
      <c r="T503" s="4"/>
      <c r="U503" s="4"/>
      <c r="V503" s="4"/>
      <c r="W503" s="4"/>
    </row>
    <row r="504" spans="1:23" s="32" customFormat="1" ht="14.4" hidden="1" customHeight="1" x14ac:dyDescent="0.3">
      <c r="A504" s="22" t="s">
        <v>20</v>
      </c>
      <c r="B504" s="21">
        <v>46009</v>
      </c>
      <c r="C504" s="22" t="s">
        <v>17</v>
      </c>
      <c r="D504" s="216" t="s">
        <v>65</v>
      </c>
      <c r="E504" s="216" t="s">
        <v>412</v>
      </c>
      <c r="F504" s="26" t="s">
        <v>413</v>
      </c>
      <c r="G504" s="219">
        <v>46009</v>
      </c>
      <c r="H504" s="219">
        <v>46009</v>
      </c>
      <c r="I504" s="219"/>
      <c r="J504" s="101"/>
      <c r="K504" s="44">
        <v>0.52083333333333337</v>
      </c>
      <c r="L504" s="45">
        <v>0.77083333333333337</v>
      </c>
      <c r="M504" s="11">
        <f t="shared" si="7"/>
        <v>6</v>
      </c>
      <c r="N504" s="214" t="s">
        <v>0</v>
      </c>
      <c r="P504" s="4"/>
      <c r="Q504" s="4"/>
      <c r="R504" s="4"/>
      <c r="S504" s="4"/>
      <c r="T504" s="4"/>
      <c r="U504" s="4"/>
      <c r="V504" s="4"/>
      <c r="W504" s="4"/>
    </row>
    <row r="505" spans="1:23" s="32" customFormat="1" ht="14.4" hidden="1" customHeight="1" x14ac:dyDescent="0.3">
      <c r="A505" s="22" t="s">
        <v>20</v>
      </c>
      <c r="B505" s="21">
        <v>46009</v>
      </c>
      <c r="C505" s="22" t="s">
        <v>31</v>
      </c>
      <c r="D505" s="217"/>
      <c r="E505" s="217"/>
      <c r="F505" s="27"/>
      <c r="G505" s="220"/>
      <c r="H505" s="220"/>
      <c r="I505" s="220"/>
      <c r="J505" s="102"/>
      <c r="K505" s="44">
        <v>0.39583333333333331</v>
      </c>
      <c r="L505" s="45">
        <v>0.4375</v>
      </c>
      <c r="M505" s="11">
        <f t="shared" si="7"/>
        <v>1.0000000000000004</v>
      </c>
      <c r="N505" s="215"/>
      <c r="P505" s="4"/>
      <c r="Q505" s="4"/>
      <c r="R505" s="4"/>
      <c r="S505" s="4"/>
      <c r="T505" s="4"/>
      <c r="U505" s="4"/>
      <c r="V505" s="4"/>
      <c r="W505" s="4"/>
    </row>
    <row r="506" spans="1:23" s="32" customFormat="1" ht="14.4" hidden="1" customHeight="1" x14ac:dyDescent="0.3">
      <c r="A506" s="22" t="s">
        <v>20</v>
      </c>
      <c r="B506" s="21">
        <v>46009</v>
      </c>
      <c r="C506" s="22" t="s">
        <v>17</v>
      </c>
      <c r="D506" s="13" t="s">
        <v>65</v>
      </c>
      <c r="E506" s="20" t="s">
        <v>337</v>
      </c>
      <c r="F506" s="3" t="s">
        <v>429</v>
      </c>
      <c r="G506" s="23">
        <v>46007</v>
      </c>
      <c r="H506" s="17">
        <v>46009</v>
      </c>
      <c r="I506" s="23"/>
      <c r="J506" s="103"/>
      <c r="K506" s="44">
        <v>0.3125</v>
      </c>
      <c r="L506" s="45">
        <v>0.52083333333333337</v>
      </c>
      <c r="M506" s="11">
        <f t="shared" si="7"/>
        <v>5.0000000000000009</v>
      </c>
      <c r="N506" s="34" t="s">
        <v>0</v>
      </c>
      <c r="P506" s="4"/>
      <c r="Q506" s="4"/>
      <c r="R506" s="4"/>
      <c r="S506" s="4"/>
      <c r="T506" s="4"/>
      <c r="U506" s="4"/>
      <c r="V506" s="4"/>
      <c r="W506" s="4"/>
    </row>
    <row r="507" spans="1:23" s="32" customFormat="1" ht="14.4" hidden="1" customHeight="1" x14ac:dyDescent="0.3">
      <c r="A507" s="22" t="s">
        <v>20</v>
      </c>
      <c r="B507" s="21">
        <v>46009</v>
      </c>
      <c r="C507" s="22" t="s">
        <v>47</v>
      </c>
      <c r="D507" s="216" t="s">
        <v>65</v>
      </c>
      <c r="E507" s="216" t="s">
        <v>395</v>
      </c>
      <c r="F507" s="26" t="s">
        <v>396</v>
      </c>
      <c r="G507" s="219">
        <v>46003</v>
      </c>
      <c r="H507" s="219">
        <v>46009</v>
      </c>
      <c r="I507" s="219"/>
      <c r="J507" s="101"/>
      <c r="K507" s="44">
        <v>0.33333333333333331</v>
      </c>
      <c r="L507" s="45">
        <v>0.79166666666666663</v>
      </c>
      <c r="M507" s="11">
        <f t="shared" si="7"/>
        <v>11</v>
      </c>
      <c r="N507" s="214" t="s">
        <v>1</v>
      </c>
      <c r="P507" s="4"/>
      <c r="Q507" s="4"/>
      <c r="R507" s="4"/>
      <c r="S507" s="4"/>
      <c r="T507" s="4"/>
      <c r="U507" s="4"/>
      <c r="V507" s="4"/>
      <c r="W507" s="4"/>
    </row>
    <row r="508" spans="1:23" s="32" customFormat="1" ht="14.4" hidden="1" customHeight="1" x14ac:dyDescent="0.3">
      <c r="A508" s="22" t="s">
        <v>20</v>
      </c>
      <c r="B508" s="21">
        <v>46009</v>
      </c>
      <c r="C508" s="22" t="s">
        <v>31</v>
      </c>
      <c r="D508" s="217"/>
      <c r="E508" s="217"/>
      <c r="F508" s="27"/>
      <c r="G508" s="220"/>
      <c r="H508" s="220"/>
      <c r="I508" s="220"/>
      <c r="J508" s="19"/>
      <c r="K508" s="45">
        <v>0.4375</v>
      </c>
      <c r="L508" s="45">
        <v>0.45833333333333331</v>
      </c>
      <c r="M508" s="11">
        <f t="shared" si="7"/>
        <v>0.49999999999999956</v>
      </c>
      <c r="N508" s="215"/>
      <c r="P508" s="4"/>
      <c r="Q508" s="4"/>
      <c r="R508" s="4"/>
      <c r="S508" s="4"/>
      <c r="T508" s="4"/>
      <c r="U508" s="4"/>
      <c r="V508" s="4"/>
      <c r="W508" s="4"/>
    </row>
    <row r="509" spans="1:23" s="32" customFormat="1" ht="14.4" hidden="1" customHeight="1" x14ac:dyDescent="0.3">
      <c r="A509" s="22" t="s">
        <v>20</v>
      </c>
      <c r="B509" s="21">
        <v>46009</v>
      </c>
      <c r="C509" s="22" t="s">
        <v>167</v>
      </c>
      <c r="D509" s="216" t="s">
        <v>65</v>
      </c>
      <c r="E509" s="216" t="s">
        <v>354</v>
      </c>
      <c r="F509" s="26" t="s">
        <v>394</v>
      </c>
      <c r="G509" s="219">
        <v>46006</v>
      </c>
      <c r="H509" s="219">
        <v>46009</v>
      </c>
      <c r="I509" s="219"/>
      <c r="J509" s="101"/>
      <c r="K509" s="44">
        <v>0.3125</v>
      </c>
      <c r="L509" s="45">
        <v>0.47916666666666669</v>
      </c>
      <c r="M509" s="11">
        <f t="shared" si="7"/>
        <v>4</v>
      </c>
      <c r="N509" s="214" t="s">
        <v>1</v>
      </c>
      <c r="P509" s="4"/>
      <c r="Q509" s="4"/>
      <c r="R509" s="4"/>
      <c r="S509" s="4"/>
      <c r="T509" s="4"/>
      <c r="U509" s="4"/>
      <c r="V509" s="4"/>
      <c r="W509" s="4"/>
    </row>
    <row r="510" spans="1:23" s="32" customFormat="1" ht="14.4" hidden="1" customHeight="1" x14ac:dyDescent="0.3">
      <c r="A510" s="22" t="s">
        <v>20</v>
      </c>
      <c r="B510" s="21">
        <v>46009</v>
      </c>
      <c r="C510" s="22" t="s">
        <v>31</v>
      </c>
      <c r="D510" s="217"/>
      <c r="E510" s="217"/>
      <c r="F510" s="27"/>
      <c r="G510" s="220"/>
      <c r="H510" s="220"/>
      <c r="I510" s="220"/>
      <c r="J510" s="19"/>
      <c r="K510" s="45">
        <v>0.45833333333333331</v>
      </c>
      <c r="L510" s="45">
        <v>0.5</v>
      </c>
      <c r="M510" s="11">
        <f t="shared" si="7"/>
        <v>1.0000000000000004</v>
      </c>
      <c r="N510" s="215"/>
      <c r="P510" s="4"/>
      <c r="Q510" s="4"/>
      <c r="R510" s="4"/>
      <c r="S510" s="4"/>
      <c r="T510" s="4"/>
      <c r="U510" s="4"/>
      <c r="V510" s="4"/>
      <c r="W510" s="4"/>
    </row>
    <row r="511" spans="1:23" s="32" customFormat="1" ht="14.4" hidden="1" customHeight="1" x14ac:dyDescent="0.3">
      <c r="A511" s="22" t="s">
        <v>20</v>
      </c>
      <c r="B511" s="21">
        <v>46009</v>
      </c>
      <c r="C511" s="22" t="s">
        <v>167</v>
      </c>
      <c r="D511" s="22" t="s">
        <v>65</v>
      </c>
      <c r="E511" s="20" t="s">
        <v>308</v>
      </c>
      <c r="F511" s="3" t="s">
        <v>381</v>
      </c>
      <c r="G511" s="23">
        <v>46004</v>
      </c>
      <c r="H511" s="23">
        <v>46009</v>
      </c>
      <c r="I511" s="23"/>
      <c r="J511" s="23"/>
      <c r="K511" s="47">
        <v>0.3125</v>
      </c>
      <c r="L511" s="45">
        <v>0.52083333333333337</v>
      </c>
      <c r="M511" s="11">
        <f t="shared" si="7"/>
        <v>5.0000000000000009</v>
      </c>
      <c r="N511" s="75" t="s">
        <v>30</v>
      </c>
      <c r="P511" s="4"/>
      <c r="Q511" s="4"/>
      <c r="R511" s="4"/>
      <c r="S511" s="4"/>
      <c r="T511" s="4"/>
      <c r="U511" s="4"/>
      <c r="V511" s="4"/>
      <c r="W511" s="4"/>
    </row>
    <row r="512" spans="1:23" s="32" customFormat="1" ht="14.4" hidden="1" customHeight="1" x14ac:dyDescent="0.3">
      <c r="A512" s="22" t="s">
        <v>20</v>
      </c>
      <c r="B512" s="21">
        <v>46009</v>
      </c>
      <c r="C512" s="22" t="s">
        <v>16</v>
      </c>
      <c r="D512" s="216" t="s">
        <v>65</v>
      </c>
      <c r="E512" s="216" t="s">
        <v>306</v>
      </c>
      <c r="F512" s="26" t="s">
        <v>380</v>
      </c>
      <c r="G512" s="219">
        <v>46004</v>
      </c>
      <c r="H512" s="219">
        <v>46008</v>
      </c>
      <c r="I512" s="219"/>
      <c r="J512" s="17"/>
      <c r="K512" s="47">
        <v>0.3125</v>
      </c>
      <c r="L512" s="45">
        <v>0.77083333333333337</v>
      </c>
      <c r="M512" s="11">
        <f t="shared" si="7"/>
        <v>11</v>
      </c>
      <c r="N512" s="214" t="s">
        <v>30</v>
      </c>
      <c r="P512" s="4"/>
      <c r="Q512" s="4"/>
      <c r="R512" s="4"/>
      <c r="S512" s="4"/>
      <c r="T512" s="4"/>
      <c r="U512" s="4"/>
      <c r="V512" s="4"/>
      <c r="W512" s="4"/>
    </row>
    <row r="513" spans="1:23" s="32" customFormat="1" ht="14.4" hidden="1" customHeight="1" x14ac:dyDescent="0.3">
      <c r="A513" s="22" t="s">
        <v>20</v>
      </c>
      <c r="B513" s="21">
        <v>46009</v>
      </c>
      <c r="C513" s="22" t="s">
        <v>31</v>
      </c>
      <c r="D513" s="217"/>
      <c r="E513" s="217"/>
      <c r="F513" s="27"/>
      <c r="G513" s="220"/>
      <c r="H513" s="220"/>
      <c r="I513" s="220"/>
      <c r="J513" s="19"/>
      <c r="K513" s="45">
        <v>0.4375</v>
      </c>
      <c r="L513" s="45">
        <v>0.45833333333333331</v>
      </c>
      <c r="M513" s="11">
        <f t="shared" si="7"/>
        <v>0.49999999999999956</v>
      </c>
      <c r="N513" s="215"/>
      <c r="P513" s="4"/>
      <c r="Q513" s="4"/>
      <c r="R513" s="4"/>
      <c r="S513" s="4"/>
      <c r="T513" s="4"/>
      <c r="U513" s="4"/>
      <c r="V513" s="4"/>
      <c r="W513" s="4"/>
    </row>
    <row r="514" spans="1:23" s="32" customFormat="1" ht="14.4" hidden="1" customHeight="1" x14ac:dyDescent="0.3">
      <c r="A514" s="22" t="s">
        <v>20</v>
      </c>
      <c r="B514" s="21">
        <v>46009</v>
      </c>
      <c r="C514" s="22" t="s">
        <v>31</v>
      </c>
      <c r="D514" s="22" t="s">
        <v>27</v>
      </c>
      <c r="E514" s="69" t="s">
        <v>82</v>
      </c>
      <c r="F514" s="25" t="s">
        <v>397</v>
      </c>
      <c r="G514" s="30">
        <v>46009</v>
      </c>
      <c r="H514" s="30">
        <v>46009</v>
      </c>
      <c r="I514" s="30"/>
      <c r="J514" s="30"/>
      <c r="K514" s="45">
        <v>0.41666666666666669</v>
      </c>
      <c r="L514" s="45">
        <v>0.45833333333333331</v>
      </c>
      <c r="M514" s="11">
        <f t="shared" si="7"/>
        <v>0.99999999999999911</v>
      </c>
      <c r="N514" s="11" t="s">
        <v>1</v>
      </c>
      <c r="P514" s="4"/>
      <c r="Q514" s="4"/>
      <c r="R514" s="4"/>
      <c r="S514" s="4"/>
      <c r="T514" s="4"/>
      <c r="U514" s="4"/>
      <c r="V514" s="4"/>
      <c r="W514" s="4"/>
    </row>
    <row r="515" spans="1:23" s="32" customFormat="1" ht="14.4" hidden="1" customHeight="1" x14ac:dyDescent="0.3">
      <c r="A515" s="22" t="s">
        <v>21</v>
      </c>
      <c r="B515" s="21">
        <v>46010</v>
      </c>
      <c r="C515" s="22" t="s">
        <v>50</v>
      </c>
      <c r="D515" s="216" t="s">
        <v>24</v>
      </c>
      <c r="E515" s="216" t="s">
        <v>428</v>
      </c>
      <c r="F515" s="26" t="s">
        <v>430</v>
      </c>
      <c r="G515" s="219">
        <v>46010</v>
      </c>
      <c r="H515" s="219">
        <v>46010</v>
      </c>
      <c r="I515" s="219"/>
      <c r="J515" s="17"/>
      <c r="K515" s="45">
        <v>0.29166666666666669</v>
      </c>
      <c r="L515" s="45">
        <v>0.70833333333333337</v>
      </c>
      <c r="M515" s="11">
        <f t="shared" ref="M515:M578" si="8">MOD(L515-K515,1)*24</f>
        <v>10</v>
      </c>
      <c r="N515" s="214" t="s">
        <v>1</v>
      </c>
      <c r="P515" s="4"/>
      <c r="Q515" s="4"/>
      <c r="R515" s="4"/>
      <c r="S515" s="4"/>
      <c r="T515" s="4"/>
      <c r="U515" s="4"/>
      <c r="V515" s="4"/>
      <c r="W515" s="4"/>
    </row>
    <row r="516" spans="1:23" s="32" customFormat="1" ht="14.4" hidden="1" customHeight="1" x14ac:dyDescent="0.3">
      <c r="A516" s="22" t="s">
        <v>21</v>
      </c>
      <c r="B516" s="21">
        <v>46010</v>
      </c>
      <c r="C516" s="22" t="s">
        <v>51</v>
      </c>
      <c r="D516" s="217"/>
      <c r="E516" s="217"/>
      <c r="F516" s="27"/>
      <c r="G516" s="220"/>
      <c r="H516" s="220"/>
      <c r="I516" s="220"/>
      <c r="J516" s="19"/>
      <c r="K516" s="45">
        <v>0.29166666666666669</v>
      </c>
      <c r="L516" s="45">
        <v>0.70833333333333337</v>
      </c>
      <c r="M516" s="11">
        <f t="shared" si="8"/>
        <v>10</v>
      </c>
      <c r="N516" s="215"/>
      <c r="P516" s="4"/>
      <c r="Q516" s="4"/>
      <c r="R516" s="4"/>
      <c r="S516" s="4"/>
      <c r="T516" s="4"/>
      <c r="U516" s="4"/>
      <c r="V516" s="4"/>
      <c r="W516" s="4"/>
    </row>
    <row r="517" spans="1:23" s="32" customFormat="1" ht="14.4" hidden="1" customHeight="1" x14ac:dyDescent="0.3">
      <c r="A517" s="22" t="s">
        <v>21</v>
      </c>
      <c r="B517" s="21">
        <v>46010</v>
      </c>
      <c r="C517" s="22" t="s">
        <v>274</v>
      </c>
      <c r="D517" s="214" t="s">
        <v>24</v>
      </c>
      <c r="E517" s="214" t="s">
        <v>424</v>
      </c>
      <c r="F517" s="28" t="s">
        <v>425</v>
      </c>
      <c r="G517" s="219">
        <v>46010</v>
      </c>
      <c r="H517" s="219">
        <v>46010</v>
      </c>
      <c r="I517" s="219">
        <v>46010</v>
      </c>
      <c r="J517" s="17"/>
      <c r="K517" s="45">
        <v>0.3125</v>
      </c>
      <c r="L517" s="45">
        <v>0.6875</v>
      </c>
      <c r="M517" s="11">
        <f t="shared" si="8"/>
        <v>9</v>
      </c>
      <c r="N517" s="214" t="s">
        <v>0</v>
      </c>
      <c r="P517" s="4"/>
      <c r="Q517" s="4"/>
      <c r="R517" s="4"/>
      <c r="S517" s="4"/>
      <c r="T517" s="4"/>
      <c r="U517" s="4"/>
      <c r="V517" s="4"/>
      <c r="W517" s="4"/>
    </row>
    <row r="518" spans="1:23" s="32" customFormat="1" ht="14.4" hidden="1" customHeight="1" x14ac:dyDescent="0.3">
      <c r="A518" s="22" t="s">
        <v>21</v>
      </c>
      <c r="B518" s="21">
        <v>46010</v>
      </c>
      <c r="C518" s="22" t="s">
        <v>25</v>
      </c>
      <c r="D518" s="226"/>
      <c r="E518" s="226"/>
      <c r="F518" s="73"/>
      <c r="G518" s="229"/>
      <c r="H518" s="229"/>
      <c r="I518" s="229"/>
      <c r="J518" s="23"/>
      <c r="K518" s="47">
        <v>0.3125</v>
      </c>
      <c r="L518" s="45">
        <v>0.6875</v>
      </c>
      <c r="M518" s="11">
        <f t="shared" si="8"/>
        <v>9</v>
      </c>
      <c r="N518" s="226"/>
      <c r="P518" s="4"/>
      <c r="Q518" s="4"/>
      <c r="R518" s="4"/>
      <c r="S518" s="4"/>
      <c r="T518" s="4"/>
      <c r="U518" s="4"/>
      <c r="V518" s="4"/>
      <c r="W518" s="4"/>
    </row>
    <row r="519" spans="1:23" s="32" customFormat="1" ht="14.4" hidden="1" customHeight="1" x14ac:dyDescent="0.3">
      <c r="A519" s="22" t="s">
        <v>21</v>
      </c>
      <c r="B519" s="21">
        <v>46010</v>
      </c>
      <c r="C519" s="22" t="s">
        <v>22</v>
      </c>
      <c r="D519" s="22" t="s">
        <v>8</v>
      </c>
      <c r="E519" s="24" t="s">
        <v>406</v>
      </c>
      <c r="F519" s="25" t="s">
        <v>426</v>
      </c>
      <c r="G519" s="21">
        <v>46009</v>
      </c>
      <c r="H519" s="21">
        <v>46010</v>
      </c>
      <c r="I519" s="21"/>
      <c r="J519" s="21"/>
      <c r="K519" s="45">
        <v>0.3125</v>
      </c>
      <c r="L519" s="45">
        <v>0.6875</v>
      </c>
      <c r="M519" s="11">
        <f t="shared" si="8"/>
        <v>9</v>
      </c>
      <c r="N519" s="11" t="s">
        <v>1</v>
      </c>
      <c r="P519" s="4"/>
      <c r="Q519" s="4"/>
      <c r="R519" s="4"/>
      <c r="S519" s="4"/>
      <c r="T519" s="4"/>
      <c r="U519" s="4"/>
      <c r="V519" s="4"/>
      <c r="W519" s="4"/>
    </row>
    <row r="520" spans="1:23" s="32" customFormat="1" ht="28.8" hidden="1" customHeight="1" x14ac:dyDescent="0.3">
      <c r="A520" s="22" t="s">
        <v>21</v>
      </c>
      <c r="B520" s="21">
        <v>46010</v>
      </c>
      <c r="C520" s="22" t="s">
        <v>118</v>
      </c>
      <c r="D520" s="24" t="s">
        <v>24</v>
      </c>
      <c r="E520" s="12" t="s">
        <v>200</v>
      </c>
      <c r="F520" s="29" t="s">
        <v>427</v>
      </c>
      <c r="G520" s="21">
        <v>46010</v>
      </c>
      <c r="H520" s="21">
        <v>46010</v>
      </c>
      <c r="I520" s="21">
        <v>46010</v>
      </c>
      <c r="J520" s="17"/>
      <c r="K520" s="47">
        <v>0.33333333333333331</v>
      </c>
      <c r="L520" s="45">
        <v>0.70833333333333337</v>
      </c>
      <c r="M520" s="11">
        <f t="shared" si="8"/>
        <v>9.0000000000000018</v>
      </c>
      <c r="N520" s="11" t="s">
        <v>0</v>
      </c>
      <c r="P520" s="4"/>
      <c r="Q520" s="4"/>
      <c r="R520" s="4"/>
      <c r="S520" s="4"/>
      <c r="T520" s="4"/>
      <c r="U520" s="4"/>
      <c r="V520" s="4"/>
      <c r="W520" s="4"/>
    </row>
    <row r="521" spans="1:23" s="32" customFormat="1" ht="14.4" hidden="1" customHeight="1" x14ac:dyDescent="0.3">
      <c r="A521" s="22" t="s">
        <v>19</v>
      </c>
      <c r="B521" s="21">
        <v>46010</v>
      </c>
      <c r="C521" s="22" t="s">
        <v>9</v>
      </c>
      <c r="D521" s="14" t="s">
        <v>8</v>
      </c>
      <c r="E521" s="14" t="s">
        <v>75</v>
      </c>
      <c r="F521" s="27" t="s">
        <v>374</v>
      </c>
      <c r="G521" s="21">
        <v>45987</v>
      </c>
      <c r="H521" s="21">
        <v>46008</v>
      </c>
      <c r="I521" s="19"/>
      <c r="J521" s="23"/>
      <c r="K521" s="47">
        <v>0.3125</v>
      </c>
      <c r="L521" s="45">
        <v>0.39583333333333331</v>
      </c>
      <c r="M521" s="11">
        <f t="shared" si="8"/>
        <v>1.9999999999999996</v>
      </c>
      <c r="N521" s="11" t="s">
        <v>1</v>
      </c>
      <c r="P521" s="4"/>
      <c r="Q521" s="4"/>
      <c r="R521" s="4"/>
      <c r="S521" s="4"/>
      <c r="T521" s="4"/>
      <c r="U521" s="4"/>
      <c r="V521" s="4"/>
      <c r="W521" s="4"/>
    </row>
    <row r="522" spans="1:23" s="32" customFormat="1" ht="14.4" hidden="1" customHeight="1" x14ac:dyDescent="0.3">
      <c r="A522" s="22" t="s">
        <v>19</v>
      </c>
      <c r="B522" s="21">
        <v>46010</v>
      </c>
      <c r="C522" s="22" t="s">
        <v>7</v>
      </c>
      <c r="D522" s="216" t="s">
        <v>8</v>
      </c>
      <c r="E522" s="216" t="s">
        <v>316</v>
      </c>
      <c r="F522" s="26" t="s">
        <v>418</v>
      </c>
      <c r="G522" s="219">
        <v>45982</v>
      </c>
      <c r="H522" s="219">
        <v>46010</v>
      </c>
      <c r="I522" s="219">
        <v>46010</v>
      </c>
      <c r="J522" s="17"/>
      <c r="K522" s="47">
        <v>0.40625</v>
      </c>
      <c r="L522" s="45">
        <v>0.6875</v>
      </c>
      <c r="M522" s="11">
        <f t="shared" si="8"/>
        <v>6.75</v>
      </c>
      <c r="N522" s="233" t="s">
        <v>0</v>
      </c>
      <c r="P522" s="4"/>
      <c r="Q522" s="4"/>
      <c r="R522" s="4"/>
      <c r="S522" s="4"/>
      <c r="T522" s="4"/>
      <c r="U522" s="4"/>
      <c r="V522" s="4"/>
      <c r="W522" s="4"/>
    </row>
    <row r="523" spans="1:23" s="32" customFormat="1" ht="14.4" hidden="1" customHeight="1" x14ac:dyDescent="0.3">
      <c r="A523" s="22" t="s">
        <v>19</v>
      </c>
      <c r="B523" s="21">
        <v>46010</v>
      </c>
      <c r="C523" s="22" t="s">
        <v>9</v>
      </c>
      <c r="D523" s="217"/>
      <c r="E523" s="217"/>
      <c r="F523" s="27"/>
      <c r="G523" s="220"/>
      <c r="H523" s="220"/>
      <c r="I523" s="220"/>
      <c r="J523" s="23"/>
      <c r="K523" s="47">
        <v>0.58333333333333337</v>
      </c>
      <c r="L523" s="45">
        <v>0.60416666666666663</v>
      </c>
      <c r="M523" s="11">
        <f t="shared" si="8"/>
        <v>0.49999999999999822</v>
      </c>
      <c r="N523" s="233"/>
      <c r="P523" s="4"/>
      <c r="Q523" s="4"/>
      <c r="R523" s="4"/>
      <c r="S523" s="4"/>
      <c r="T523" s="4"/>
      <c r="U523" s="4"/>
      <c r="V523" s="4"/>
      <c r="W523" s="4"/>
    </row>
    <row r="524" spans="1:23" s="32" customFormat="1" ht="14.4" hidden="1" customHeight="1" x14ac:dyDescent="0.3">
      <c r="A524" s="22" t="s">
        <v>19</v>
      </c>
      <c r="B524" s="21">
        <v>46010</v>
      </c>
      <c r="C524" s="22" t="s">
        <v>9</v>
      </c>
      <c r="D524" s="221" t="s">
        <v>8</v>
      </c>
      <c r="E524" s="221" t="s">
        <v>416</v>
      </c>
      <c r="F524" s="25" t="s">
        <v>417</v>
      </c>
      <c r="G524" s="219">
        <v>46010</v>
      </c>
      <c r="H524" s="219">
        <v>46010</v>
      </c>
      <c r="I524" s="219">
        <v>46010</v>
      </c>
      <c r="J524" s="17"/>
      <c r="K524" s="47">
        <v>0.375</v>
      </c>
      <c r="L524" s="45">
        <v>0.58333333333333337</v>
      </c>
      <c r="M524" s="11">
        <f t="shared" si="8"/>
        <v>5.0000000000000009</v>
      </c>
      <c r="N524" s="231" t="s">
        <v>0</v>
      </c>
      <c r="P524" s="4"/>
      <c r="Q524" s="4"/>
      <c r="R524" s="4"/>
      <c r="S524" s="4"/>
      <c r="T524" s="4"/>
      <c r="U524" s="4"/>
      <c r="V524" s="4"/>
      <c r="W524" s="4"/>
    </row>
    <row r="525" spans="1:23" s="32" customFormat="1" ht="14.4" hidden="1" customHeight="1" x14ac:dyDescent="0.3">
      <c r="A525" s="22" t="s">
        <v>19</v>
      </c>
      <c r="B525" s="21">
        <v>46010</v>
      </c>
      <c r="C525" s="22" t="s">
        <v>208</v>
      </c>
      <c r="D525" s="221"/>
      <c r="E525" s="221"/>
      <c r="F525" s="25"/>
      <c r="G525" s="220"/>
      <c r="H525" s="220"/>
      <c r="I525" s="220"/>
      <c r="J525" s="23"/>
      <c r="K525" s="47">
        <v>0.375</v>
      </c>
      <c r="L525" s="45">
        <v>0.58333333333333337</v>
      </c>
      <c r="M525" s="11">
        <f t="shared" si="8"/>
        <v>5.0000000000000009</v>
      </c>
      <c r="N525" s="225"/>
      <c r="P525" s="4"/>
      <c r="Q525" s="4"/>
      <c r="R525" s="4"/>
      <c r="S525" s="4"/>
      <c r="T525" s="4"/>
      <c r="U525" s="4"/>
      <c r="V525" s="4"/>
      <c r="W525" s="4"/>
    </row>
    <row r="526" spans="1:23" s="32" customFormat="1" ht="14.4" hidden="1" customHeight="1" x14ac:dyDescent="0.3">
      <c r="A526" s="22" t="s">
        <v>20</v>
      </c>
      <c r="B526" s="21">
        <v>46010</v>
      </c>
      <c r="C526" s="69" t="s">
        <v>12</v>
      </c>
      <c r="D526" s="233" t="s">
        <v>44</v>
      </c>
      <c r="E526" s="238" t="s">
        <v>419</v>
      </c>
      <c r="F526" s="25" t="s">
        <v>420</v>
      </c>
      <c r="G526" s="223">
        <v>46010</v>
      </c>
      <c r="H526" s="223">
        <v>46021</v>
      </c>
      <c r="I526" s="223">
        <v>46010</v>
      </c>
      <c r="J526" s="21"/>
      <c r="K526" s="45">
        <v>0.33333333333333331</v>
      </c>
      <c r="L526" s="48">
        <v>0.5</v>
      </c>
      <c r="M526" s="11">
        <f t="shared" si="8"/>
        <v>4</v>
      </c>
      <c r="N526" s="231" t="s">
        <v>0</v>
      </c>
      <c r="P526" s="4"/>
      <c r="Q526" s="4"/>
      <c r="R526" s="4"/>
      <c r="S526" s="4"/>
      <c r="T526" s="4"/>
      <c r="U526" s="4"/>
      <c r="V526" s="4"/>
      <c r="W526" s="4"/>
    </row>
    <row r="527" spans="1:23" s="32" customFormat="1" ht="14.4" hidden="1" customHeight="1" x14ac:dyDescent="0.3">
      <c r="A527" s="22" t="s">
        <v>20</v>
      </c>
      <c r="B527" s="21">
        <v>46010</v>
      </c>
      <c r="C527" s="69" t="s">
        <v>33</v>
      </c>
      <c r="D527" s="233"/>
      <c r="E527" s="233"/>
      <c r="F527" s="25"/>
      <c r="G527" s="223"/>
      <c r="H527" s="223"/>
      <c r="I527" s="223"/>
      <c r="J527" s="21"/>
      <c r="K527" s="45">
        <v>0.3125</v>
      </c>
      <c r="L527" s="48">
        <v>0.6875</v>
      </c>
      <c r="M527" s="11">
        <f t="shared" si="8"/>
        <v>9</v>
      </c>
      <c r="N527" s="225"/>
      <c r="P527" s="4"/>
      <c r="Q527" s="4"/>
      <c r="R527" s="4"/>
      <c r="S527" s="4"/>
      <c r="T527" s="4"/>
      <c r="U527" s="4"/>
      <c r="V527" s="4"/>
      <c r="W527" s="4"/>
    </row>
    <row r="528" spans="1:23" s="32" customFormat="1" ht="14.4" hidden="1" customHeight="1" x14ac:dyDescent="0.3">
      <c r="A528" s="22" t="s">
        <v>20</v>
      </c>
      <c r="B528" s="21">
        <v>46010</v>
      </c>
      <c r="C528" s="69" t="s">
        <v>12</v>
      </c>
      <c r="D528" s="233" t="s">
        <v>44</v>
      </c>
      <c r="E528" s="214" t="s">
        <v>422</v>
      </c>
      <c r="F528" s="11" t="s">
        <v>423</v>
      </c>
      <c r="G528" s="223">
        <v>46010</v>
      </c>
      <c r="H528" s="223">
        <v>46010</v>
      </c>
      <c r="I528" s="223">
        <v>46010</v>
      </c>
      <c r="J528" s="21"/>
      <c r="K528" s="48">
        <v>0.54166666666666663</v>
      </c>
      <c r="L528" s="48">
        <v>0.70833333333333337</v>
      </c>
      <c r="M528" s="11">
        <f t="shared" si="8"/>
        <v>4.0000000000000018</v>
      </c>
      <c r="N528" s="231" t="s">
        <v>0</v>
      </c>
      <c r="P528" s="4"/>
      <c r="Q528" s="4"/>
      <c r="R528" s="4"/>
      <c r="S528" s="4"/>
      <c r="T528" s="4"/>
      <c r="U528" s="4"/>
      <c r="V528" s="4"/>
      <c r="W528" s="4"/>
    </row>
    <row r="529" spans="1:23" s="32" customFormat="1" ht="14.4" hidden="1" customHeight="1" x14ac:dyDescent="0.3">
      <c r="A529" s="22" t="s">
        <v>20</v>
      </c>
      <c r="B529" s="21">
        <v>46010</v>
      </c>
      <c r="C529" s="69" t="s">
        <v>421</v>
      </c>
      <c r="D529" s="233"/>
      <c r="E529" s="215"/>
      <c r="F529" s="12"/>
      <c r="G529" s="223"/>
      <c r="H529" s="223"/>
      <c r="I529" s="223"/>
      <c r="J529" s="21"/>
      <c r="K529" s="48">
        <v>0.625</v>
      </c>
      <c r="L529" s="48">
        <v>0.70833333333333337</v>
      </c>
      <c r="M529" s="11">
        <f t="shared" si="8"/>
        <v>2.0000000000000009</v>
      </c>
      <c r="N529" s="225"/>
      <c r="P529" s="4"/>
      <c r="Q529" s="4"/>
      <c r="R529" s="4"/>
      <c r="S529" s="4"/>
      <c r="T529" s="4"/>
      <c r="U529" s="4"/>
      <c r="V529" s="4"/>
      <c r="W529" s="4"/>
    </row>
    <row r="530" spans="1:23" s="32" customFormat="1" ht="14.4" hidden="1" customHeight="1" x14ac:dyDescent="0.3">
      <c r="A530" s="22" t="s">
        <v>20</v>
      </c>
      <c r="B530" s="21">
        <v>46010</v>
      </c>
      <c r="C530" s="22" t="s">
        <v>28</v>
      </c>
      <c r="D530" s="13" t="s">
        <v>65</v>
      </c>
      <c r="E530" s="13" t="s">
        <v>278</v>
      </c>
      <c r="F530" s="26" t="s">
        <v>414</v>
      </c>
      <c r="G530" s="17">
        <v>46010</v>
      </c>
      <c r="H530" s="17">
        <v>46010</v>
      </c>
      <c r="I530" s="17"/>
      <c r="J530" s="17"/>
      <c r="K530" s="45">
        <v>0.33333333333333331</v>
      </c>
      <c r="L530" s="48">
        <v>0.79166666666666663</v>
      </c>
      <c r="M530" s="11">
        <f t="shared" si="8"/>
        <v>11</v>
      </c>
      <c r="N530" s="11" t="s">
        <v>1</v>
      </c>
      <c r="P530" s="4"/>
      <c r="Q530" s="4"/>
      <c r="R530" s="4"/>
      <c r="S530" s="4"/>
      <c r="T530" s="4"/>
      <c r="U530" s="4"/>
      <c r="V530" s="4"/>
      <c r="W530" s="4"/>
    </row>
    <row r="531" spans="1:23" s="32" customFormat="1" ht="14.4" hidden="1" customHeight="1" x14ac:dyDescent="0.3">
      <c r="A531" s="22" t="s">
        <v>20</v>
      </c>
      <c r="B531" s="21">
        <v>46010</v>
      </c>
      <c r="C531" s="22" t="s">
        <v>17</v>
      </c>
      <c r="D531" s="216" t="s">
        <v>65</v>
      </c>
      <c r="E531" s="216" t="s">
        <v>412</v>
      </c>
      <c r="F531" s="26" t="s">
        <v>413</v>
      </c>
      <c r="G531" s="219">
        <v>46009</v>
      </c>
      <c r="H531" s="219">
        <v>46009</v>
      </c>
      <c r="I531" s="219">
        <v>46010</v>
      </c>
      <c r="J531" s="101"/>
      <c r="K531" s="44">
        <v>0.52083333333333337</v>
      </c>
      <c r="L531" s="45">
        <v>0.77083333333333337</v>
      </c>
      <c r="M531" s="11">
        <f t="shared" si="8"/>
        <v>6</v>
      </c>
      <c r="N531" s="214" t="s">
        <v>0</v>
      </c>
      <c r="P531" s="4"/>
      <c r="Q531" s="4"/>
      <c r="R531" s="4"/>
      <c r="S531" s="4"/>
      <c r="T531" s="4"/>
      <c r="U531" s="4"/>
      <c r="V531" s="4"/>
      <c r="W531" s="4"/>
    </row>
    <row r="532" spans="1:23" s="32" customFormat="1" ht="14.4" hidden="1" customHeight="1" x14ac:dyDescent="0.3">
      <c r="A532" s="22" t="s">
        <v>20</v>
      </c>
      <c r="B532" s="21">
        <v>46010</v>
      </c>
      <c r="C532" s="22" t="s">
        <v>31</v>
      </c>
      <c r="D532" s="217"/>
      <c r="E532" s="217"/>
      <c r="F532" s="27"/>
      <c r="G532" s="220"/>
      <c r="H532" s="220"/>
      <c r="I532" s="220"/>
      <c r="J532" s="102"/>
      <c r="K532" s="44">
        <v>0.39583333333333331</v>
      </c>
      <c r="L532" s="45">
        <v>0.4375</v>
      </c>
      <c r="M532" s="11">
        <f t="shared" si="8"/>
        <v>1.0000000000000004</v>
      </c>
      <c r="N532" s="215"/>
      <c r="P532" s="4"/>
      <c r="Q532" s="4"/>
      <c r="R532" s="4"/>
      <c r="S532" s="4"/>
      <c r="T532" s="4"/>
      <c r="U532" s="4"/>
      <c r="V532" s="4"/>
      <c r="W532" s="4"/>
    </row>
    <row r="533" spans="1:23" s="32" customFormat="1" ht="14.4" hidden="1" customHeight="1" x14ac:dyDescent="0.3">
      <c r="A533" s="22" t="s">
        <v>20</v>
      </c>
      <c r="B533" s="21">
        <v>46010</v>
      </c>
      <c r="C533" s="22" t="s">
        <v>47</v>
      </c>
      <c r="D533" s="216" t="s">
        <v>65</v>
      </c>
      <c r="E533" s="216" t="s">
        <v>395</v>
      </c>
      <c r="F533" s="26" t="s">
        <v>59</v>
      </c>
      <c r="G533" s="219">
        <v>46009</v>
      </c>
      <c r="H533" s="219">
        <v>46010</v>
      </c>
      <c r="I533" s="219">
        <v>46010</v>
      </c>
      <c r="J533" s="101"/>
      <c r="K533" s="44">
        <v>0.33333333333333331</v>
      </c>
      <c r="L533" s="45">
        <v>0.79166666666666663</v>
      </c>
      <c r="M533" s="11">
        <f t="shared" si="8"/>
        <v>11</v>
      </c>
      <c r="N533" s="214" t="s">
        <v>0</v>
      </c>
      <c r="P533" s="4"/>
      <c r="Q533" s="4"/>
      <c r="R533" s="4"/>
      <c r="S533" s="4"/>
      <c r="T533" s="4"/>
      <c r="U533" s="4"/>
      <c r="V533" s="4"/>
      <c r="W533" s="4"/>
    </row>
    <row r="534" spans="1:23" s="32" customFormat="1" ht="14.4" hidden="1" customHeight="1" x14ac:dyDescent="0.3">
      <c r="A534" s="22" t="s">
        <v>20</v>
      </c>
      <c r="B534" s="21">
        <v>46010</v>
      </c>
      <c r="C534" s="22" t="s">
        <v>31</v>
      </c>
      <c r="D534" s="217"/>
      <c r="E534" s="217"/>
      <c r="F534" s="27"/>
      <c r="G534" s="220"/>
      <c r="H534" s="220"/>
      <c r="I534" s="220"/>
      <c r="J534" s="19"/>
      <c r="K534" s="45">
        <v>0.4375</v>
      </c>
      <c r="L534" s="45">
        <v>0.45833333333333331</v>
      </c>
      <c r="M534" s="11">
        <f t="shared" si="8"/>
        <v>0.49999999999999956</v>
      </c>
      <c r="N534" s="215"/>
      <c r="P534" s="4"/>
      <c r="Q534" s="4"/>
      <c r="R534" s="4"/>
      <c r="S534" s="4"/>
      <c r="T534" s="4"/>
      <c r="U534" s="4"/>
      <c r="V534" s="4"/>
      <c r="W534" s="4"/>
    </row>
    <row r="535" spans="1:23" s="32" customFormat="1" ht="14.4" hidden="1" customHeight="1" x14ac:dyDescent="0.3">
      <c r="A535" s="22" t="s">
        <v>20</v>
      </c>
      <c r="B535" s="21">
        <v>46010</v>
      </c>
      <c r="C535" s="22" t="s">
        <v>167</v>
      </c>
      <c r="D535" s="216" t="s">
        <v>65</v>
      </c>
      <c r="E535" s="216" t="s">
        <v>308</v>
      </c>
      <c r="F535" s="26" t="s">
        <v>162</v>
      </c>
      <c r="G535" s="219">
        <v>46004</v>
      </c>
      <c r="H535" s="219">
        <v>46010</v>
      </c>
      <c r="I535" s="219"/>
      <c r="J535" s="101"/>
      <c r="K535" s="44">
        <v>0.3125</v>
      </c>
      <c r="L535" s="45">
        <v>0.47916666666666669</v>
      </c>
      <c r="M535" s="11">
        <f t="shared" si="8"/>
        <v>4</v>
      </c>
      <c r="N535" s="214" t="s">
        <v>0</v>
      </c>
      <c r="P535" s="4"/>
      <c r="Q535" s="4"/>
      <c r="R535" s="4"/>
      <c r="S535" s="4"/>
      <c r="T535" s="4"/>
      <c r="U535" s="4"/>
      <c r="V535" s="4"/>
      <c r="W535" s="4"/>
    </row>
    <row r="536" spans="1:23" s="32" customFormat="1" ht="14.4" hidden="1" customHeight="1" x14ac:dyDescent="0.3">
      <c r="A536" s="22" t="s">
        <v>20</v>
      </c>
      <c r="B536" s="21">
        <v>46010</v>
      </c>
      <c r="C536" s="22" t="s">
        <v>31</v>
      </c>
      <c r="D536" s="217"/>
      <c r="E536" s="217"/>
      <c r="F536" s="27"/>
      <c r="G536" s="220"/>
      <c r="H536" s="220"/>
      <c r="I536" s="220"/>
      <c r="J536" s="19"/>
      <c r="K536" s="45">
        <v>0.45833333333333331</v>
      </c>
      <c r="L536" s="45">
        <v>0.5</v>
      </c>
      <c r="M536" s="11">
        <f t="shared" si="8"/>
        <v>1.0000000000000004</v>
      </c>
      <c r="N536" s="215"/>
      <c r="P536" s="4"/>
      <c r="Q536" s="4"/>
      <c r="R536" s="4"/>
      <c r="S536" s="4"/>
      <c r="T536" s="4"/>
      <c r="U536" s="4"/>
      <c r="V536" s="4"/>
      <c r="W536" s="4"/>
    </row>
    <row r="537" spans="1:23" s="32" customFormat="1" ht="14.4" hidden="1" customHeight="1" x14ac:dyDescent="0.3">
      <c r="A537" s="22" t="s">
        <v>20</v>
      </c>
      <c r="B537" s="21">
        <v>46010</v>
      </c>
      <c r="C537" s="22" t="s">
        <v>16</v>
      </c>
      <c r="D537" s="216" t="s">
        <v>65</v>
      </c>
      <c r="E537" s="216" t="s">
        <v>306</v>
      </c>
      <c r="F537" s="26" t="s">
        <v>380</v>
      </c>
      <c r="G537" s="219">
        <v>46007</v>
      </c>
      <c r="H537" s="219">
        <v>46010</v>
      </c>
      <c r="I537" s="219">
        <v>46010</v>
      </c>
      <c r="J537" s="17"/>
      <c r="K537" s="47">
        <v>0.3125</v>
      </c>
      <c r="L537" s="45">
        <v>0.77083333333333337</v>
      </c>
      <c r="M537" s="11">
        <f t="shared" si="8"/>
        <v>11</v>
      </c>
      <c r="N537" s="214" t="s">
        <v>0</v>
      </c>
      <c r="P537" s="4"/>
      <c r="Q537" s="4"/>
      <c r="R537" s="4"/>
      <c r="S537" s="4"/>
      <c r="T537" s="4"/>
      <c r="U537" s="4"/>
      <c r="V537" s="4"/>
      <c r="W537" s="4"/>
    </row>
    <row r="538" spans="1:23" s="32" customFormat="1" ht="14.4" hidden="1" customHeight="1" x14ac:dyDescent="0.3">
      <c r="A538" s="22" t="s">
        <v>20</v>
      </c>
      <c r="B538" s="21">
        <v>46010</v>
      </c>
      <c r="C538" s="22" t="s">
        <v>31</v>
      </c>
      <c r="D538" s="217"/>
      <c r="E538" s="217"/>
      <c r="F538" s="27"/>
      <c r="G538" s="220"/>
      <c r="H538" s="220"/>
      <c r="I538" s="220"/>
      <c r="J538" s="19"/>
      <c r="K538" s="45">
        <v>0.4375</v>
      </c>
      <c r="L538" s="45">
        <v>0.45833333333333331</v>
      </c>
      <c r="M538" s="11">
        <f t="shared" si="8"/>
        <v>0.49999999999999956</v>
      </c>
      <c r="N538" s="215"/>
      <c r="P538" s="4"/>
      <c r="Q538" s="4"/>
      <c r="R538" s="4"/>
      <c r="S538" s="4"/>
      <c r="T538" s="4"/>
      <c r="U538" s="4"/>
      <c r="V538" s="4"/>
      <c r="W538" s="4"/>
    </row>
    <row r="539" spans="1:23" s="32" customFormat="1" ht="14.4" hidden="1" customHeight="1" x14ac:dyDescent="0.3">
      <c r="A539" s="22" t="s">
        <v>20</v>
      </c>
      <c r="B539" s="21">
        <v>46010</v>
      </c>
      <c r="C539" s="22" t="s">
        <v>31</v>
      </c>
      <c r="D539" s="11" t="s">
        <v>27</v>
      </c>
      <c r="E539" s="76" t="s">
        <v>82</v>
      </c>
      <c r="F539" s="26" t="s">
        <v>397</v>
      </c>
      <c r="G539" s="16">
        <v>46009</v>
      </c>
      <c r="H539" s="16">
        <v>46010</v>
      </c>
      <c r="I539" s="16"/>
      <c r="J539" s="16"/>
      <c r="K539" s="47">
        <v>0.41666666666666669</v>
      </c>
      <c r="L539" s="47">
        <v>0.45833333333333331</v>
      </c>
      <c r="M539" s="11">
        <f t="shared" si="8"/>
        <v>0.99999999999999911</v>
      </c>
      <c r="N539" s="11" t="s">
        <v>1</v>
      </c>
      <c r="P539" s="4"/>
      <c r="Q539" s="4"/>
      <c r="R539" s="4"/>
      <c r="S539" s="4"/>
      <c r="T539" s="4"/>
      <c r="U539" s="4"/>
      <c r="V539" s="4"/>
      <c r="W539" s="4"/>
    </row>
    <row r="540" spans="1:23" s="32" customFormat="1" ht="14.4" hidden="1" customHeight="1" x14ac:dyDescent="0.3">
      <c r="A540" s="22" t="s">
        <v>20</v>
      </c>
      <c r="B540" s="21">
        <v>46010</v>
      </c>
      <c r="C540" s="69" t="s">
        <v>15</v>
      </c>
      <c r="D540" s="24" t="s">
        <v>65</v>
      </c>
      <c r="E540" s="22" t="s">
        <v>337</v>
      </c>
      <c r="F540" s="25" t="s">
        <v>59</v>
      </c>
      <c r="G540" s="30">
        <v>46007</v>
      </c>
      <c r="H540" s="30">
        <v>46010</v>
      </c>
      <c r="I540" s="30">
        <v>46010</v>
      </c>
      <c r="J540" s="30"/>
      <c r="K540" s="48">
        <v>0.3125</v>
      </c>
      <c r="L540" s="48">
        <v>0.79166666666666663</v>
      </c>
      <c r="M540" s="11">
        <f t="shared" si="8"/>
        <v>11.5</v>
      </c>
      <c r="N540" s="22" t="s">
        <v>0</v>
      </c>
      <c r="P540" s="4"/>
      <c r="Q540" s="4"/>
      <c r="R540" s="4"/>
      <c r="S540" s="4"/>
      <c r="T540" s="4"/>
      <c r="U540" s="4"/>
      <c r="V540" s="4"/>
      <c r="W540" s="4"/>
    </row>
    <row r="541" spans="1:23" s="32" customFormat="1" ht="14.4" hidden="1" customHeight="1" x14ac:dyDescent="0.3">
      <c r="A541" s="22" t="s">
        <v>20</v>
      </c>
      <c r="B541" s="21">
        <v>46010</v>
      </c>
      <c r="C541" s="22" t="s">
        <v>17</v>
      </c>
      <c r="D541" s="24" t="s">
        <v>65</v>
      </c>
      <c r="E541" s="22" t="s">
        <v>415</v>
      </c>
      <c r="F541" s="25" t="s">
        <v>413</v>
      </c>
      <c r="G541" s="30">
        <v>46009</v>
      </c>
      <c r="H541" s="30">
        <v>46010</v>
      </c>
      <c r="I541" s="30">
        <v>46010</v>
      </c>
      <c r="J541" s="30"/>
      <c r="K541" s="48">
        <v>0.3125</v>
      </c>
      <c r="L541" s="48">
        <v>0.5</v>
      </c>
      <c r="M541" s="11">
        <f t="shared" si="8"/>
        <v>4.5</v>
      </c>
      <c r="N541" s="22" t="s">
        <v>0</v>
      </c>
      <c r="P541" s="4"/>
      <c r="Q541" s="4"/>
      <c r="R541" s="4"/>
      <c r="S541" s="4"/>
      <c r="T541" s="4"/>
      <c r="U541" s="4"/>
      <c r="V541" s="4"/>
      <c r="W541" s="4"/>
    </row>
    <row r="542" spans="1:23" s="32" customFormat="1" ht="14.4" hidden="1" customHeight="1" x14ac:dyDescent="0.3">
      <c r="A542" s="22" t="s">
        <v>20</v>
      </c>
      <c r="B542" s="21">
        <v>46009</v>
      </c>
      <c r="C542" s="22" t="s">
        <v>15</v>
      </c>
      <c r="D542" s="13" t="s">
        <v>65</v>
      </c>
      <c r="E542" s="22" t="s">
        <v>415</v>
      </c>
      <c r="F542" s="25" t="s">
        <v>413</v>
      </c>
      <c r="G542" s="30">
        <v>46008</v>
      </c>
      <c r="H542" s="30">
        <v>46010</v>
      </c>
      <c r="I542" s="30"/>
      <c r="J542" s="30"/>
      <c r="K542" s="48">
        <v>0.58333333333333337</v>
      </c>
      <c r="L542" s="48">
        <v>0.79166666666666663</v>
      </c>
      <c r="M542" s="11">
        <f t="shared" si="8"/>
        <v>4.9999999999999982</v>
      </c>
      <c r="N542" s="77" t="s">
        <v>1</v>
      </c>
      <c r="P542" s="4"/>
      <c r="Q542" s="4"/>
      <c r="R542" s="4"/>
      <c r="S542" s="4"/>
      <c r="T542" s="4"/>
      <c r="U542" s="4"/>
      <c r="V542" s="4"/>
      <c r="W542" s="4"/>
    </row>
    <row r="543" spans="1:23" s="32" customFormat="1" hidden="1" x14ac:dyDescent="0.3">
      <c r="A543" s="22" t="s">
        <v>21</v>
      </c>
      <c r="B543" s="21">
        <v>46011</v>
      </c>
      <c r="C543" s="22" t="s">
        <v>26</v>
      </c>
      <c r="D543" s="13" t="s">
        <v>24</v>
      </c>
      <c r="E543" s="11" t="s">
        <v>436</v>
      </c>
      <c r="F543" s="26" t="s">
        <v>437</v>
      </c>
      <c r="G543" s="21">
        <v>46011</v>
      </c>
      <c r="H543" s="21">
        <v>46011</v>
      </c>
      <c r="I543" s="16"/>
      <c r="J543" s="16"/>
      <c r="K543" s="48">
        <v>0.33333333333333331</v>
      </c>
      <c r="L543" s="48">
        <v>0.70833333333333337</v>
      </c>
      <c r="M543" s="11">
        <f t="shared" si="8"/>
        <v>9.0000000000000018</v>
      </c>
      <c r="N543" s="78" t="s">
        <v>30</v>
      </c>
      <c r="P543" s="4"/>
      <c r="Q543" s="4"/>
      <c r="R543" s="4"/>
      <c r="S543" s="4"/>
      <c r="T543" s="4"/>
      <c r="U543" s="4"/>
      <c r="V543" s="4"/>
      <c r="W543" s="4"/>
    </row>
    <row r="544" spans="1:23" s="32" customFormat="1" hidden="1" x14ac:dyDescent="0.3">
      <c r="A544" s="22" t="s">
        <v>21</v>
      </c>
      <c r="B544" s="21">
        <v>46011</v>
      </c>
      <c r="C544" s="22" t="s">
        <v>50</v>
      </c>
      <c r="D544" s="216" t="s">
        <v>24</v>
      </c>
      <c r="E544" s="216" t="s">
        <v>438</v>
      </c>
      <c r="F544" s="243" t="s">
        <v>439</v>
      </c>
      <c r="G544" s="219">
        <v>46011</v>
      </c>
      <c r="H544" s="219">
        <v>46011</v>
      </c>
      <c r="I544" s="219">
        <v>46011</v>
      </c>
      <c r="J544" s="17"/>
      <c r="K544" s="48">
        <v>0.33333333333333331</v>
      </c>
      <c r="L544" s="45">
        <v>0.70833333333333337</v>
      </c>
      <c r="M544" s="11">
        <f t="shared" si="8"/>
        <v>9.0000000000000018</v>
      </c>
      <c r="N544" s="214" t="s">
        <v>0</v>
      </c>
      <c r="P544" s="4"/>
      <c r="Q544" s="4"/>
      <c r="R544" s="4"/>
      <c r="S544" s="4"/>
      <c r="T544" s="4"/>
      <c r="U544" s="4"/>
      <c r="V544" s="4"/>
      <c r="W544" s="4"/>
    </row>
    <row r="545" spans="1:23" s="32" customFormat="1" hidden="1" x14ac:dyDescent="0.3">
      <c r="A545" s="22" t="s">
        <v>21</v>
      </c>
      <c r="B545" s="21">
        <v>46011</v>
      </c>
      <c r="C545" s="22" t="s">
        <v>51</v>
      </c>
      <c r="D545" s="217"/>
      <c r="E545" s="217"/>
      <c r="F545" s="244"/>
      <c r="G545" s="220"/>
      <c r="H545" s="220"/>
      <c r="I545" s="220"/>
      <c r="J545" s="19"/>
      <c r="K545" s="45">
        <v>0.29166666666666669</v>
      </c>
      <c r="L545" s="45">
        <v>0.70833333333333337</v>
      </c>
      <c r="M545" s="11">
        <f t="shared" si="8"/>
        <v>10</v>
      </c>
      <c r="N545" s="215"/>
      <c r="P545" s="4"/>
      <c r="Q545" s="4"/>
      <c r="R545" s="4"/>
      <c r="S545" s="4"/>
      <c r="T545" s="4"/>
      <c r="U545" s="4"/>
      <c r="V545" s="4"/>
      <c r="W545" s="4"/>
    </row>
    <row r="546" spans="1:23" s="32" customFormat="1" hidden="1" x14ac:dyDescent="0.3">
      <c r="A546" s="22" t="s">
        <v>21</v>
      </c>
      <c r="B546" s="21">
        <v>46011</v>
      </c>
      <c r="C546" s="22" t="s">
        <v>274</v>
      </c>
      <c r="D546" s="214" t="s">
        <v>24</v>
      </c>
      <c r="E546" s="214" t="s">
        <v>424</v>
      </c>
      <c r="F546" s="241" t="s">
        <v>431</v>
      </c>
      <c r="G546" s="219">
        <v>46010</v>
      </c>
      <c r="H546" s="219">
        <v>46011</v>
      </c>
      <c r="I546" s="219"/>
      <c r="J546" s="17"/>
      <c r="K546" s="45">
        <v>0.3125</v>
      </c>
      <c r="L546" s="45">
        <v>0.6875</v>
      </c>
      <c r="M546" s="11">
        <f t="shared" si="8"/>
        <v>9</v>
      </c>
      <c r="N546" s="214" t="s">
        <v>1</v>
      </c>
      <c r="P546" s="4"/>
      <c r="Q546" s="4"/>
      <c r="R546" s="4"/>
      <c r="S546" s="4"/>
      <c r="T546" s="4"/>
      <c r="U546" s="4"/>
      <c r="V546" s="4"/>
      <c r="W546" s="4"/>
    </row>
    <row r="547" spans="1:23" s="32" customFormat="1" hidden="1" x14ac:dyDescent="0.3">
      <c r="A547" s="22" t="s">
        <v>21</v>
      </c>
      <c r="B547" s="21">
        <v>46011</v>
      </c>
      <c r="C547" s="22" t="s">
        <v>25</v>
      </c>
      <c r="D547" s="226"/>
      <c r="E547" s="226"/>
      <c r="F547" s="242"/>
      <c r="G547" s="229"/>
      <c r="H547" s="229"/>
      <c r="I547" s="229"/>
      <c r="J547" s="23"/>
      <c r="K547" s="47">
        <v>0.3125</v>
      </c>
      <c r="L547" s="45">
        <v>0.6875</v>
      </c>
      <c r="M547" s="11">
        <f t="shared" si="8"/>
        <v>9</v>
      </c>
      <c r="N547" s="226"/>
      <c r="P547" s="4"/>
      <c r="Q547" s="4"/>
      <c r="R547" s="4"/>
      <c r="S547" s="4"/>
      <c r="T547" s="4"/>
      <c r="U547" s="4"/>
      <c r="V547" s="4"/>
      <c r="W547" s="4"/>
    </row>
    <row r="548" spans="1:23" s="32" customFormat="1" hidden="1" x14ac:dyDescent="0.3">
      <c r="A548" s="22" t="s">
        <v>21</v>
      </c>
      <c r="B548" s="21">
        <v>46011</v>
      </c>
      <c r="C548" s="22" t="s">
        <v>22</v>
      </c>
      <c r="D548" s="22" t="s">
        <v>8</v>
      </c>
      <c r="E548" s="24" t="s">
        <v>406</v>
      </c>
      <c r="F548" s="25" t="s">
        <v>432</v>
      </c>
      <c r="G548" s="21">
        <v>46009</v>
      </c>
      <c r="H548" s="21">
        <v>46011</v>
      </c>
      <c r="I548" s="21"/>
      <c r="J548" s="21"/>
      <c r="K548" s="45">
        <v>0.3125</v>
      </c>
      <c r="L548" s="45">
        <v>0.6875</v>
      </c>
      <c r="M548" s="11">
        <f t="shared" si="8"/>
        <v>9</v>
      </c>
      <c r="N548" s="11" t="s">
        <v>1</v>
      </c>
      <c r="P548" s="4"/>
      <c r="Q548" s="4"/>
      <c r="R548" s="4"/>
      <c r="S548" s="4"/>
      <c r="T548" s="4"/>
      <c r="U548" s="4"/>
      <c r="V548" s="4"/>
      <c r="W548" s="4"/>
    </row>
    <row r="549" spans="1:23" s="32" customFormat="1" ht="28.8" hidden="1" x14ac:dyDescent="0.3">
      <c r="A549" s="22" t="s">
        <v>21</v>
      </c>
      <c r="B549" s="21">
        <v>46011</v>
      </c>
      <c r="C549" s="22" t="s">
        <v>118</v>
      </c>
      <c r="D549" s="24" t="s">
        <v>24</v>
      </c>
      <c r="E549" s="12" t="s">
        <v>389</v>
      </c>
      <c r="F549" s="29" t="s">
        <v>433</v>
      </c>
      <c r="G549" s="21">
        <v>46011</v>
      </c>
      <c r="H549" s="21">
        <v>46011</v>
      </c>
      <c r="I549" s="21"/>
      <c r="J549" s="17"/>
      <c r="K549" s="47">
        <v>0.33333333333333331</v>
      </c>
      <c r="L549" s="45">
        <v>0.70833333333333337</v>
      </c>
      <c r="M549" s="11">
        <f t="shared" si="8"/>
        <v>9.0000000000000018</v>
      </c>
      <c r="N549" s="11" t="s">
        <v>1</v>
      </c>
      <c r="P549" s="4"/>
      <c r="Q549" s="4"/>
      <c r="R549" s="4"/>
      <c r="S549" s="4"/>
      <c r="T549" s="4"/>
      <c r="U549" s="4"/>
      <c r="V549" s="4"/>
      <c r="W549" s="4"/>
    </row>
    <row r="550" spans="1:23" s="32" customFormat="1" hidden="1" x14ac:dyDescent="0.3">
      <c r="A550" s="22" t="s">
        <v>21</v>
      </c>
      <c r="B550" s="21">
        <v>46011</v>
      </c>
      <c r="C550" s="22" t="s">
        <v>55</v>
      </c>
      <c r="D550" s="14" t="s">
        <v>43</v>
      </c>
      <c r="E550" s="12" t="s">
        <v>392</v>
      </c>
      <c r="F550" s="29" t="s">
        <v>434</v>
      </c>
      <c r="G550" s="21">
        <v>46011</v>
      </c>
      <c r="H550" s="21">
        <v>46011</v>
      </c>
      <c r="I550" s="21">
        <v>46011</v>
      </c>
      <c r="J550" s="17"/>
      <c r="K550" s="47">
        <v>0.3125</v>
      </c>
      <c r="L550" s="45">
        <v>0.39583333333333331</v>
      </c>
      <c r="M550" s="11">
        <f t="shared" si="8"/>
        <v>1.9999999999999996</v>
      </c>
      <c r="N550" s="11" t="s">
        <v>0</v>
      </c>
      <c r="P550" s="4"/>
      <c r="Q550" s="4"/>
      <c r="R550" s="4"/>
      <c r="S550" s="4"/>
      <c r="T550" s="4"/>
      <c r="U550" s="4"/>
      <c r="V550" s="4"/>
      <c r="W550" s="4"/>
    </row>
    <row r="551" spans="1:23" s="32" customFormat="1" hidden="1" x14ac:dyDescent="0.3">
      <c r="A551" s="22" t="s">
        <v>21</v>
      </c>
      <c r="B551" s="21">
        <v>46011</v>
      </c>
      <c r="C551" s="22" t="s">
        <v>55</v>
      </c>
      <c r="D551" s="20" t="s">
        <v>8</v>
      </c>
      <c r="E551" s="18" t="s">
        <v>287</v>
      </c>
      <c r="F551" s="73" t="s">
        <v>199</v>
      </c>
      <c r="G551" s="21">
        <v>46011</v>
      </c>
      <c r="H551" s="21">
        <v>46011</v>
      </c>
      <c r="I551" s="21">
        <v>46011</v>
      </c>
      <c r="J551" s="17"/>
      <c r="K551" s="47">
        <v>0.41666666666666669</v>
      </c>
      <c r="L551" s="45">
        <v>0.54166666666666663</v>
      </c>
      <c r="M551" s="11">
        <f t="shared" si="8"/>
        <v>2.9999999999999987</v>
      </c>
      <c r="N551" s="11" t="s">
        <v>0</v>
      </c>
      <c r="P551" s="4"/>
      <c r="Q551" s="4"/>
      <c r="R551" s="4"/>
      <c r="S551" s="4"/>
      <c r="T551" s="4"/>
      <c r="U551" s="4"/>
      <c r="V551" s="4"/>
      <c r="W551" s="4"/>
    </row>
    <row r="552" spans="1:23" s="32" customFormat="1" hidden="1" x14ac:dyDescent="0.3">
      <c r="A552" s="22" t="s">
        <v>21</v>
      </c>
      <c r="B552" s="21">
        <v>46011</v>
      </c>
      <c r="C552" s="22" t="s">
        <v>18</v>
      </c>
      <c r="D552" s="216" t="s">
        <v>43</v>
      </c>
      <c r="E552" s="216" t="s">
        <v>300</v>
      </c>
      <c r="F552" s="216" t="s">
        <v>435</v>
      </c>
      <c r="G552" s="218">
        <v>46011</v>
      </c>
      <c r="H552" s="218">
        <v>46011</v>
      </c>
      <c r="I552" s="19"/>
      <c r="J552" s="23"/>
      <c r="K552" s="47">
        <v>0.3125</v>
      </c>
      <c r="L552" s="45">
        <v>0.5</v>
      </c>
      <c r="M552" s="11">
        <f t="shared" si="8"/>
        <v>4.5</v>
      </c>
      <c r="N552" s="214" t="s">
        <v>1</v>
      </c>
      <c r="P552" s="4"/>
      <c r="Q552" s="4"/>
      <c r="R552" s="4"/>
      <c r="S552" s="4"/>
      <c r="T552" s="4"/>
      <c r="U552" s="4"/>
      <c r="V552" s="4"/>
      <c r="W552" s="4"/>
    </row>
    <row r="553" spans="1:23" s="32" customFormat="1" hidden="1" x14ac:dyDescent="0.3">
      <c r="A553" s="22" t="s">
        <v>21</v>
      </c>
      <c r="B553" s="21">
        <v>46011</v>
      </c>
      <c r="C553" s="22" t="s">
        <v>37</v>
      </c>
      <c r="D553" s="217"/>
      <c r="E553" s="217"/>
      <c r="F553" s="217"/>
      <c r="G553" s="217"/>
      <c r="H553" s="217"/>
      <c r="I553" s="19"/>
      <c r="J553" s="23"/>
      <c r="K553" s="47">
        <v>0.3125</v>
      </c>
      <c r="L553" s="45">
        <v>0.5</v>
      </c>
      <c r="M553" s="11">
        <f t="shared" si="8"/>
        <v>4.5</v>
      </c>
      <c r="N553" s="215"/>
      <c r="P553" s="4"/>
      <c r="Q553" s="4"/>
      <c r="R553" s="4"/>
      <c r="S553" s="4"/>
      <c r="T553" s="4"/>
      <c r="U553" s="4"/>
      <c r="V553" s="4"/>
      <c r="W553" s="4"/>
    </row>
    <row r="554" spans="1:23" s="32" customFormat="1" ht="28.8" hidden="1" x14ac:dyDescent="0.3">
      <c r="A554" s="22" t="s">
        <v>19</v>
      </c>
      <c r="B554" s="21">
        <v>46011</v>
      </c>
      <c r="C554" s="22" t="s">
        <v>7</v>
      </c>
      <c r="D554" s="14" t="s">
        <v>8</v>
      </c>
      <c r="E554" s="14" t="s">
        <v>287</v>
      </c>
      <c r="F554" s="27" t="s">
        <v>440</v>
      </c>
      <c r="G554" s="21">
        <v>46003</v>
      </c>
      <c r="H554" s="21">
        <v>46011</v>
      </c>
      <c r="I554" s="21">
        <v>46011</v>
      </c>
      <c r="J554" s="17"/>
      <c r="K554" s="47">
        <v>0.3125</v>
      </c>
      <c r="L554" s="45">
        <v>0.6875</v>
      </c>
      <c r="M554" s="11">
        <f t="shared" si="8"/>
        <v>9</v>
      </c>
      <c r="N554" s="11" t="s">
        <v>0</v>
      </c>
      <c r="P554" s="4"/>
      <c r="Q554" s="4"/>
      <c r="R554" s="4"/>
      <c r="S554" s="4"/>
      <c r="T554" s="4"/>
      <c r="U554" s="4"/>
      <c r="V554" s="4"/>
      <c r="W554" s="4"/>
    </row>
    <row r="555" spans="1:23" s="32" customFormat="1" hidden="1" x14ac:dyDescent="0.3">
      <c r="A555" s="22" t="s">
        <v>19</v>
      </c>
      <c r="B555" s="21">
        <v>46011</v>
      </c>
      <c r="C555" s="22" t="s">
        <v>208</v>
      </c>
      <c r="D555" s="216" t="s">
        <v>8</v>
      </c>
      <c r="E555" s="216" t="s">
        <v>441</v>
      </c>
      <c r="F555" s="243" t="s">
        <v>442</v>
      </c>
      <c r="G555" s="219">
        <v>45969</v>
      </c>
      <c r="H555" s="219">
        <v>46011</v>
      </c>
      <c r="I555" s="219">
        <v>46011</v>
      </c>
      <c r="J555" s="17"/>
      <c r="K555" s="47">
        <v>0.3125</v>
      </c>
      <c r="L555" s="45">
        <v>0.4375</v>
      </c>
      <c r="M555" s="11">
        <f t="shared" si="8"/>
        <v>3</v>
      </c>
      <c r="N555" s="233" t="s">
        <v>0</v>
      </c>
      <c r="P555" s="4"/>
      <c r="Q555" s="4"/>
      <c r="R555" s="4"/>
      <c r="S555" s="4"/>
      <c r="T555" s="4"/>
      <c r="U555" s="4"/>
      <c r="V555" s="4"/>
      <c r="W555" s="4"/>
    </row>
    <row r="556" spans="1:23" s="32" customFormat="1" hidden="1" x14ac:dyDescent="0.3">
      <c r="A556" s="22" t="s">
        <v>19</v>
      </c>
      <c r="B556" s="21">
        <v>46011</v>
      </c>
      <c r="C556" s="22" t="s">
        <v>9</v>
      </c>
      <c r="D556" s="217"/>
      <c r="E556" s="217"/>
      <c r="F556" s="244"/>
      <c r="G556" s="220"/>
      <c r="H556" s="220"/>
      <c r="I556" s="220"/>
      <c r="J556" s="23"/>
      <c r="K556" s="47">
        <v>0.3125</v>
      </c>
      <c r="L556" s="45">
        <v>0.4375</v>
      </c>
      <c r="M556" s="11">
        <f t="shared" si="8"/>
        <v>3</v>
      </c>
      <c r="N556" s="233"/>
      <c r="P556" s="4"/>
      <c r="Q556" s="4"/>
      <c r="R556" s="4"/>
      <c r="S556" s="4"/>
      <c r="T556" s="4"/>
      <c r="U556" s="4"/>
      <c r="V556" s="4"/>
      <c r="W556" s="4"/>
    </row>
    <row r="557" spans="1:23" s="32" customFormat="1" hidden="1" x14ac:dyDescent="0.3">
      <c r="A557" s="22" t="s">
        <v>19</v>
      </c>
      <c r="B557" s="21">
        <v>46011</v>
      </c>
      <c r="C557" s="22" t="s">
        <v>9</v>
      </c>
      <c r="D557" s="221" t="s">
        <v>8</v>
      </c>
      <c r="E557" s="221" t="s">
        <v>105</v>
      </c>
      <c r="F557" s="243" t="s">
        <v>442</v>
      </c>
      <c r="G557" s="219">
        <v>45996</v>
      </c>
      <c r="H557" s="219">
        <v>46011</v>
      </c>
      <c r="I557" s="219">
        <v>46011</v>
      </c>
      <c r="J557" s="17"/>
      <c r="K557" s="45">
        <v>0.4375</v>
      </c>
      <c r="L557" s="45">
        <v>0.64583333333333337</v>
      </c>
      <c r="M557" s="11">
        <f t="shared" si="8"/>
        <v>5.0000000000000009</v>
      </c>
      <c r="N557" s="231" t="s">
        <v>0</v>
      </c>
      <c r="P557" s="4"/>
      <c r="Q557" s="4"/>
      <c r="R557" s="4"/>
      <c r="S557" s="4"/>
      <c r="T557" s="4"/>
      <c r="U557" s="4"/>
      <c r="V557" s="4"/>
      <c r="W557" s="4"/>
    </row>
    <row r="558" spans="1:23" s="32" customFormat="1" hidden="1" x14ac:dyDescent="0.3">
      <c r="A558" s="22" t="s">
        <v>19</v>
      </c>
      <c r="B558" s="21">
        <v>46011</v>
      </c>
      <c r="C558" s="22" t="s">
        <v>208</v>
      </c>
      <c r="D558" s="221"/>
      <c r="E558" s="221"/>
      <c r="F558" s="244"/>
      <c r="G558" s="220"/>
      <c r="H558" s="220"/>
      <c r="I558" s="220"/>
      <c r="J558" s="19"/>
      <c r="K558" s="45">
        <v>0.4375</v>
      </c>
      <c r="L558" s="45">
        <v>0.64583333333333337</v>
      </c>
      <c r="M558" s="11">
        <f t="shared" si="8"/>
        <v>5.0000000000000009</v>
      </c>
      <c r="N558" s="225"/>
      <c r="P558" s="4"/>
      <c r="Q558" s="4"/>
      <c r="R558" s="4"/>
      <c r="S558" s="4"/>
      <c r="T558" s="4"/>
      <c r="U558" s="4"/>
      <c r="V558" s="4"/>
      <c r="W558" s="4"/>
    </row>
    <row r="559" spans="1:23" s="32" customFormat="1" hidden="1" x14ac:dyDescent="0.3">
      <c r="A559" s="22" t="s">
        <v>19</v>
      </c>
      <c r="B559" s="21">
        <v>46011</v>
      </c>
      <c r="C559" s="22" t="s">
        <v>9</v>
      </c>
      <c r="D559" s="221" t="s">
        <v>8</v>
      </c>
      <c r="E559" s="216" t="s">
        <v>316</v>
      </c>
      <c r="F559" s="243" t="s">
        <v>239</v>
      </c>
      <c r="G559" s="219">
        <v>45982</v>
      </c>
      <c r="H559" s="219">
        <v>46011</v>
      </c>
      <c r="I559" s="19"/>
      <c r="J559" s="19"/>
      <c r="K559" s="45">
        <v>0.64583333333333337</v>
      </c>
      <c r="L559" s="45">
        <v>0.6875</v>
      </c>
      <c r="M559" s="11">
        <f t="shared" si="8"/>
        <v>0.99999999999999911</v>
      </c>
      <c r="N559" s="246" t="s">
        <v>30</v>
      </c>
      <c r="P559" s="4"/>
      <c r="Q559" s="4"/>
      <c r="R559" s="4"/>
      <c r="S559" s="4"/>
      <c r="T559" s="4"/>
      <c r="U559" s="4"/>
      <c r="V559" s="4"/>
      <c r="W559" s="4"/>
    </row>
    <row r="560" spans="1:23" s="32" customFormat="1" hidden="1" x14ac:dyDescent="0.3">
      <c r="A560" s="22" t="s">
        <v>19</v>
      </c>
      <c r="B560" s="21">
        <v>46011</v>
      </c>
      <c r="C560" s="22" t="s">
        <v>208</v>
      </c>
      <c r="D560" s="221"/>
      <c r="E560" s="217"/>
      <c r="F560" s="244"/>
      <c r="G560" s="220"/>
      <c r="H560" s="220"/>
      <c r="I560" s="19"/>
      <c r="J560" s="19"/>
      <c r="K560" s="45">
        <v>0.64583333333333337</v>
      </c>
      <c r="L560" s="45">
        <v>0.6875</v>
      </c>
      <c r="M560" s="11">
        <f t="shared" si="8"/>
        <v>0.99999999999999911</v>
      </c>
      <c r="N560" s="247"/>
      <c r="P560" s="4"/>
      <c r="Q560" s="4"/>
      <c r="R560" s="4"/>
      <c r="S560" s="4"/>
      <c r="T560" s="4"/>
      <c r="U560" s="4"/>
      <c r="V560" s="4"/>
      <c r="W560" s="4"/>
    </row>
    <row r="561" spans="1:23" s="32" customFormat="1" hidden="1" x14ac:dyDescent="0.3">
      <c r="A561" s="22" t="s">
        <v>20</v>
      </c>
      <c r="B561" s="21">
        <v>46011</v>
      </c>
      <c r="C561" s="69" t="s">
        <v>12</v>
      </c>
      <c r="D561" s="233" t="s">
        <v>44</v>
      </c>
      <c r="E561" s="238" t="s">
        <v>419</v>
      </c>
      <c r="F561" s="245" t="s">
        <v>443</v>
      </c>
      <c r="G561" s="223">
        <v>46011</v>
      </c>
      <c r="H561" s="223">
        <v>46021</v>
      </c>
      <c r="I561" s="223">
        <v>46021</v>
      </c>
      <c r="J561" s="21"/>
      <c r="K561" s="45">
        <v>0.3125</v>
      </c>
      <c r="L561" s="48">
        <v>0.6875</v>
      </c>
      <c r="M561" s="11">
        <f t="shared" si="8"/>
        <v>9</v>
      </c>
      <c r="N561" s="231" t="s">
        <v>0</v>
      </c>
      <c r="P561" s="4"/>
      <c r="Q561" s="4"/>
      <c r="R561" s="4"/>
      <c r="S561" s="4"/>
      <c r="T561" s="4"/>
      <c r="U561" s="4"/>
      <c r="V561" s="4"/>
      <c r="W561" s="4"/>
    </row>
    <row r="562" spans="1:23" s="32" customFormat="1" hidden="1" x14ac:dyDescent="0.3">
      <c r="A562" s="22" t="s">
        <v>20</v>
      </c>
      <c r="B562" s="21">
        <v>46011</v>
      </c>
      <c r="C562" s="69" t="s">
        <v>33</v>
      </c>
      <c r="D562" s="233"/>
      <c r="E562" s="233"/>
      <c r="F562" s="245"/>
      <c r="G562" s="223"/>
      <c r="H562" s="223"/>
      <c r="I562" s="223"/>
      <c r="J562" s="21"/>
      <c r="K562" s="45">
        <v>0.3125</v>
      </c>
      <c r="L562" s="48">
        <v>0.6875</v>
      </c>
      <c r="M562" s="11">
        <f t="shared" si="8"/>
        <v>9</v>
      </c>
      <c r="N562" s="225"/>
      <c r="P562" s="4"/>
      <c r="Q562" s="4"/>
      <c r="R562" s="4"/>
      <c r="S562" s="4"/>
      <c r="T562" s="4"/>
      <c r="U562" s="4"/>
      <c r="V562" s="4"/>
      <c r="W562" s="4"/>
    </row>
    <row r="563" spans="1:23" s="32" customFormat="1" hidden="1" x14ac:dyDescent="0.3">
      <c r="A563" s="22" t="s">
        <v>20</v>
      </c>
      <c r="B563" s="21">
        <v>46011</v>
      </c>
      <c r="C563" s="69" t="s">
        <v>444</v>
      </c>
      <c r="D563" s="233" t="s">
        <v>44</v>
      </c>
      <c r="E563" s="214" t="s">
        <v>292</v>
      </c>
      <c r="F563" s="214" t="s">
        <v>445</v>
      </c>
      <c r="G563" s="223">
        <v>46011</v>
      </c>
      <c r="H563" s="223">
        <v>46021</v>
      </c>
      <c r="I563" s="223">
        <v>46021</v>
      </c>
      <c r="J563" s="21"/>
      <c r="K563" s="45">
        <v>0.33333333333333331</v>
      </c>
      <c r="L563" s="48">
        <v>0.70833333333333337</v>
      </c>
      <c r="M563" s="11">
        <f t="shared" si="8"/>
        <v>9.0000000000000018</v>
      </c>
      <c r="N563" s="231" t="s">
        <v>0</v>
      </c>
      <c r="P563" s="4"/>
      <c r="Q563" s="4"/>
      <c r="R563" s="4"/>
      <c r="S563" s="4"/>
      <c r="T563" s="4"/>
      <c r="U563" s="4"/>
      <c r="V563" s="4"/>
      <c r="W563" s="4"/>
    </row>
    <row r="564" spans="1:23" s="32" customFormat="1" hidden="1" x14ac:dyDescent="0.3">
      <c r="A564" s="22" t="s">
        <v>20</v>
      </c>
      <c r="B564" s="21">
        <v>46011</v>
      </c>
      <c r="C564" s="69" t="s">
        <v>421</v>
      </c>
      <c r="D564" s="233"/>
      <c r="E564" s="215"/>
      <c r="F564" s="215"/>
      <c r="G564" s="223"/>
      <c r="H564" s="223"/>
      <c r="I564" s="223"/>
      <c r="J564" s="21"/>
      <c r="K564" s="45">
        <v>0.33333333333333331</v>
      </c>
      <c r="L564" s="48">
        <v>0.70833333333333337</v>
      </c>
      <c r="M564" s="11">
        <f t="shared" si="8"/>
        <v>9.0000000000000018</v>
      </c>
      <c r="N564" s="225"/>
      <c r="P564" s="4"/>
      <c r="Q564" s="4"/>
      <c r="R564" s="4"/>
      <c r="S564" s="4"/>
      <c r="T564" s="4"/>
      <c r="U564" s="4"/>
      <c r="V564" s="4"/>
      <c r="W564" s="4"/>
    </row>
    <row r="565" spans="1:23" s="32" customFormat="1" hidden="1" x14ac:dyDescent="0.3">
      <c r="A565" s="22" t="s">
        <v>20</v>
      </c>
      <c r="B565" s="21">
        <v>46011</v>
      </c>
      <c r="C565" s="22" t="s">
        <v>28</v>
      </c>
      <c r="D565" s="13" t="s">
        <v>65</v>
      </c>
      <c r="E565" s="13" t="s">
        <v>278</v>
      </c>
      <c r="F565" s="26" t="s">
        <v>446</v>
      </c>
      <c r="G565" s="17">
        <v>46011</v>
      </c>
      <c r="H565" s="17">
        <v>46011</v>
      </c>
      <c r="I565" s="17">
        <v>46011</v>
      </c>
      <c r="J565" s="17"/>
      <c r="K565" s="45">
        <v>0.33333333333333331</v>
      </c>
      <c r="L565" s="48">
        <v>0.79166666666666663</v>
      </c>
      <c r="M565" s="11">
        <f t="shared" si="8"/>
        <v>11</v>
      </c>
      <c r="N565" s="22" t="s">
        <v>0</v>
      </c>
      <c r="P565" s="4"/>
      <c r="Q565" s="4"/>
      <c r="R565" s="4"/>
      <c r="S565" s="4"/>
      <c r="T565" s="4"/>
      <c r="U565" s="4"/>
      <c r="V565" s="4"/>
      <c r="W565" s="4"/>
    </row>
    <row r="566" spans="1:23" s="32" customFormat="1" hidden="1" x14ac:dyDescent="0.3">
      <c r="A566" s="22" t="s">
        <v>20</v>
      </c>
      <c r="B566" s="21">
        <v>46011</v>
      </c>
      <c r="C566" s="22" t="s">
        <v>17</v>
      </c>
      <c r="D566" s="216" t="s">
        <v>65</v>
      </c>
      <c r="E566" s="216" t="s">
        <v>412</v>
      </c>
      <c r="F566" s="243" t="s">
        <v>413</v>
      </c>
      <c r="G566" s="219">
        <v>46009</v>
      </c>
      <c r="H566" s="219">
        <v>46011</v>
      </c>
      <c r="I566" s="219">
        <v>46011</v>
      </c>
      <c r="J566" s="101"/>
      <c r="K566" s="44">
        <v>0.3125</v>
      </c>
      <c r="L566" s="45">
        <v>0.39583333333333331</v>
      </c>
      <c r="M566" s="11">
        <f t="shared" si="8"/>
        <v>1.9999999999999996</v>
      </c>
      <c r="N566" s="231" t="s">
        <v>0</v>
      </c>
      <c r="P566" s="4"/>
      <c r="Q566" s="4"/>
      <c r="R566" s="4"/>
      <c r="S566" s="4"/>
      <c r="T566" s="4"/>
      <c r="U566" s="4"/>
      <c r="V566" s="4"/>
      <c r="W566" s="4"/>
    </row>
    <row r="567" spans="1:23" s="32" customFormat="1" hidden="1" x14ac:dyDescent="0.3">
      <c r="A567" s="22" t="s">
        <v>20</v>
      </c>
      <c r="B567" s="21">
        <v>46011</v>
      </c>
      <c r="C567" s="22" t="s">
        <v>31</v>
      </c>
      <c r="D567" s="217"/>
      <c r="E567" s="217"/>
      <c r="F567" s="244"/>
      <c r="G567" s="220"/>
      <c r="H567" s="220"/>
      <c r="I567" s="220"/>
      <c r="J567" s="102"/>
      <c r="K567" s="44">
        <v>0.39583333333333331</v>
      </c>
      <c r="L567" s="45">
        <v>0.4375</v>
      </c>
      <c r="M567" s="11">
        <f t="shared" si="8"/>
        <v>1.0000000000000004</v>
      </c>
      <c r="N567" s="225"/>
      <c r="P567" s="4"/>
      <c r="Q567" s="4"/>
      <c r="R567" s="4"/>
      <c r="S567" s="4"/>
      <c r="T567" s="4"/>
      <c r="U567" s="4"/>
      <c r="V567" s="4"/>
      <c r="W567" s="4"/>
    </row>
    <row r="568" spans="1:23" s="32" customFormat="1" hidden="1" x14ac:dyDescent="0.3">
      <c r="A568" s="22" t="s">
        <v>20</v>
      </c>
      <c r="B568" s="21">
        <v>46011</v>
      </c>
      <c r="C568" s="22" t="s">
        <v>47</v>
      </c>
      <c r="D568" s="216" t="s">
        <v>65</v>
      </c>
      <c r="E568" s="216" t="s">
        <v>447</v>
      </c>
      <c r="F568" s="243" t="s">
        <v>224</v>
      </c>
      <c r="G568" s="219">
        <v>46011</v>
      </c>
      <c r="H568" s="219">
        <v>46011</v>
      </c>
      <c r="I568" s="219">
        <v>46011</v>
      </c>
      <c r="J568" s="101"/>
      <c r="K568" s="44">
        <v>0.33333333333333331</v>
      </c>
      <c r="L568" s="45">
        <v>0.79166666666666663</v>
      </c>
      <c r="M568" s="11">
        <f t="shared" si="8"/>
        <v>11</v>
      </c>
      <c r="N568" s="231" t="s">
        <v>0</v>
      </c>
      <c r="P568" s="4"/>
      <c r="Q568" s="4"/>
      <c r="R568" s="4"/>
      <c r="S568" s="4"/>
      <c r="T568" s="4"/>
      <c r="U568" s="4"/>
      <c r="V568" s="4"/>
      <c r="W568" s="4"/>
    </row>
    <row r="569" spans="1:23" s="32" customFormat="1" hidden="1" x14ac:dyDescent="0.3">
      <c r="A569" s="22" t="s">
        <v>20</v>
      </c>
      <c r="B569" s="21">
        <v>46011</v>
      </c>
      <c r="C569" s="22" t="s">
        <v>31</v>
      </c>
      <c r="D569" s="217"/>
      <c r="E569" s="217"/>
      <c r="F569" s="244"/>
      <c r="G569" s="220"/>
      <c r="H569" s="220"/>
      <c r="I569" s="220"/>
      <c r="J569" s="19"/>
      <c r="K569" s="45">
        <v>0.4375</v>
      </c>
      <c r="L569" s="45">
        <v>0.45833333333333331</v>
      </c>
      <c r="M569" s="11">
        <f t="shared" si="8"/>
        <v>0.49999999999999956</v>
      </c>
      <c r="N569" s="225"/>
      <c r="P569" s="4"/>
      <c r="Q569" s="4"/>
      <c r="R569" s="4"/>
      <c r="S569" s="4"/>
      <c r="T569" s="4"/>
      <c r="U569" s="4"/>
      <c r="V569" s="4"/>
      <c r="W569" s="4"/>
    </row>
    <row r="570" spans="1:23" s="32" customFormat="1" hidden="1" x14ac:dyDescent="0.3">
      <c r="A570" s="22" t="s">
        <v>20</v>
      </c>
      <c r="B570" s="21">
        <v>46011</v>
      </c>
      <c r="C570" s="22" t="s">
        <v>167</v>
      </c>
      <c r="D570" s="216" t="s">
        <v>65</v>
      </c>
      <c r="E570" s="216" t="s">
        <v>449</v>
      </c>
      <c r="F570" s="243" t="s">
        <v>450</v>
      </c>
      <c r="G570" s="219">
        <v>46004</v>
      </c>
      <c r="H570" s="219">
        <v>46011</v>
      </c>
      <c r="I570" s="219">
        <v>46011</v>
      </c>
      <c r="J570" s="101"/>
      <c r="K570" s="44">
        <v>0.47916666666666669</v>
      </c>
      <c r="L570" s="45">
        <v>0.77083333333333337</v>
      </c>
      <c r="M570" s="11">
        <f t="shared" si="8"/>
        <v>7</v>
      </c>
      <c r="N570" s="231" t="s">
        <v>0</v>
      </c>
      <c r="P570" s="4"/>
      <c r="Q570" s="4"/>
      <c r="R570" s="4"/>
      <c r="S570" s="4"/>
      <c r="T570" s="4"/>
      <c r="U570" s="4"/>
      <c r="V570" s="4"/>
      <c r="W570" s="4"/>
    </row>
    <row r="571" spans="1:23" s="32" customFormat="1" hidden="1" x14ac:dyDescent="0.3">
      <c r="A571" s="22" t="s">
        <v>20</v>
      </c>
      <c r="B571" s="21">
        <v>46011</v>
      </c>
      <c r="C571" s="22" t="s">
        <v>31</v>
      </c>
      <c r="D571" s="217"/>
      <c r="E571" s="217"/>
      <c r="F571" s="244"/>
      <c r="G571" s="220"/>
      <c r="H571" s="220"/>
      <c r="I571" s="220"/>
      <c r="J571" s="19"/>
      <c r="K571" s="45">
        <v>0.45833333333333331</v>
      </c>
      <c r="L571" s="45">
        <v>0.5</v>
      </c>
      <c r="M571" s="11">
        <f t="shared" si="8"/>
        <v>1.0000000000000004</v>
      </c>
      <c r="N571" s="225"/>
      <c r="P571" s="4"/>
      <c r="Q571" s="4"/>
      <c r="R571" s="4"/>
      <c r="S571" s="4"/>
      <c r="T571" s="4"/>
      <c r="U571" s="4"/>
      <c r="V571" s="4"/>
      <c r="W571" s="4"/>
    </row>
    <row r="572" spans="1:23" s="32" customFormat="1" hidden="1" x14ac:dyDescent="0.3">
      <c r="A572" s="22" t="s">
        <v>20</v>
      </c>
      <c r="B572" s="21">
        <v>46011</v>
      </c>
      <c r="C572" s="22" t="s">
        <v>16</v>
      </c>
      <c r="D572" s="216" t="s">
        <v>65</v>
      </c>
      <c r="E572" s="216" t="s">
        <v>251</v>
      </c>
      <c r="F572" s="243" t="s">
        <v>244</v>
      </c>
      <c r="G572" s="219">
        <v>46011</v>
      </c>
      <c r="H572" s="219">
        <v>46011</v>
      </c>
      <c r="I572" s="219">
        <v>46011</v>
      </c>
      <c r="J572" s="17"/>
      <c r="K572" s="47">
        <v>0.3125</v>
      </c>
      <c r="L572" s="45">
        <v>0.47916666666666669</v>
      </c>
      <c r="M572" s="11">
        <f t="shared" si="8"/>
        <v>4</v>
      </c>
      <c r="N572" s="231" t="s">
        <v>0</v>
      </c>
      <c r="P572" s="4"/>
      <c r="Q572" s="4"/>
      <c r="R572" s="4"/>
      <c r="S572" s="4"/>
      <c r="T572" s="4"/>
      <c r="U572" s="4"/>
      <c r="V572" s="4"/>
      <c r="W572" s="4"/>
    </row>
    <row r="573" spans="1:23" s="32" customFormat="1" hidden="1" x14ac:dyDescent="0.3">
      <c r="A573" s="22" t="s">
        <v>20</v>
      </c>
      <c r="B573" s="21">
        <v>46011</v>
      </c>
      <c r="C573" s="22" t="s">
        <v>31</v>
      </c>
      <c r="D573" s="217"/>
      <c r="E573" s="217"/>
      <c r="F573" s="244"/>
      <c r="G573" s="220"/>
      <c r="H573" s="220"/>
      <c r="I573" s="220"/>
      <c r="J573" s="19"/>
      <c r="K573" s="45">
        <v>0.4375</v>
      </c>
      <c r="L573" s="45">
        <v>0.45833333333333331</v>
      </c>
      <c r="M573" s="11">
        <f t="shared" si="8"/>
        <v>0.49999999999999956</v>
      </c>
      <c r="N573" s="225"/>
      <c r="P573" s="4"/>
      <c r="Q573" s="4"/>
      <c r="R573" s="4"/>
      <c r="S573" s="4"/>
      <c r="T573" s="4"/>
      <c r="U573" s="4"/>
      <c r="V573" s="4"/>
      <c r="W573" s="4"/>
    </row>
    <row r="574" spans="1:23" s="32" customFormat="1" hidden="1" x14ac:dyDescent="0.3">
      <c r="A574" s="22" t="s">
        <v>20</v>
      </c>
      <c r="B574" s="21">
        <v>46011</v>
      </c>
      <c r="C574" s="22" t="s">
        <v>16</v>
      </c>
      <c r="D574" s="13" t="s">
        <v>65</v>
      </c>
      <c r="E574" s="79" t="s">
        <v>306</v>
      </c>
      <c r="F574" s="3" t="s">
        <v>394</v>
      </c>
      <c r="G574" s="23">
        <v>46007</v>
      </c>
      <c r="H574" s="23">
        <v>46011</v>
      </c>
      <c r="I574" s="23"/>
      <c r="J574" s="23"/>
      <c r="K574" s="47">
        <v>0.47916666666666669</v>
      </c>
      <c r="L574" s="47">
        <v>0.77083333333333337</v>
      </c>
      <c r="M574" s="11">
        <f t="shared" si="8"/>
        <v>7</v>
      </c>
      <c r="N574" s="33" t="s">
        <v>1</v>
      </c>
      <c r="P574" s="4"/>
      <c r="Q574" s="4"/>
      <c r="R574" s="4"/>
      <c r="S574" s="4"/>
      <c r="T574" s="4"/>
      <c r="U574" s="4"/>
      <c r="V574" s="4"/>
      <c r="W574" s="4"/>
    </row>
    <row r="575" spans="1:23" s="32" customFormat="1" hidden="1" x14ac:dyDescent="0.3">
      <c r="A575" s="22" t="s">
        <v>20</v>
      </c>
      <c r="B575" s="21">
        <v>46011</v>
      </c>
      <c r="C575" s="22" t="s">
        <v>31</v>
      </c>
      <c r="D575" s="11" t="s">
        <v>27</v>
      </c>
      <c r="E575" s="76" t="s">
        <v>82</v>
      </c>
      <c r="F575" s="26" t="s">
        <v>397</v>
      </c>
      <c r="G575" s="16">
        <v>46009</v>
      </c>
      <c r="H575" s="16">
        <v>46010</v>
      </c>
      <c r="I575" s="16"/>
      <c r="J575" s="16"/>
      <c r="K575" s="47">
        <v>0.41666666666666669</v>
      </c>
      <c r="L575" s="47">
        <v>0.45833333333333331</v>
      </c>
      <c r="M575" s="11">
        <f t="shared" si="8"/>
        <v>0.99999999999999911</v>
      </c>
      <c r="N575" s="11" t="s">
        <v>1</v>
      </c>
      <c r="P575" s="4"/>
      <c r="Q575" s="4"/>
      <c r="R575" s="4"/>
      <c r="S575" s="4"/>
      <c r="T575" s="4"/>
      <c r="U575" s="4"/>
      <c r="V575" s="4"/>
      <c r="W575" s="4"/>
    </row>
    <row r="576" spans="1:23" s="32" customFormat="1" hidden="1" x14ac:dyDescent="0.3">
      <c r="A576" s="22" t="s">
        <v>20</v>
      </c>
      <c r="B576" s="21">
        <v>46011</v>
      </c>
      <c r="C576" s="69" t="s">
        <v>15</v>
      </c>
      <c r="D576" s="24" t="s">
        <v>65</v>
      </c>
      <c r="E576" s="22" t="s">
        <v>448</v>
      </c>
      <c r="F576" s="25" t="s">
        <v>413</v>
      </c>
      <c r="G576" s="30">
        <v>46011</v>
      </c>
      <c r="H576" s="30">
        <v>46011</v>
      </c>
      <c r="I576" s="30">
        <v>46011</v>
      </c>
      <c r="J576" s="30"/>
      <c r="K576" s="48">
        <v>0.33333333333333331</v>
      </c>
      <c r="L576" s="48">
        <v>0.79166666666666663</v>
      </c>
      <c r="M576" s="11">
        <f t="shared" si="8"/>
        <v>11</v>
      </c>
      <c r="N576" s="11" t="s">
        <v>0</v>
      </c>
      <c r="P576" s="4"/>
      <c r="Q576" s="4"/>
      <c r="R576" s="4"/>
      <c r="S576" s="4"/>
      <c r="T576" s="4"/>
      <c r="U576" s="4"/>
      <c r="V576" s="4"/>
      <c r="W576" s="4"/>
    </row>
    <row r="577" spans="1:23" s="32" customFormat="1" hidden="1" x14ac:dyDescent="0.3">
      <c r="A577" s="22" t="s">
        <v>20</v>
      </c>
      <c r="B577" s="21">
        <v>46011</v>
      </c>
      <c r="C577" s="22" t="s">
        <v>17</v>
      </c>
      <c r="D577" s="24" t="s">
        <v>65</v>
      </c>
      <c r="E577" s="22" t="s">
        <v>451</v>
      </c>
      <c r="F577" s="25" t="s">
        <v>396</v>
      </c>
      <c r="G577" s="30">
        <v>46011</v>
      </c>
      <c r="H577" s="30">
        <v>46011</v>
      </c>
      <c r="I577" s="30">
        <v>46011</v>
      </c>
      <c r="J577" s="30"/>
      <c r="K577" s="48">
        <v>0.39583333333333331</v>
      </c>
      <c r="L577" s="47">
        <v>0.77083333333333337</v>
      </c>
      <c r="M577" s="11">
        <f t="shared" si="8"/>
        <v>9.0000000000000018</v>
      </c>
      <c r="N577" s="11" t="s">
        <v>0</v>
      </c>
      <c r="P577" s="4"/>
      <c r="Q577" s="4"/>
      <c r="R577" s="4"/>
      <c r="S577" s="4"/>
      <c r="T577" s="4"/>
      <c r="U577" s="4"/>
      <c r="V577" s="4"/>
      <c r="W577" s="4"/>
    </row>
    <row r="578" spans="1:23" s="32" customFormat="1" hidden="1" x14ac:dyDescent="0.3">
      <c r="A578" s="22" t="s">
        <v>21</v>
      </c>
      <c r="B578" s="21">
        <v>46013</v>
      </c>
      <c r="C578" s="22" t="s">
        <v>26</v>
      </c>
      <c r="D578" s="13" t="s">
        <v>24</v>
      </c>
      <c r="E578" s="11" t="s">
        <v>456</v>
      </c>
      <c r="F578" s="26" t="s">
        <v>457</v>
      </c>
      <c r="G578" s="21">
        <v>46013</v>
      </c>
      <c r="H578" s="21">
        <v>46013</v>
      </c>
      <c r="I578" s="16"/>
      <c r="J578" s="16"/>
      <c r="K578" s="48">
        <v>0.33333333333333331</v>
      </c>
      <c r="L578" s="48">
        <v>0.70833333333333337</v>
      </c>
      <c r="M578" s="11">
        <f t="shared" si="8"/>
        <v>9.0000000000000018</v>
      </c>
      <c r="N578" s="78" t="s">
        <v>30</v>
      </c>
      <c r="P578" s="4"/>
      <c r="Q578" s="4"/>
      <c r="R578" s="4"/>
      <c r="S578" s="4"/>
      <c r="T578" s="4"/>
      <c r="U578" s="4"/>
      <c r="V578" s="4"/>
      <c r="W578" s="4"/>
    </row>
    <row r="579" spans="1:23" s="32" customFormat="1" hidden="1" x14ac:dyDescent="0.3">
      <c r="A579" s="22" t="s">
        <v>21</v>
      </c>
      <c r="B579" s="21">
        <v>46013</v>
      </c>
      <c r="C579" s="22" t="s">
        <v>50</v>
      </c>
      <c r="D579" s="216" t="s">
        <v>24</v>
      </c>
      <c r="E579" s="216" t="s">
        <v>458</v>
      </c>
      <c r="F579" s="243" t="s">
        <v>459</v>
      </c>
      <c r="G579" s="219">
        <v>46013</v>
      </c>
      <c r="H579" s="219">
        <v>46013</v>
      </c>
      <c r="I579" s="219">
        <v>46013</v>
      </c>
      <c r="J579" s="17"/>
      <c r="K579" s="48">
        <v>0.33333333333333331</v>
      </c>
      <c r="L579" s="45">
        <v>0.70833333333333337</v>
      </c>
      <c r="M579" s="11">
        <f t="shared" ref="M579:M642" si="9">MOD(L579-K579,1)*24</f>
        <v>9.0000000000000018</v>
      </c>
      <c r="N579" s="214" t="s">
        <v>0</v>
      </c>
      <c r="P579" s="4"/>
      <c r="Q579" s="4"/>
      <c r="R579" s="4"/>
      <c r="S579" s="4"/>
      <c r="T579" s="4"/>
      <c r="U579" s="4"/>
      <c r="V579" s="4"/>
      <c r="W579" s="4"/>
    </row>
    <row r="580" spans="1:23" s="32" customFormat="1" hidden="1" x14ac:dyDescent="0.3">
      <c r="A580" s="22" t="s">
        <v>21</v>
      </c>
      <c r="B580" s="21">
        <v>46013</v>
      </c>
      <c r="C580" s="22" t="s">
        <v>51</v>
      </c>
      <c r="D580" s="217"/>
      <c r="E580" s="217"/>
      <c r="F580" s="244"/>
      <c r="G580" s="220"/>
      <c r="H580" s="220"/>
      <c r="I580" s="220"/>
      <c r="J580" s="19"/>
      <c r="K580" s="45">
        <v>0.29166666666666669</v>
      </c>
      <c r="L580" s="45">
        <v>0.70833333333333337</v>
      </c>
      <c r="M580" s="11">
        <f t="shared" si="9"/>
        <v>10</v>
      </c>
      <c r="N580" s="215"/>
      <c r="P580" s="4"/>
      <c r="Q580" s="4"/>
      <c r="R580" s="4"/>
      <c r="S580" s="4"/>
      <c r="T580" s="4"/>
      <c r="U580" s="4"/>
      <c r="V580" s="4"/>
      <c r="W580" s="4"/>
    </row>
    <row r="581" spans="1:23" s="32" customFormat="1" ht="28.8" hidden="1" x14ac:dyDescent="0.3">
      <c r="A581" s="22" t="s">
        <v>21</v>
      </c>
      <c r="B581" s="21">
        <v>46013</v>
      </c>
      <c r="C581" s="22" t="s">
        <v>37</v>
      </c>
      <c r="D581" s="20" t="s">
        <v>24</v>
      </c>
      <c r="E581" s="20" t="s">
        <v>460</v>
      </c>
      <c r="F581" s="3" t="s">
        <v>461</v>
      </c>
      <c r="G581" s="21">
        <v>46013</v>
      </c>
      <c r="H581" s="21">
        <v>46013</v>
      </c>
      <c r="I581" s="21">
        <v>46013</v>
      </c>
      <c r="J581" s="21"/>
      <c r="K581" s="45">
        <v>0.3125</v>
      </c>
      <c r="L581" s="45">
        <v>0.6875</v>
      </c>
      <c r="M581" s="11">
        <f t="shared" si="9"/>
        <v>9</v>
      </c>
      <c r="N581" s="34" t="s">
        <v>0</v>
      </c>
      <c r="P581" s="4"/>
      <c r="Q581" s="4"/>
      <c r="R581" s="4"/>
      <c r="S581" s="4"/>
      <c r="T581" s="4"/>
      <c r="U581" s="4"/>
      <c r="V581" s="4"/>
      <c r="W581" s="4"/>
    </row>
    <row r="582" spans="1:23" s="32" customFormat="1" hidden="1" x14ac:dyDescent="0.3">
      <c r="A582" s="22" t="s">
        <v>21</v>
      </c>
      <c r="B582" s="21">
        <v>46013</v>
      </c>
      <c r="C582" s="22" t="s">
        <v>274</v>
      </c>
      <c r="D582" s="214" t="s">
        <v>24</v>
      </c>
      <c r="E582" s="214" t="s">
        <v>300</v>
      </c>
      <c r="F582" s="241" t="s">
        <v>452</v>
      </c>
      <c r="G582" s="219">
        <v>46013</v>
      </c>
      <c r="H582" s="219">
        <v>46015</v>
      </c>
      <c r="I582" s="219"/>
      <c r="J582" s="17"/>
      <c r="K582" s="45">
        <v>0.3125</v>
      </c>
      <c r="L582" s="45">
        <v>0.70833333333333337</v>
      </c>
      <c r="M582" s="11">
        <f t="shared" si="9"/>
        <v>9.5</v>
      </c>
      <c r="N582" s="214" t="s">
        <v>1</v>
      </c>
      <c r="P582" s="4"/>
      <c r="Q582" s="4"/>
      <c r="R582" s="4"/>
      <c r="S582" s="4"/>
      <c r="T582" s="4"/>
      <c r="U582" s="4"/>
      <c r="V582" s="4"/>
      <c r="W582" s="4"/>
    </row>
    <row r="583" spans="1:23" s="32" customFormat="1" hidden="1" x14ac:dyDescent="0.3">
      <c r="A583" s="22" t="s">
        <v>21</v>
      </c>
      <c r="B583" s="21">
        <v>46013</v>
      </c>
      <c r="C583" s="22" t="s">
        <v>18</v>
      </c>
      <c r="D583" s="226"/>
      <c r="E583" s="226"/>
      <c r="F583" s="242"/>
      <c r="G583" s="229"/>
      <c r="H583" s="229"/>
      <c r="I583" s="229"/>
      <c r="J583" s="23"/>
      <c r="K583" s="47">
        <v>0.3125</v>
      </c>
      <c r="L583" s="45">
        <v>0.70833333333333337</v>
      </c>
      <c r="M583" s="11">
        <f t="shared" si="9"/>
        <v>9.5</v>
      </c>
      <c r="N583" s="226"/>
      <c r="P583" s="4"/>
      <c r="Q583" s="4"/>
      <c r="R583" s="4"/>
      <c r="S583" s="4"/>
      <c r="T583" s="4"/>
      <c r="U583" s="4"/>
      <c r="V583" s="4"/>
      <c r="W583" s="4"/>
    </row>
    <row r="584" spans="1:23" s="32" customFormat="1" hidden="1" x14ac:dyDescent="0.3">
      <c r="A584" s="22" t="s">
        <v>21</v>
      </c>
      <c r="B584" s="21">
        <v>46013</v>
      </c>
      <c r="C584" s="22" t="s">
        <v>22</v>
      </c>
      <c r="D584" s="214" t="s">
        <v>8</v>
      </c>
      <c r="E584" s="216" t="s">
        <v>406</v>
      </c>
      <c r="F584" s="243" t="s">
        <v>453</v>
      </c>
      <c r="G584" s="219">
        <v>46013</v>
      </c>
      <c r="H584" s="219">
        <v>46017</v>
      </c>
      <c r="I584" s="21"/>
      <c r="J584" s="21"/>
      <c r="K584" s="45">
        <v>0.3125</v>
      </c>
      <c r="L584" s="45">
        <v>0.6875</v>
      </c>
      <c r="M584" s="11">
        <f t="shared" si="9"/>
        <v>9</v>
      </c>
      <c r="N584" s="214" t="s">
        <v>1</v>
      </c>
      <c r="P584" s="4"/>
      <c r="Q584" s="4"/>
      <c r="R584" s="4"/>
      <c r="S584" s="4"/>
      <c r="T584" s="4"/>
      <c r="U584" s="4"/>
      <c r="V584" s="4"/>
      <c r="W584" s="4"/>
    </row>
    <row r="585" spans="1:23" s="32" customFormat="1" hidden="1" x14ac:dyDescent="0.3">
      <c r="A585" s="22" t="s">
        <v>21</v>
      </c>
      <c r="B585" s="21">
        <v>46013</v>
      </c>
      <c r="C585" s="22" t="s">
        <v>320</v>
      </c>
      <c r="D585" s="215"/>
      <c r="E585" s="217"/>
      <c r="F585" s="244"/>
      <c r="G585" s="229"/>
      <c r="H585" s="229"/>
      <c r="I585" s="21"/>
      <c r="J585" s="21"/>
      <c r="K585" s="45">
        <v>0.3125</v>
      </c>
      <c r="L585" s="45">
        <v>0.6875</v>
      </c>
      <c r="M585" s="11">
        <f t="shared" si="9"/>
        <v>9</v>
      </c>
      <c r="N585" s="215"/>
      <c r="P585" s="4"/>
      <c r="Q585" s="4"/>
      <c r="R585" s="4"/>
      <c r="S585" s="4"/>
      <c r="T585" s="4"/>
      <c r="U585" s="4"/>
      <c r="V585" s="4"/>
      <c r="W585" s="4"/>
    </row>
    <row r="586" spans="1:23" s="32" customFormat="1" hidden="1" x14ac:dyDescent="0.3">
      <c r="A586" s="22" t="s">
        <v>21</v>
      </c>
      <c r="B586" s="21">
        <v>46013</v>
      </c>
      <c r="C586" s="22" t="s">
        <v>320</v>
      </c>
      <c r="D586" s="18" t="s">
        <v>8</v>
      </c>
      <c r="E586" s="20" t="s">
        <v>235</v>
      </c>
      <c r="F586" s="3" t="s">
        <v>199</v>
      </c>
      <c r="G586" s="21">
        <v>46013</v>
      </c>
      <c r="H586" s="21">
        <v>46013</v>
      </c>
      <c r="I586" s="21">
        <v>46013</v>
      </c>
      <c r="J586" s="21"/>
      <c r="K586" s="45">
        <v>0.54166666666666663</v>
      </c>
      <c r="L586" s="45">
        <v>0.625</v>
      </c>
      <c r="M586" s="11">
        <f t="shared" si="9"/>
        <v>2.0000000000000009</v>
      </c>
      <c r="N586" s="34" t="s">
        <v>0</v>
      </c>
      <c r="P586" s="4"/>
      <c r="Q586" s="4"/>
      <c r="R586" s="4"/>
      <c r="S586" s="4"/>
      <c r="T586" s="4"/>
      <c r="U586" s="4"/>
      <c r="V586" s="4"/>
      <c r="W586" s="4"/>
    </row>
    <row r="587" spans="1:23" s="32" customFormat="1" ht="28.8" hidden="1" customHeight="1" x14ac:dyDescent="0.3">
      <c r="A587" s="22" t="s">
        <v>21</v>
      </c>
      <c r="B587" s="21">
        <v>46013</v>
      </c>
      <c r="C587" s="22" t="s">
        <v>118</v>
      </c>
      <c r="D587" s="216" t="s">
        <v>54</v>
      </c>
      <c r="E587" s="214" t="s">
        <v>389</v>
      </c>
      <c r="F587" s="241" t="s">
        <v>433</v>
      </c>
      <c r="G587" s="219">
        <v>46013</v>
      </c>
      <c r="H587" s="219">
        <v>46013</v>
      </c>
      <c r="I587" s="219">
        <v>46013</v>
      </c>
      <c r="J587" s="17"/>
      <c r="K587" s="45">
        <v>0.3125</v>
      </c>
      <c r="L587" s="45">
        <v>0.70833333333333337</v>
      </c>
      <c r="M587" s="11">
        <f t="shared" si="9"/>
        <v>9.5</v>
      </c>
      <c r="N587" s="214" t="s">
        <v>0</v>
      </c>
      <c r="P587" s="4"/>
      <c r="Q587" s="4"/>
      <c r="R587" s="4"/>
      <c r="S587" s="4"/>
      <c r="T587" s="4"/>
      <c r="U587" s="4"/>
      <c r="V587" s="4"/>
      <c r="W587" s="4"/>
    </row>
    <row r="588" spans="1:23" s="32" customFormat="1" hidden="1" x14ac:dyDescent="0.3">
      <c r="A588" s="22" t="s">
        <v>21</v>
      </c>
      <c r="B588" s="21">
        <v>46013</v>
      </c>
      <c r="C588" s="22" t="s">
        <v>25</v>
      </c>
      <c r="D588" s="217"/>
      <c r="E588" s="215"/>
      <c r="F588" s="248"/>
      <c r="G588" s="220"/>
      <c r="H588" s="220"/>
      <c r="I588" s="220"/>
      <c r="J588" s="19"/>
      <c r="K588" s="45">
        <v>0.3125</v>
      </c>
      <c r="L588" s="45">
        <v>0.70833333333333337</v>
      </c>
      <c r="M588" s="11">
        <f t="shared" si="9"/>
        <v>9.5</v>
      </c>
      <c r="N588" s="215"/>
      <c r="P588" s="4"/>
      <c r="Q588" s="4"/>
      <c r="R588" s="4"/>
      <c r="S588" s="4"/>
      <c r="T588" s="4"/>
      <c r="U588" s="4"/>
      <c r="V588" s="4"/>
      <c r="W588" s="4"/>
    </row>
    <row r="589" spans="1:23" s="32" customFormat="1" hidden="1" x14ac:dyDescent="0.3">
      <c r="A589" s="22" t="s">
        <v>21</v>
      </c>
      <c r="B589" s="21">
        <v>46013</v>
      </c>
      <c r="C589" s="22" t="s">
        <v>118</v>
      </c>
      <c r="D589" s="216" t="s">
        <v>54</v>
      </c>
      <c r="E589" s="214" t="s">
        <v>200</v>
      </c>
      <c r="F589" s="214" t="s">
        <v>470</v>
      </c>
      <c r="G589" s="219">
        <v>46013</v>
      </c>
      <c r="H589" s="219">
        <v>46013</v>
      </c>
      <c r="I589" s="219">
        <v>46013</v>
      </c>
      <c r="J589" s="17"/>
      <c r="K589" s="47">
        <v>0.45833333333333331</v>
      </c>
      <c r="L589" s="45">
        <v>0.70833333333333337</v>
      </c>
      <c r="M589" s="11">
        <f t="shared" si="9"/>
        <v>6.0000000000000018</v>
      </c>
      <c r="N589" s="224" t="s">
        <v>0</v>
      </c>
      <c r="P589" s="4"/>
      <c r="Q589" s="4"/>
      <c r="R589" s="4"/>
      <c r="S589" s="4"/>
      <c r="T589" s="4"/>
      <c r="U589" s="4"/>
      <c r="V589" s="4"/>
      <c r="W589" s="4"/>
    </row>
    <row r="590" spans="1:23" s="32" customFormat="1" hidden="1" x14ac:dyDescent="0.3">
      <c r="A590" s="22" t="s">
        <v>21</v>
      </c>
      <c r="B590" s="21">
        <v>46013</v>
      </c>
      <c r="C590" s="22" t="s">
        <v>25</v>
      </c>
      <c r="D590" s="217"/>
      <c r="E590" s="215"/>
      <c r="F590" s="215"/>
      <c r="G590" s="220"/>
      <c r="H590" s="220"/>
      <c r="I590" s="220"/>
      <c r="J590" s="23"/>
      <c r="K590" s="47">
        <v>0.45833333333333331</v>
      </c>
      <c r="L590" s="45">
        <v>0.70833333333333337</v>
      </c>
      <c r="M590" s="11">
        <f t="shared" si="9"/>
        <v>6.0000000000000018</v>
      </c>
      <c r="N590" s="225"/>
      <c r="P590" s="4"/>
      <c r="Q590" s="4"/>
      <c r="R590" s="4"/>
      <c r="S590" s="4"/>
      <c r="T590" s="4"/>
      <c r="U590" s="4"/>
      <c r="V590" s="4"/>
      <c r="W590" s="4"/>
    </row>
    <row r="591" spans="1:23" s="32" customFormat="1" hidden="1" x14ac:dyDescent="0.3">
      <c r="A591" s="22" t="s">
        <v>21</v>
      </c>
      <c r="B591" s="21">
        <v>46013</v>
      </c>
      <c r="C591" s="22" t="s">
        <v>55</v>
      </c>
      <c r="D591" s="14" t="s">
        <v>43</v>
      </c>
      <c r="E591" s="12" t="s">
        <v>424</v>
      </c>
      <c r="F591" s="29" t="s">
        <v>454</v>
      </c>
      <c r="G591" s="21">
        <v>46013</v>
      </c>
      <c r="H591" s="21">
        <v>46013</v>
      </c>
      <c r="I591" s="21">
        <v>46013</v>
      </c>
      <c r="J591" s="17"/>
      <c r="K591" s="47">
        <v>0.3125</v>
      </c>
      <c r="L591" s="45">
        <v>0.6875</v>
      </c>
      <c r="M591" s="11">
        <f t="shared" si="9"/>
        <v>9</v>
      </c>
      <c r="N591" s="11" t="s">
        <v>0</v>
      </c>
      <c r="P591" s="4"/>
      <c r="Q591" s="4"/>
      <c r="R591" s="4"/>
      <c r="S591" s="4"/>
      <c r="T591" s="4"/>
      <c r="U591" s="4"/>
      <c r="V591" s="4"/>
      <c r="W591" s="4"/>
    </row>
    <row r="592" spans="1:23" s="32" customFormat="1" ht="28.8" hidden="1" customHeight="1" x14ac:dyDescent="0.3">
      <c r="A592" s="22" t="s">
        <v>19</v>
      </c>
      <c r="B592" s="21">
        <v>46013</v>
      </c>
      <c r="C592" s="22" t="s">
        <v>7</v>
      </c>
      <c r="D592" s="216" t="s">
        <v>8</v>
      </c>
      <c r="E592" s="216" t="s">
        <v>235</v>
      </c>
      <c r="F592" s="243" t="s">
        <v>455</v>
      </c>
      <c r="G592" s="219">
        <v>45999</v>
      </c>
      <c r="H592" s="219">
        <v>46013</v>
      </c>
      <c r="I592" s="219">
        <v>46013</v>
      </c>
      <c r="J592" s="17"/>
      <c r="K592" s="47">
        <v>0.3125</v>
      </c>
      <c r="L592" s="45">
        <v>0.54166666666666663</v>
      </c>
      <c r="M592" s="11">
        <f t="shared" si="9"/>
        <v>5.4999999999999991</v>
      </c>
      <c r="N592" s="214" t="s">
        <v>0</v>
      </c>
      <c r="P592" s="4"/>
      <c r="Q592" s="4"/>
      <c r="R592" s="4"/>
      <c r="S592" s="4"/>
      <c r="T592" s="4"/>
      <c r="U592" s="4"/>
      <c r="V592" s="4"/>
      <c r="W592" s="4"/>
    </row>
    <row r="593" spans="1:23" s="32" customFormat="1" hidden="1" x14ac:dyDescent="0.3">
      <c r="A593" s="22" t="s">
        <v>19</v>
      </c>
      <c r="B593" s="21">
        <v>46013</v>
      </c>
      <c r="C593" s="22" t="s">
        <v>208</v>
      </c>
      <c r="D593" s="217"/>
      <c r="E593" s="217"/>
      <c r="F593" s="244"/>
      <c r="G593" s="220"/>
      <c r="H593" s="220"/>
      <c r="I593" s="220"/>
      <c r="J593" s="23"/>
      <c r="K593" s="47">
        <v>0.3125</v>
      </c>
      <c r="L593" s="45">
        <v>0.54166666666666663</v>
      </c>
      <c r="M593" s="11">
        <f t="shared" si="9"/>
        <v>5.4999999999999991</v>
      </c>
      <c r="N593" s="215"/>
      <c r="P593" s="4"/>
      <c r="Q593" s="4"/>
      <c r="R593" s="4"/>
      <c r="S593" s="4"/>
      <c r="T593" s="4"/>
      <c r="U593" s="4"/>
      <c r="V593" s="4"/>
      <c r="W593" s="4"/>
    </row>
    <row r="594" spans="1:23" s="32" customFormat="1" hidden="1" x14ac:dyDescent="0.3">
      <c r="A594" s="22" t="s">
        <v>19</v>
      </c>
      <c r="B594" s="21">
        <v>46013</v>
      </c>
      <c r="C594" s="22" t="s">
        <v>7</v>
      </c>
      <c r="D594" s="216" t="s">
        <v>32</v>
      </c>
      <c r="E594" s="216" t="s">
        <v>471</v>
      </c>
      <c r="F594" s="243" t="s">
        <v>472</v>
      </c>
      <c r="G594" s="219">
        <v>46013</v>
      </c>
      <c r="H594" s="219">
        <v>46013</v>
      </c>
      <c r="I594" s="219">
        <v>46013</v>
      </c>
      <c r="J594" s="17"/>
      <c r="K594" s="47"/>
      <c r="L594" s="45"/>
      <c r="M594" s="11">
        <f t="shared" si="9"/>
        <v>0</v>
      </c>
      <c r="N594" s="224" t="s">
        <v>0</v>
      </c>
      <c r="P594" s="4"/>
      <c r="Q594" s="4"/>
      <c r="R594" s="4"/>
      <c r="S594" s="4"/>
      <c r="T594" s="4"/>
      <c r="U594" s="4"/>
      <c r="V594" s="4"/>
      <c r="W594" s="4"/>
    </row>
    <row r="595" spans="1:23" s="32" customFormat="1" hidden="1" x14ac:dyDescent="0.3">
      <c r="A595" s="22" t="s">
        <v>19</v>
      </c>
      <c r="B595" s="21">
        <v>46013</v>
      </c>
      <c r="C595" s="22" t="s">
        <v>208</v>
      </c>
      <c r="D595" s="217"/>
      <c r="E595" s="217"/>
      <c r="F595" s="244"/>
      <c r="G595" s="220"/>
      <c r="H595" s="220"/>
      <c r="I595" s="220"/>
      <c r="J595" s="23"/>
      <c r="K595" s="47"/>
      <c r="L595" s="45"/>
      <c r="M595" s="11">
        <f t="shared" si="9"/>
        <v>0</v>
      </c>
      <c r="N595" s="225"/>
      <c r="P595" s="4"/>
      <c r="Q595" s="4"/>
      <c r="R595" s="4"/>
      <c r="S595" s="4"/>
      <c r="T595" s="4"/>
      <c r="U595" s="4"/>
      <c r="V595" s="4"/>
      <c r="W595" s="4"/>
    </row>
    <row r="596" spans="1:23" s="32" customFormat="1" hidden="1" x14ac:dyDescent="0.3">
      <c r="A596" s="22" t="s">
        <v>19</v>
      </c>
      <c r="B596" s="21">
        <v>46013</v>
      </c>
      <c r="C596" s="22" t="s">
        <v>9</v>
      </c>
      <c r="D596" s="14" t="s">
        <v>8</v>
      </c>
      <c r="E596" s="14" t="s">
        <v>441</v>
      </c>
      <c r="F596" s="27" t="s">
        <v>374</v>
      </c>
      <c r="G596" s="19">
        <v>45969</v>
      </c>
      <c r="H596" s="19">
        <v>46013</v>
      </c>
      <c r="I596" s="19">
        <v>46013</v>
      </c>
      <c r="J596" s="23"/>
      <c r="K596" s="47">
        <v>0.3125</v>
      </c>
      <c r="L596" s="45">
        <v>0.39583333333333331</v>
      </c>
      <c r="M596" s="11">
        <f t="shared" si="9"/>
        <v>1.9999999999999996</v>
      </c>
      <c r="N596" s="42" t="s">
        <v>0</v>
      </c>
      <c r="P596" s="4"/>
      <c r="Q596" s="4"/>
      <c r="R596" s="4"/>
      <c r="S596" s="4"/>
      <c r="T596" s="4"/>
      <c r="U596" s="4"/>
      <c r="V596" s="4"/>
      <c r="W596" s="4"/>
    </row>
    <row r="597" spans="1:23" s="32" customFormat="1" hidden="1" x14ac:dyDescent="0.3">
      <c r="A597" s="22" t="s">
        <v>19</v>
      </c>
      <c r="B597" s="21">
        <v>46013</v>
      </c>
      <c r="C597" s="22" t="s">
        <v>9</v>
      </c>
      <c r="D597" s="14" t="s">
        <v>8</v>
      </c>
      <c r="E597" s="14" t="s">
        <v>287</v>
      </c>
      <c r="F597" s="27" t="s">
        <v>374</v>
      </c>
      <c r="G597" s="19">
        <v>46003</v>
      </c>
      <c r="H597" s="19">
        <v>46013</v>
      </c>
      <c r="I597" s="19">
        <v>46013</v>
      </c>
      <c r="J597" s="19"/>
      <c r="K597" s="45">
        <v>0.39583333333333331</v>
      </c>
      <c r="L597" s="45">
        <v>0.58333333333333337</v>
      </c>
      <c r="M597" s="11">
        <f t="shared" si="9"/>
        <v>4.5000000000000018</v>
      </c>
      <c r="N597" s="42" t="s">
        <v>0</v>
      </c>
      <c r="P597" s="4"/>
      <c r="Q597" s="4"/>
      <c r="R597" s="4"/>
      <c r="S597" s="4"/>
      <c r="T597" s="4"/>
      <c r="U597" s="4"/>
      <c r="V597" s="4"/>
      <c r="W597" s="4"/>
    </row>
    <row r="598" spans="1:23" s="32" customFormat="1" hidden="1" x14ac:dyDescent="0.3">
      <c r="A598" s="22" t="s">
        <v>19</v>
      </c>
      <c r="B598" s="21">
        <v>46013</v>
      </c>
      <c r="C598" s="22" t="s">
        <v>9</v>
      </c>
      <c r="D598" s="14" t="s">
        <v>8</v>
      </c>
      <c r="E598" s="14" t="s">
        <v>105</v>
      </c>
      <c r="F598" s="27" t="s">
        <v>374</v>
      </c>
      <c r="G598" s="19">
        <v>45996</v>
      </c>
      <c r="H598" s="19">
        <v>46013</v>
      </c>
      <c r="I598" s="19"/>
      <c r="J598" s="19"/>
      <c r="K598" s="45">
        <v>0.58333333333333337</v>
      </c>
      <c r="L598" s="45">
        <v>0.60416666666666663</v>
      </c>
      <c r="M598" s="11">
        <f t="shared" si="9"/>
        <v>0.49999999999999822</v>
      </c>
      <c r="N598" s="42" t="s">
        <v>0</v>
      </c>
      <c r="P598" s="4"/>
      <c r="Q598" s="4"/>
      <c r="R598" s="4"/>
      <c r="S598" s="4"/>
      <c r="T598" s="4"/>
      <c r="U598" s="4"/>
      <c r="V598" s="4"/>
      <c r="W598" s="4"/>
    </row>
    <row r="599" spans="1:23" s="32" customFormat="1" hidden="1" x14ac:dyDescent="0.3">
      <c r="A599" s="22" t="s">
        <v>20</v>
      </c>
      <c r="B599" s="21">
        <v>46013</v>
      </c>
      <c r="C599" s="69" t="s">
        <v>12</v>
      </c>
      <c r="D599" s="233" t="s">
        <v>44</v>
      </c>
      <c r="E599" s="238" t="s">
        <v>462</v>
      </c>
      <c r="F599" s="245" t="s">
        <v>463</v>
      </c>
      <c r="G599" s="223">
        <v>46013</v>
      </c>
      <c r="H599" s="223">
        <v>46013</v>
      </c>
      <c r="I599" s="223">
        <v>46013</v>
      </c>
      <c r="J599" s="21"/>
      <c r="K599" s="45">
        <v>0.3125</v>
      </c>
      <c r="L599" s="48">
        <v>0.45833333333333331</v>
      </c>
      <c r="M599" s="11">
        <f t="shared" si="9"/>
        <v>3.4999999999999996</v>
      </c>
      <c r="N599" s="249" t="s">
        <v>0</v>
      </c>
      <c r="P599" s="4"/>
      <c r="Q599" s="4"/>
      <c r="R599" s="4"/>
      <c r="S599" s="4"/>
      <c r="T599" s="4"/>
      <c r="U599" s="4"/>
      <c r="V599" s="4"/>
      <c r="W599" s="4"/>
    </row>
    <row r="600" spans="1:23" s="32" customFormat="1" hidden="1" x14ac:dyDescent="0.3">
      <c r="A600" s="22" t="s">
        <v>20</v>
      </c>
      <c r="B600" s="21">
        <v>46013</v>
      </c>
      <c r="C600" s="69" t="s">
        <v>33</v>
      </c>
      <c r="D600" s="233"/>
      <c r="E600" s="233"/>
      <c r="F600" s="245"/>
      <c r="G600" s="223"/>
      <c r="H600" s="223"/>
      <c r="I600" s="223"/>
      <c r="J600" s="21"/>
      <c r="K600" s="45">
        <v>0.3125</v>
      </c>
      <c r="L600" s="48">
        <v>0.45833333333333331</v>
      </c>
      <c r="M600" s="11">
        <f t="shared" si="9"/>
        <v>3.4999999999999996</v>
      </c>
      <c r="N600" s="249"/>
      <c r="P600" s="4"/>
      <c r="Q600" s="4"/>
      <c r="R600" s="4"/>
      <c r="S600" s="4"/>
      <c r="T600" s="4"/>
      <c r="U600" s="4"/>
      <c r="V600" s="4"/>
      <c r="W600" s="4"/>
    </row>
    <row r="601" spans="1:23" s="32" customFormat="1" hidden="1" x14ac:dyDescent="0.3">
      <c r="A601" s="22" t="s">
        <v>20</v>
      </c>
      <c r="B601" s="21">
        <v>46013</v>
      </c>
      <c r="C601" s="69" t="s">
        <v>444</v>
      </c>
      <c r="D601" s="233" t="s">
        <v>44</v>
      </c>
      <c r="E601" s="214" t="s">
        <v>464</v>
      </c>
      <c r="F601" s="241" t="s">
        <v>465</v>
      </c>
      <c r="G601" s="223">
        <v>46013</v>
      </c>
      <c r="H601" s="223">
        <v>46016</v>
      </c>
      <c r="I601" s="223">
        <v>46013</v>
      </c>
      <c r="J601" s="21"/>
      <c r="K601" s="45">
        <v>0.33333333333333331</v>
      </c>
      <c r="L601" s="48">
        <v>0.70833333333333337</v>
      </c>
      <c r="M601" s="11">
        <f t="shared" si="9"/>
        <v>9.0000000000000018</v>
      </c>
      <c r="N601" s="231" t="s">
        <v>0</v>
      </c>
      <c r="P601" s="4"/>
      <c r="Q601" s="4"/>
      <c r="R601" s="4"/>
      <c r="S601" s="4"/>
      <c r="T601" s="4"/>
      <c r="U601" s="4"/>
      <c r="V601" s="4"/>
      <c r="W601" s="4"/>
    </row>
    <row r="602" spans="1:23" s="32" customFormat="1" hidden="1" x14ac:dyDescent="0.3">
      <c r="A602" s="22" t="s">
        <v>20</v>
      </c>
      <c r="B602" s="21">
        <v>46013</v>
      </c>
      <c r="C602" s="69" t="s">
        <v>421</v>
      </c>
      <c r="D602" s="233"/>
      <c r="E602" s="215"/>
      <c r="F602" s="248"/>
      <c r="G602" s="223"/>
      <c r="H602" s="223"/>
      <c r="I602" s="223"/>
      <c r="J602" s="21"/>
      <c r="K602" s="45">
        <v>0.33333333333333331</v>
      </c>
      <c r="L602" s="48">
        <v>0.70833333333333337</v>
      </c>
      <c r="M602" s="11">
        <f t="shared" si="9"/>
        <v>9.0000000000000018</v>
      </c>
      <c r="N602" s="225"/>
      <c r="P602" s="4"/>
      <c r="Q602" s="4"/>
      <c r="R602" s="4"/>
      <c r="S602" s="4"/>
      <c r="T602" s="4"/>
      <c r="U602" s="4"/>
      <c r="V602" s="4"/>
      <c r="W602" s="4"/>
    </row>
    <row r="603" spans="1:23" s="32" customFormat="1" hidden="1" x14ac:dyDescent="0.3">
      <c r="A603" s="22" t="s">
        <v>20</v>
      </c>
      <c r="B603" s="21">
        <v>46013</v>
      </c>
      <c r="C603" s="22" t="s">
        <v>28</v>
      </c>
      <c r="D603" s="13" t="s">
        <v>65</v>
      </c>
      <c r="E603" s="13" t="s">
        <v>410</v>
      </c>
      <c r="F603" s="26" t="s">
        <v>446</v>
      </c>
      <c r="G603" s="17">
        <v>46013</v>
      </c>
      <c r="H603" s="17">
        <v>46013</v>
      </c>
      <c r="I603" s="17">
        <v>46013</v>
      </c>
      <c r="J603" s="17"/>
      <c r="K603" s="45">
        <v>0.33333333333333331</v>
      </c>
      <c r="L603" s="48">
        <v>0.625</v>
      </c>
      <c r="M603" s="11">
        <f t="shared" si="9"/>
        <v>7</v>
      </c>
      <c r="N603" s="67" t="s">
        <v>0</v>
      </c>
      <c r="P603" s="4"/>
      <c r="Q603" s="4"/>
      <c r="R603" s="4"/>
      <c r="S603" s="4"/>
      <c r="T603" s="4"/>
      <c r="U603" s="4"/>
      <c r="V603" s="4"/>
      <c r="W603" s="4"/>
    </row>
    <row r="604" spans="1:23" s="32" customFormat="1" hidden="1" x14ac:dyDescent="0.3">
      <c r="A604" s="22" t="s">
        <v>20</v>
      </c>
      <c r="B604" s="21">
        <v>46013</v>
      </c>
      <c r="C604" s="22" t="s">
        <v>28</v>
      </c>
      <c r="D604" s="13" t="s">
        <v>65</v>
      </c>
      <c r="E604" s="13" t="s">
        <v>466</v>
      </c>
      <c r="F604" s="26" t="s">
        <v>244</v>
      </c>
      <c r="G604" s="17">
        <v>46013</v>
      </c>
      <c r="H604" s="17">
        <v>46013</v>
      </c>
      <c r="I604" s="17">
        <v>46013</v>
      </c>
      <c r="J604" s="17"/>
      <c r="K604" s="48">
        <v>0.625</v>
      </c>
      <c r="L604" s="48">
        <v>0.79166666666666663</v>
      </c>
      <c r="M604" s="11">
        <f t="shared" si="9"/>
        <v>3.9999999999999991</v>
      </c>
      <c r="N604" s="67" t="s">
        <v>0</v>
      </c>
      <c r="P604" s="4"/>
      <c r="Q604" s="4"/>
      <c r="R604" s="4"/>
      <c r="S604" s="4"/>
      <c r="T604" s="4"/>
      <c r="U604" s="4"/>
      <c r="V604" s="4"/>
      <c r="W604" s="4"/>
    </row>
    <row r="605" spans="1:23" s="32" customFormat="1" hidden="1" x14ac:dyDescent="0.3">
      <c r="A605" s="22" t="s">
        <v>20</v>
      </c>
      <c r="B605" s="21">
        <v>46013</v>
      </c>
      <c r="C605" s="22" t="s">
        <v>47</v>
      </c>
      <c r="D605" s="216" t="s">
        <v>65</v>
      </c>
      <c r="E605" s="216" t="s">
        <v>447</v>
      </c>
      <c r="F605" s="243" t="s">
        <v>467</v>
      </c>
      <c r="G605" s="219">
        <v>46013</v>
      </c>
      <c r="H605" s="219">
        <v>46013</v>
      </c>
      <c r="I605" s="219">
        <v>46013</v>
      </c>
      <c r="J605" s="101"/>
      <c r="K605" s="44">
        <v>0.33333333333333331</v>
      </c>
      <c r="L605" s="45">
        <v>0.79166666666666663</v>
      </c>
      <c r="M605" s="11">
        <f t="shared" si="9"/>
        <v>11</v>
      </c>
      <c r="N605" s="231" t="s">
        <v>0</v>
      </c>
      <c r="P605" s="4"/>
      <c r="Q605" s="4"/>
      <c r="R605" s="4"/>
      <c r="S605" s="4"/>
      <c r="T605" s="4"/>
      <c r="U605" s="4"/>
      <c r="V605" s="4"/>
      <c r="W605" s="4"/>
    </row>
    <row r="606" spans="1:23" s="32" customFormat="1" hidden="1" x14ac:dyDescent="0.3">
      <c r="A606" s="22" t="s">
        <v>20</v>
      </c>
      <c r="B606" s="21">
        <v>46013</v>
      </c>
      <c r="C606" s="22" t="s">
        <v>31</v>
      </c>
      <c r="D606" s="217"/>
      <c r="E606" s="217"/>
      <c r="F606" s="244"/>
      <c r="G606" s="220"/>
      <c r="H606" s="220"/>
      <c r="I606" s="220"/>
      <c r="J606" s="19"/>
      <c r="K606" s="45">
        <v>0.4375</v>
      </c>
      <c r="L606" s="45">
        <v>0.45833333333333331</v>
      </c>
      <c r="M606" s="11">
        <f t="shared" si="9"/>
        <v>0.49999999999999956</v>
      </c>
      <c r="N606" s="225"/>
      <c r="P606" s="4"/>
      <c r="Q606" s="4"/>
      <c r="R606" s="4"/>
      <c r="S606" s="4"/>
      <c r="T606" s="4"/>
      <c r="U606" s="4"/>
      <c r="V606" s="4"/>
      <c r="W606" s="4"/>
    </row>
    <row r="607" spans="1:23" s="32" customFormat="1" hidden="1" x14ac:dyDescent="0.3">
      <c r="A607" s="22" t="s">
        <v>20</v>
      </c>
      <c r="B607" s="21">
        <v>46013</v>
      </c>
      <c r="C607" s="22" t="s">
        <v>167</v>
      </c>
      <c r="D607" s="216" t="s">
        <v>65</v>
      </c>
      <c r="E607" s="216" t="s">
        <v>449</v>
      </c>
      <c r="F607" s="243" t="s">
        <v>469</v>
      </c>
      <c r="G607" s="219">
        <v>46011</v>
      </c>
      <c r="H607" s="219">
        <v>46013</v>
      </c>
      <c r="I607" s="219">
        <v>46013</v>
      </c>
      <c r="J607" s="101"/>
      <c r="K607" s="44">
        <v>0.3125</v>
      </c>
      <c r="L607" s="45">
        <v>0.4375</v>
      </c>
      <c r="M607" s="11">
        <f t="shared" si="9"/>
        <v>3</v>
      </c>
      <c r="N607" s="231" t="s">
        <v>0</v>
      </c>
      <c r="P607" s="4"/>
      <c r="Q607" s="4"/>
      <c r="R607" s="4"/>
      <c r="S607" s="4"/>
      <c r="T607" s="4"/>
      <c r="U607" s="4"/>
      <c r="V607" s="4"/>
      <c r="W607" s="4"/>
    </row>
    <row r="608" spans="1:23" s="32" customFormat="1" hidden="1" x14ac:dyDescent="0.3">
      <c r="A608" s="22" t="s">
        <v>20</v>
      </c>
      <c r="B608" s="21">
        <v>46013</v>
      </c>
      <c r="C608" s="22" t="s">
        <v>31</v>
      </c>
      <c r="D608" s="217"/>
      <c r="E608" s="217"/>
      <c r="F608" s="244"/>
      <c r="G608" s="220"/>
      <c r="H608" s="220"/>
      <c r="I608" s="220"/>
      <c r="J608" s="19"/>
      <c r="K608" s="45">
        <v>0.45833333333333331</v>
      </c>
      <c r="L608" s="45">
        <v>0.5</v>
      </c>
      <c r="M608" s="11">
        <f t="shared" si="9"/>
        <v>1.0000000000000004</v>
      </c>
      <c r="N608" s="225"/>
      <c r="P608" s="4"/>
      <c r="Q608" s="4"/>
      <c r="R608" s="4"/>
      <c r="S608" s="4"/>
      <c r="T608" s="4"/>
      <c r="U608" s="4"/>
      <c r="V608" s="4"/>
      <c r="W608" s="4"/>
    </row>
    <row r="609" spans="1:23" s="32" customFormat="1" hidden="1" x14ac:dyDescent="0.3">
      <c r="A609" s="22" t="s">
        <v>20</v>
      </c>
      <c r="B609" s="21">
        <v>46013</v>
      </c>
      <c r="C609" s="22" t="s">
        <v>16</v>
      </c>
      <c r="D609" s="216" t="s">
        <v>65</v>
      </c>
      <c r="E609" s="216" t="s">
        <v>306</v>
      </c>
      <c r="F609" s="243" t="s">
        <v>468</v>
      </c>
      <c r="G609" s="219">
        <v>46013</v>
      </c>
      <c r="H609" s="219">
        <v>46013</v>
      </c>
      <c r="I609" s="219"/>
      <c r="J609" s="17"/>
      <c r="K609" s="47">
        <v>0.3125</v>
      </c>
      <c r="L609" s="45">
        <v>0.77083333333333337</v>
      </c>
      <c r="M609" s="11">
        <f t="shared" si="9"/>
        <v>11</v>
      </c>
      <c r="N609" s="231" t="s">
        <v>0</v>
      </c>
      <c r="P609" s="4"/>
      <c r="Q609" s="4"/>
      <c r="R609" s="4"/>
      <c r="S609" s="4"/>
      <c r="T609" s="4"/>
      <c r="U609" s="4"/>
      <c r="V609" s="4"/>
      <c r="W609" s="4"/>
    </row>
    <row r="610" spans="1:23" s="32" customFormat="1" hidden="1" x14ac:dyDescent="0.3">
      <c r="A610" s="22" t="s">
        <v>20</v>
      </c>
      <c r="B610" s="21">
        <v>46013</v>
      </c>
      <c r="C610" s="22" t="s">
        <v>31</v>
      </c>
      <c r="D610" s="217"/>
      <c r="E610" s="217"/>
      <c r="F610" s="244"/>
      <c r="G610" s="220"/>
      <c r="H610" s="220"/>
      <c r="I610" s="220"/>
      <c r="J610" s="19"/>
      <c r="K610" s="45">
        <v>0.4375</v>
      </c>
      <c r="L610" s="45">
        <v>0.45833333333333331</v>
      </c>
      <c r="M610" s="11">
        <f t="shared" si="9"/>
        <v>0.49999999999999956</v>
      </c>
      <c r="N610" s="225"/>
      <c r="P610" s="4"/>
      <c r="Q610" s="4"/>
      <c r="R610" s="4"/>
      <c r="S610" s="4"/>
      <c r="T610" s="4"/>
      <c r="U610" s="4"/>
      <c r="V610" s="4"/>
      <c r="W610" s="4"/>
    </row>
    <row r="611" spans="1:23" s="32" customFormat="1" ht="28.8" hidden="1" x14ac:dyDescent="0.3">
      <c r="A611" s="22" t="s">
        <v>20</v>
      </c>
      <c r="B611" s="21">
        <v>46013</v>
      </c>
      <c r="C611" s="22" t="s">
        <v>15</v>
      </c>
      <c r="D611" s="13" t="s">
        <v>65</v>
      </c>
      <c r="E611" s="79" t="s">
        <v>448</v>
      </c>
      <c r="F611" s="3" t="s">
        <v>473</v>
      </c>
      <c r="G611" s="23">
        <v>46011</v>
      </c>
      <c r="H611" s="23">
        <v>46013</v>
      </c>
      <c r="I611" s="23"/>
      <c r="J611" s="23"/>
      <c r="K611" s="47">
        <v>0.47916666666666669</v>
      </c>
      <c r="L611" s="47">
        <v>0.77083333333333337</v>
      </c>
      <c r="M611" s="11">
        <f t="shared" si="9"/>
        <v>7</v>
      </c>
      <c r="N611" s="75" t="s">
        <v>30</v>
      </c>
      <c r="P611" s="4"/>
      <c r="Q611" s="4"/>
      <c r="R611" s="4"/>
      <c r="S611" s="4"/>
      <c r="T611" s="4"/>
      <c r="U611" s="4"/>
      <c r="V611" s="4"/>
      <c r="W611" s="4"/>
    </row>
    <row r="612" spans="1:23" s="32" customFormat="1" hidden="1" x14ac:dyDescent="0.3">
      <c r="A612" s="22" t="s">
        <v>20</v>
      </c>
      <c r="B612" s="21">
        <v>46013</v>
      </c>
      <c r="C612" s="22" t="s">
        <v>31</v>
      </c>
      <c r="D612" s="11" t="s">
        <v>27</v>
      </c>
      <c r="E612" s="76" t="s">
        <v>82</v>
      </c>
      <c r="F612" s="26" t="s">
        <v>397</v>
      </c>
      <c r="G612" s="30">
        <v>46013</v>
      </c>
      <c r="H612" s="30">
        <v>46013</v>
      </c>
      <c r="I612" s="30">
        <v>46013</v>
      </c>
      <c r="J612" s="16"/>
      <c r="K612" s="47">
        <v>0.41666666666666669</v>
      </c>
      <c r="L612" s="47">
        <v>0.45833333333333331</v>
      </c>
      <c r="M612" s="11">
        <f t="shared" si="9"/>
        <v>0.99999999999999911</v>
      </c>
      <c r="N612" s="11" t="s">
        <v>0</v>
      </c>
      <c r="P612" s="4"/>
      <c r="Q612" s="4"/>
      <c r="R612" s="4"/>
      <c r="S612" s="4"/>
      <c r="T612" s="4"/>
      <c r="U612" s="4"/>
      <c r="V612" s="4"/>
      <c r="W612" s="4"/>
    </row>
    <row r="613" spans="1:23" s="32" customFormat="1" hidden="1" x14ac:dyDescent="0.3">
      <c r="A613" s="22" t="s">
        <v>20</v>
      </c>
      <c r="B613" s="21">
        <v>46013</v>
      </c>
      <c r="C613" s="69" t="s">
        <v>15</v>
      </c>
      <c r="D613" s="24" t="s">
        <v>65</v>
      </c>
      <c r="E613" s="22" t="s">
        <v>448</v>
      </c>
      <c r="F613" s="25" t="s">
        <v>413</v>
      </c>
      <c r="G613" s="30">
        <v>46013</v>
      </c>
      <c r="H613" s="30">
        <v>46013</v>
      </c>
      <c r="I613" s="30">
        <v>46013</v>
      </c>
      <c r="J613" s="30"/>
      <c r="K613" s="48">
        <v>0.33333333333333331</v>
      </c>
      <c r="L613" s="48">
        <v>0.79166666666666663</v>
      </c>
      <c r="M613" s="11">
        <f t="shared" si="9"/>
        <v>11</v>
      </c>
      <c r="N613" s="11" t="s">
        <v>0</v>
      </c>
      <c r="P613" s="4"/>
      <c r="Q613" s="4"/>
      <c r="R613" s="4"/>
      <c r="S613" s="4"/>
      <c r="T613" s="4"/>
      <c r="U613" s="4"/>
      <c r="V613" s="4"/>
      <c r="W613" s="4"/>
    </row>
    <row r="614" spans="1:23" s="32" customFormat="1" hidden="1" x14ac:dyDescent="0.3">
      <c r="A614" s="22" t="s">
        <v>20</v>
      </c>
      <c r="B614" s="21">
        <v>46013</v>
      </c>
      <c r="C614" s="22" t="s">
        <v>17</v>
      </c>
      <c r="D614" s="24" t="s">
        <v>65</v>
      </c>
      <c r="E614" s="22" t="s">
        <v>451</v>
      </c>
      <c r="F614" s="25" t="s">
        <v>380</v>
      </c>
      <c r="G614" s="30">
        <v>46011</v>
      </c>
      <c r="H614" s="30">
        <v>46013</v>
      </c>
      <c r="I614" s="30">
        <v>46013</v>
      </c>
      <c r="J614" s="30"/>
      <c r="K614" s="45">
        <v>0.3125</v>
      </c>
      <c r="L614" s="45">
        <v>0.77083333333333337</v>
      </c>
      <c r="M614" s="11">
        <f t="shared" si="9"/>
        <v>11</v>
      </c>
      <c r="N614" s="11" t="s">
        <v>0</v>
      </c>
      <c r="P614" s="4"/>
      <c r="Q614" s="4"/>
      <c r="R614" s="4"/>
      <c r="S614" s="4"/>
      <c r="T614" s="4"/>
      <c r="U614" s="4"/>
      <c r="V614" s="4"/>
      <c r="W614" s="4"/>
    </row>
    <row r="615" spans="1:23" s="32" customFormat="1" hidden="1" x14ac:dyDescent="0.3">
      <c r="A615" s="22" t="s">
        <v>21</v>
      </c>
      <c r="B615" s="21">
        <v>46014</v>
      </c>
      <c r="C615" s="22" t="s">
        <v>26</v>
      </c>
      <c r="D615" s="13" t="s">
        <v>24</v>
      </c>
      <c r="E615" s="11" t="s">
        <v>483</v>
      </c>
      <c r="F615" s="26" t="s">
        <v>484</v>
      </c>
      <c r="G615" s="21">
        <v>46014</v>
      </c>
      <c r="H615" s="21">
        <v>46014</v>
      </c>
      <c r="I615" s="21">
        <v>46014</v>
      </c>
      <c r="J615" s="21"/>
      <c r="K615" s="48">
        <v>0.33333333333333331</v>
      </c>
      <c r="L615" s="48">
        <v>0.70833333333333337</v>
      </c>
      <c r="M615" s="11">
        <f t="shared" si="9"/>
        <v>9.0000000000000018</v>
      </c>
      <c r="N615" s="78" t="s">
        <v>0</v>
      </c>
      <c r="P615" s="4"/>
      <c r="Q615" s="4"/>
      <c r="R615" s="4"/>
      <c r="S615" s="4"/>
      <c r="T615" s="4"/>
      <c r="U615" s="4"/>
      <c r="V615" s="4"/>
      <c r="W615" s="4"/>
    </row>
    <row r="616" spans="1:23" s="32" customFormat="1" hidden="1" x14ac:dyDescent="0.3">
      <c r="A616" s="22" t="s">
        <v>21</v>
      </c>
      <c r="B616" s="21">
        <v>46014</v>
      </c>
      <c r="C616" s="22" t="s">
        <v>50</v>
      </c>
      <c r="D616" s="216" t="s">
        <v>24</v>
      </c>
      <c r="E616" s="216" t="s">
        <v>485</v>
      </c>
      <c r="F616" s="243" t="s">
        <v>486</v>
      </c>
      <c r="G616" s="219">
        <v>46014</v>
      </c>
      <c r="H616" s="219">
        <v>46014</v>
      </c>
      <c r="I616" s="219">
        <v>46014</v>
      </c>
      <c r="J616" s="17"/>
      <c r="K616" s="48">
        <v>0.33333333333333331</v>
      </c>
      <c r="L616" s="45">
        <v>0.70833333333333337</v>
      </c>
      <c r="M616" s="11">
        <f t="shared" si="9"/>
        <v>9.0000000000000018</v>
      </c>
      <c r="N616" s="214" t="s">
        <v>0</v>
      </c>
      <c r="P616" s="4"/>
      <c r="Q616" s="4"/>
      <c r="R616" s="4"/>
      <c r="S616" s="4"/>
      <c r="T616" s="4"/>
      <c r="U616" s="4"/>
      <c r="V616" s="4"/>
      <c r="W616" s="4"/>
    </row>
    <row r="617" spans="1:23" s="32" customFormat="1" hidden="1" x14ac:dyDescent="0.3">
      <c r="A617" s="22" t="s">
        <v>21</v>
      </c>
      <c r="B617" s="21">
        <v>46014</v>
      </c>
      <c r="C617" s="22" t="s">
        <v>51</v>
      </c>
      <c r="D617" s="217"/>
      <c r="E617" s="217"/>
      <c r="F617" s="244"/>
      <c r="G617" s="220"/>
      <c r="H617" s="220"/>
      <c r="I617" s="220"/>
      <c r="J617" s="19"/>
      <c r="K617" s="48">
        <v>0.33333333333333331</v>
      </c>
      <c r="L617" s="45">
        <v>0.70833333333333337</v>
      </c>
      <c r="M617" s="11">
        <f t="shared" si="9"/>
        <v>9.0000000000000018</v>
      </c>
      <c r="N617" s="215"/>
      <c r="P617" s="4"/>
      <c r="Q617" s="4"/>
      <c r="R617" s="4"/>
      <c r="S617" s="4"/>
      <c r="T617" s="4"/>
      <c r="U617" s="4"/>
      <c r="V617" s="4"/>
      <c r="W617" s="4"/>
    </row>
    <row r="618" spans="1:23" s="32" customFormat="1" hidden="1" x14ac:dyDescent="0.3">
      <c r="A618" s="22" t="s">
        <v>21</v>
      </c>
      <c r="B618" s="21">
        <v>46014</v>
      </c>
      <c r="C618" s="22" t="s">
        <v>37</v>
      </c>
      <c r="D618" s="20" t="s">
        <v>24</v>
      </c>
      <c r="E618" s="20" t="s">
        <v>487</v>
      </c>
      <c r="F618" s="3" t="s">
        <v>484</v>
      </c>
      <c r="G618" s="21">
        <v>46014</v>
      </c>
      <c r="H618" s="21">
        <v>46014</v>
      </c>
      <c r="I618" s="21">
        <v>46014</v>
      </c>
      <c r="J618" s="21"/>
      <c r="K618" s="45">
        <v>0.3125</v>
      </c>
      <c r="L618" s="45">
        <v>0.6875</v>
      </c>
      <c r="M618" s="11">
        <f t="shared" si="9"/>
        <v>9</v>
      </c>
      <c r="N618" s="34" t="s">
        <v>0</v>
      </c>
      <c r="P618" s="4"/>
      <c r="Q618" s="4"/>
      <c r="R618" s="4"/>
      <c r="S618" s="4"/>
      <c r="T618" s="4"/>
      <c r="U618" s="4"/>
      <c r="V618" s="4"/>
      <c r="W618" s="4"/>
    </row>
    <row r="619" spans="1:23" s="32" customFormat="1" hidden="1" x14ac:dyDescent="0.3">
      <c r="A619" s="22" t="s">
        <v>21</v>
      </c>
      <c r="B619" s="21">
        <v>46014</v>
      </c>
      <c r="C619" s="22" t="s">
        <v>274</v>
      </c>
      <c r="D619" s="214" t="s">
        <v>24</v>
      </c>
      <c r="E619" s="214" t="s">
        <v>300</v>
      </c>
      <c r="F619" s="241" t="s">
        <v>452</v>
      </c>
      <c r="G619" s="219">
        <v>46013</v>
      </c>
      <c r="H619" s="219">
        <v>46015</v>
      </c>
      <c r="I619" s="219"/>
      <c r="J619" s="17"/>
      <c r="K619" s="45">
        <v>0.3125</v>
      </c>
      <c r="L619" s="45">
        <v>0.70833333333333337</v>
      </c>
      <c r="M619" s="11">
        <f t="shared" si="9"/>
        <v>9.5</v>
      </c>
      <c r="N619" s="214" t="s">
        <v>1</v>
      </c>
      <c r="P619" s="4"/>
      <c r="Q619" s="4"/>
      <c r="R619" s="4"/>
      <c r="S619" s="4"/>
      <c r="T619" s="4"/>
      <c r="U619" s="4"/>
      <c r="V619" s="4"/>
      <c r="W619" s="4"/>
    </row>
    <row r="620" spans="1:23" s="32" customFormat="1" hidden="1" x14ac:dyDescent="0.3">
      <c r="A620" s="22" t="s">
        <v>21</v>
      </c>
      <c r="B620" s="21">
        <v>46014</v>
      </c>
      <c r="C620" s="22" t="s">
        <v>18</v>
      </c>
      <c r="D620" s="226"/>
      <c r="E620" s="226"/>
      <c r="F620" s="242"/>
      <c r="G620" s="229"/>
      <c r="H620" s="229"/>
      <c r="I620" s="229"/>
      <c r="J620" s="23"/>
      <c r="K620" s="47">
        <v>0.3125</v>
      </c>
      <c r="L620" s="45">
        <v>0.70833333333333337</v>
      </c>
      <c r="M620" s="11">
        <f t="shared" si="9"/>
        <v>9.5</v>
      </c>
      <c r="N620" s="226"/>
      <c r="P620" s="4"/>
      <c r="Q620" s="4"/>
      <c r="R620" s="4"/>
      <c r="S620" s="4"/>
      <c r="T620" s="4"/>
      <c r="U620" s="4"/>
      <c r="V620" s="4"/>
      <c r="W620" s="4"/>
    </row>
    <row r="621" spans="1:23" s="32" customFormat="1" hidden="1" x14ac:dyDescent="0.3">
      <c r="A621" s="22" t="s">
        <v>21</v>
      </c>
      <c r="B621" s="21">
        <v>46014</v>
      </c>
      <c r="C621" s="22" t="s">
        <v>22</v>
      </c>
      <c r="D621" s="214" t="s">
        <v>8</v>
      </c>
      <c r="E621" s="216" t="s">
        <v>406</v>
      </c>
      <c r="F621" s="243" t="s">
        <v>474</v>
      </c>
      <c r="G621" s="219">
        <v>46013</v>
      </c>
      <c r="H621" s="219">
        <v>46017</v>
      </c>
      <c r="I621" s="21"/>
      <c r="J621" s="21"/>
      <c r="K621" s="45">
        <v>0.3125</v>
      </c>
      <c r="L621" s="45">
        <v>0.6875</v>
      </c>
      <c r="M621" s="11">
        <f t="shared" si="9"/>
        <v>9</v>
      </c>
      <c r="N621" s="214" t="s">
        <v>1</v>
      </c>
      <c r="P621" s="4"/>
      <c r="Q621" s="4"/>
      <c r="R621" s="4"/>
      <c r="S621" s="4"/>
      <c r="T621" s="4"/>
      <c r="U621" s="4"/>
      <c r="V621" s="4"/>
      <c r="W621" s="4"/>
    </row>
    <row r="622" spans="1:23" s="32" customFormat="1" hidden="1" x14ac:dyDescent="0.3">
      <c r="A622" s="22" t="s">
        <v>21</v>
      </c>
      <c r="B622" s="21">
        <v>46014</v>
      </c>
      <c r="C622" s="22" t="s">
        <v>320</v>
      </c>
      <c r="D622" s="215"/>
      <c r="E622" s="217"/>
      <c r="F622" s="244"/>
      <c r="G622" s="229"/>
      <c r="H622" s="229"/>
      <c r="I622" s="21"/>
      <c r="J622" s="21"/>
      <c r="K622" s="45">
        <v>0.3125</v>
      </c>
      <c r="L622" s="45">
        <v>0.6875</v>
      </c>
      <c r="M622" s="11">
        <f t="shared" si="9"/>
        <v>9</v>
      </c>
      <c r="N622" s="215"/>
      <c r="P622" s="4"/>
      <c r="Q622" s="4"/>
      <c r="R622" s="4"/>
      <c r="S622" s="4"/>
      <c r="T622" s="4"/>
      <c r="U622" s="4"/>
      <c r="V622" s="4"/>
      <c r="W622" s="4"/>
    </row>
    <row r="623" spans="1:23" s="32" customFormat="1" hidden="1" x14ac:dyDescent="0.3">
      <c r="A623" s="22" t="s">
        <v>21</v>
      </c>
      <c r="B623" s="21">
        <v>46014</v>
      </c>
      <c r="C623" s="22" t="s">
        <v>118</v>
      </c>
      <c r="D623" s="216" t="s">
        <v>54</v>
      </c>
      <c r="E623" s="214" t="s">
        <v>200</v>
      </c>
      <c r="F623" s="214" t="s">
        <v>475</v>
      </c>
      <c r="G623" s="219">
        <v>46013</v>
      </c>
      <c r="H623" s="219">
        <v>46014</v>
      </c>
      <c r="I623" s="219">
        <v>46014</v>
      </c>
      <c r="J623" s="17"/>
      <c r="K623" s="45">
        <v>0.3125</v>
      </c>
      <c r="L623" s="45">
        <v>0.5</v>
      </c>
      <c r="M623" s="11">
        <f t="shared" si="9"/>
        <v>4.5</v>
      </c>
      <c r="N623" s="224" t="s">
        <v>0</v>
      </c>
      <c r="P623" s="4"/>
      <c r="Q623" s="4"/>
      <c r="R623" s="4"/>
      <c r="S623" s="4"/>
      <c r="T623" s="4"/>
      <c r="U623" s="4"/>
      <c r="V623" s="4"/>
      <c r="W623" s="4"/>
    </row>
    <row r="624" spans="1:23" s="32" customFormat="1" hidden="1" x14ac:dyDescent="0.3">
      <c r="A624" s="22" t="s">
        <v>21</v>
      </c>
      <c r="B624" s="21">
        <v>46014</v>
      </c>
      <c r="C624" s="22" t="s">
        <v>25</v>
      </c>
      <c r="D624" s="217"/>
      <c r="E624" s="215"/>
      <c r="F624" s="215"/>
      <c r="G624" s="220"/>
      <c r="H624" s="220"/>
      <c r="I624" s="220"/>
      <c r="J624" s="19"/>
      <c r="K624" s="45">
        <v>0.3125</v>
      </c>
      <c r="L624" s="45">
        <v>0.5</v>
      </c>
      <c r="M624" s="11">
        <f t="shared" si="9"/>
        <v>4.5</v>
      </c>
      <c r="N624" s="225"/>
      <c r="P624" s="4"/>
      <c r="Q624" s="4"/>
      <c r="R624" s="4"/>
      <c r="S624" s="4"/>
      <c r="T624" s="4"/>
      <c r="U624" s="4"/>
      <c r="V624" s="4"/>
      <c r="W624" s="4"/>
    </row>
    <row r="625" spans="1:23" s="32" customFormat="1" hidden="1" x14ac:dyDescent="0.3">
      <c r="A625" s="22" t="s">
        <v>21</v>
      </c>
      <c r="B625" s="21">
        <v>46014</v>
      </c>
      <c r="C625" s="22" t="s">
        <v>118</v>
      </c>
      <c r="D625" s="216" t="s">
        <v>54</v>
      </c>
      <c r="E625" s="216" t="s">
        <v>494</v>
      </c>
      <c r="F625" s="216" t="s">
        <v>495</v>
      </c>
      <c r="G625" s="219">
        <v>46014</v>
      </c>
      <c r="H625" s="219">
        <v>46014</v>
      </c>
      <c r="I625" s="216"/>
      <c r="J625" s="13"/>
      <c r="K625" s="47">
        <v>0.54166666666666663</v>
      </c>
      <c r="L625" s="45">
        <v>0.70833333333333337</v>
      </c>
      <c r="M625" s="11">
        <f t="shared" si="9"/>
        <v>4.0000000000000018</v>
      </c>
      <c r="N625" s="227" t="s">
        <v>1</v>
      </c>
      <c r="P625" s="4"/>
      <c r="Q625" s="4"/>
      <c r="R625" s="4"/>
      <c r="S625" s="4"/>
      <c r="T625" s="4"/>
      <c r="U625" s="4"/>
      <c r="V625" s="4"/>
      <c r="W625" s="4"/>
    </row>
    <row r="626" spans="1:23" s="32" customFormat="1" hidden="1" x14ac:dyDescent="0.3">
      <c r="A626" s="22" t="s">
        <v>21</v>
      </c>
      <c r="B626" s="21">
        <v>46014</v>
      </c>
      <c r="C626" s="22" t="s">
        <v>25</v>
      </c>
      <c r="D626" s="217"/>
      <c r="E626" s="217"/>
      <c r="F626" s="217"/>
      <c r="G626" s="220"/>
      <c r="H626" s="220"/>
      <c r="I626" s="217"/>
      <c r="J626" s="20"/>
      <c r="K626" s="47">
        <v>0.54166666666666663</v>
      </c>
      <c r="L626" s="45">
        <v>0.70833333333333337</v>
      </c>
      <c r="M626" s="11">
        <f t="shared" si="9"/>
        <v>4.0000000000000018</v>
      </c>
      <c r="N626" s="228"/>
      <c r="P626" s="4"/>
      <c r="Q626" s="4"/>
      <c r="R626" s="4"/>
      <c r="S626" s="4"/>
      <c r="T626" s="4"/>
      <c r="U626" s="4"/>
      <c r="V626" s="4"/>
      <c r="W626" s="4"/>
    </row>
    <row r="627" spans="1:23" s="32" customFormat="1" hidden="1" x14ac:dyDescent="0.3">
      <c r="A627" s="22" t="s">
        <v>21</v>
      </c>
      <c r="B627" s="21">
        <v>46014</v>
      </c>
      <c r="C627" s="22" t="s">
        <v>55</v>
      </c>
      <c r="D627" s="14" t="s">
        <v>43</v>
      </c>
      <c r="E627" s="12" t="s">
        <v>476</v>
      </c>
      <c r="F627" s="29" t="s">
        <v>477</v>
      </c>
      <c r="G627" s="21">
        <v>46014</v>
      </c>
      <c r="H627" s="21">
        <v>46014</v>
      </c>
      <c r="I627" s="21"/>
      <c r="J627" s="17"/>
      <c r="K627" s="47">
        <v>0.3125</v>
      </c>
      <c r="L627" s="45">
        <v>0.6875</v>
      </c>
      <c r="M627" s="11">
        <f t="shared" si="9"/>
        <v>9</v>
      </c>
      <c r="N627" s="11" t="s">
        <v>1</v>
      </c>
      <c r="P627" s="4"/>
      <c r="Q627" s="4"/>
      <c r="R627" s="4"/>
      <c r="S627" s="4"/>
      <c r="T627" s="4"/>
      <c r="U627" s="4"/>
      <c r="V627" s="4"/>
      <c r="W627" s="4"/>
    </row>
    <row r="628" spans="1:23" s="32" customFormat="1" hidden="1" x14ac:dyDescent="0.3">
      <c r="A628" s="22" t="s">
        <v>19</v>
      </c>
      <c r="B628" s="21">
        <v>46014</v>
      </c>
      <c r="C628" s="22" t="s">
        <v>7</v>
      </c>
      <c r="D628" s="214" t="s">
        <v>32</v>
      </c>
      <c r="E628" s="214" t="s">
        <v>480</v>
      </c>
      <c r="F628" s="241" t="s">
        <v>472</v>
      </c>
      <c r="G628" s="219">
        <v>46014</v>
      </c>
      <c r="H628" s="219">
        <v>46014</v>
      </c>
      <c r="I628" s="219"/>
      <c r="J628" s="17"/>
      <c r="K628" s="47">
        <v>0.3125</v>
      </c>
      <c r="L628" s="45">
        <v>0.6875</v>
      </c>
      <c r="M628" s="11">
        <f t="shared" si="9"/>
        <v>9</v>
      </c>
      <c r="N628" s="227" t="s">
        <v>1</v>
      </c>
      <c r="P628" s="4"/>
      <c r="Q628" s="4"/>
      <c r="R628" s="4"/>
      <c r="S628" s="4"/>
      <c r="T628" s="4"/>
      <c r="U628" s="4"/>
      <c r="V628" s="4"/>
      <c r="W628" s="4"/>
    </row>
    <row r="629" spans="1:23" s="32" customFormat="1" hidden="1" x14ac:dyDescent="0.3">
      <c r="A629" s="22" t="s">
        <v>19</v>
      </c>
      <c r="B629" s="21">
        <v>46014</v>
      </c>
      <c r="C629" s="22" t="s">
        <v>208</v>
      </c>
      <c r="D629" s="226"/>
      <c r="E629" s="226"/>
      <c r="F629" s="242"/>
      <c r="G629" s="229"/>
      <c r="H629" s="229"/>
      <c r="I629" s="229"/>
      <c r="J629" s="23"/>
      <c r="K629" s="47">
        <v>0.3125</v>
      </c>
      <c r="L629" s="45">
        <v>0.6875</v>
      </c>
      <c r="M629" s="11">
        <f t="shared" si="9"/>
        <v>9</v>
      </c>
      <c r="N629" s="230"/>
      <c r="P629" s="4"/>
      <c r="Q629" s="4"/>
      <c r="R629" s="4"/>
      <c r="S629" s="4"/>
      <c r="T629" s="4"/>
      <c r="U629" s="4"/>
      <c r="V629" s="4"/>
      <c r="W629" s="4"/>
    </row>
    <row r="630" spans="1:23" s="32" customFormat="1" hidden="1" x14ac:dyDescent="0.3">
      <c r="A630" s="22" t="s">
        <v>19</v>
      </c>
      <c r="B630" s="21">
        <v>46014</v>
      </c>
      <c r="C630" s="22" t="s">
        <v>9</v>
      </c>
      <c r="D630" s="215"/>
      <c r="E630" s="215"/>
      <c r="F630" s="248"/>
      <c r="G630" s="220"/>
      <c r="H630" s="220"/>
      <c r="I630" s="220"/>
      <c r="J630" s="23"/>
      <c r="K630" s="47">
        <v>0.47916666666666669</v>
      </c>
      <c r="L630" s="45">
        <v>0.6875</v>
      </c>
      <c r="M630" s="11">
        <f t="shared" si="9"/>
        <v>5</v>
      </c>
      <c r="N630" s="228"/>
      <c r="P630" s="4"/>
      <c r="Q630" s="4"/>
      <c r="R630" s="4"/>
      <c r="S630" s="4"/>
      <c r="T630" s="4"/>
      <c r="U630" s="4"/>
      <c r="V630" s="4"/>
      <c r="W630" s="4"/>
    </row>
    <row r="631" spans="1:23" s="32" customFormat="1" hidden="1" x14ac:dyDescent="0.3">
      <c r="A631" s="22" t="s">
        <v>19</v>
      </c>
      <c r="B631" s="21">
        <v>46014</v>
      </c>
      <c r="C631" s="22" t="s">
        <v>9</v>
      </c>
      <c r="D631" s="14" t="s">
        <v>8</v>
      </c>
      <c r="E631" s="14" t="s">
        <v>481</v>
      </c>
      <c r="F631" s="27" t="s">
        <v>482</v>
      </c>
      <c r="G631" s="19">
        <v>46014</v>
      </c>
      <c r="H631" s="19">
        <v>46014</v>
      </c>
      <c r="I631" s="19"/>
      <c r="J631" s="19"/>
      <c r="K631" s="45">
        <v>0.3125</v>
      </c>
      <c r="L631" s="45">
        <v>0.47916666666666669</v>
      </c>
      <c r="M631" s="11">
        <f t="shared" si="9"/>
        <v>4</v>
      </c>
      <c r="N631" s="67" t="s">
        <v>1</v>
      </c>
      <c r="P631" s="4"/>
      <c r="Q631" s="4"/>
      <c r="R631" s="4"/>
      <c r="S631" s="4"/>
      <c r="T631" s="4"/>
      <c r="U631" s="4"/>
      <c r="V631" s="4"/>
      <c r="W631" s="4"/>
    </row>
    <row r="632" spans="1:23" s="32" customFormat="1" hidden="1" x14ac:dyDescent="0.3">
      <c r="A632" s="22" t="s">
        <v>20</v>
      </c>
      <c r="B632" s="21">
        <v>46014</v>
      </c>
      <c r="C632" s="69" t="s">
        <v>12</v>
      </c>
      <c r="D632" s="233" t="s">
        <v>44</v>
      </c>
      <c r="E632" s="238" t="s">
        <v>419</v>
      </c>
      <c r="F632" s="245" t="s">
        <v>478</v>
      </c>
      <c r="G632" s="223">
        <v>46014</v>
      </c>
      <c r="H632" s="223">
        <v>46016</v>
      </c>
      <c r="I632" s="223"/>
      <c r="J632" s="21"/>
      <c r="K632" s="45">
        <v>0.3125</v>
      </c>
      <c r="L632" s="48">
        <v>0.375</v>
      </c>
      <c r="M632" s="11">
        <f t="shared" si="9"/>
        <v>1.5</v>
      </c>
      <c r="N632" s="249" t="s">
        <v>0</v>
      </c>
      <c r="P632" s="4"/>
      <c r="Q632" s="4"/>
      <c r="R632" s="4"/>
      <c r="S632" s="4"/>
      <c r="T632" s="4"/>
      <c r="U632" s="4"/>
      <c r="V632" s="4"/>
      <c r="W632" s="4"/>
    </row>
    <row r="633" spans="1:23" s="32" customFormat="1" hidden="1" x14ac:dyDescent="0.3">
      <c r="A633" s="22" t="s">
        <v>20</v>
      </c>
      <c r="B633" s="21">
        <v>46014</v>
      </c>
      <c r="C633" s="69" t="s">
        <v>33</v>
      </c>
      <c r="D633" s="233"/>
      <c r="E633" s="233"/>
      <c r="F633" s="245"/>
      <c r="G633" s="223"/>
      <c r="H633" s="223"/>
      <c r="I633" s="223"/>
      <c r="J633" s="21"/>
      <c r="K633" s="45">
        <v>0.3125</v>
      </c>
      <c r="L633" s="48">
        <v>0.79166666666666663</v>
      </c>
      <c r="M633" s="11">
        <f t="shared" si="9"/>
        <v>11.5</v>
      </c>
      <c r="N633" s="249"/>
      <c r="P633" s="4"/>
      <c r="Q633" s="4"/>
      <c r="R633" s="4"/>
      <c r="S633" s="4"/>
      <c r="T633" s="4"/>
      <c r="U633" s="4"/>
      <c r="V633" s="4"/>
      <c r="W633" s="4"/>
    </row>
    <row r="634" spans="1:23" s="32" customFormat="1" hidden="1" x14ac:dyDescent="0.3">
      <c r="A634" s="22" t="s">
        <v>20</v>
      </c>
      <c r="B634" s="21">
        <v>46014</v>
      </c>
      <c r="C634" s="69" t="s">
        <v>12</v>
      </c>
      <c r="D634" s="214" t="s">
        <v>27</v>
      </c>
      <c r="E634" s="214" t="s">
        <v>82</v>
      </c>
      <c r="F634" s="214" t="s">
        <v>497</v>
      </c>
      <c r="G634" s="223">
        <v>46014</v>
      </c>
      <c r="H634" s="223">
        <v>46014</v>
      </c>
      <c r="I634" s="223">
        <v>46014</v>
      </c>
      <c r="J634" s="21"/>
      <c r="K634" s="48">
        <v>0.375</v>
      </c>
      <c r="L634" s="45">
        <v>0.47916666666666669</v>
      </c>
      <c r="M634" s="11">
        <f t="shared" si="9"/>
        <v>2.5000000000000004</v>
      </c>
      <c r="N634" s="224" t="s">
        <v>0</v>
      </c>
      <c r="P634" s="4"/>
      <c r="Q634" s="4"/>
      <c r="R634" s="4"/>
      <c r="S634" s="4"/>
      <c r="T634" s="4"/>
      <c r="U634" s="4"/>
      <c r="V634" s="4"/>
      <c r="W634" s="4"/>
    </row>
    <row r="635" spans="1:23" s="32" customFormat="1" hidden="1" x14ac:dyDescent="0.3">
      <c r="A635" s="22" t="s">
        <v>20</v>
      </c>
      <c r="B635" s="21">
        <v>46014</v>
      </c>
      <c r="C635" s="69" t="s">
        <v>496</v>
      </c>
      <c r="D635" s="215"/>
      <c r="E635" s="215"/>
      <c r="F635" s="215"/>
      <c r="G635" s="223"/>
      <c r="H635" s="223"/>
      <c r="I635" s="223"/>
      <c r="J635" s="21"/>
      <c r="K635" s="48">
        <v>0.375</v>
      </c>
      <c r="L635" s="45">
        <v>0.47916666666666669</v>
      </c>
      <c r="M635" s="11">
        <f t="shared" si="9"/>
        <v>2.5000000000000004</v>
      </c>
      <c r="N635" s="225"/>
      <c r="P635" s="4"/>
      <c r="Q635" s="4"/>
      <c r="R635" s="4"/>
      <c r="S635" s="4"/>
      <c r="T635" s="4"/>
      <c r="U635" s="4"/>
      <c r="V635" s="4"/>
      <c r="W635" s="4"/>
    </row>
    <row r="636" spans="1:23" s="32" customFormat="1" hidden="1" x14ac:dyDescent="0.3">
      <c r="A636" s="22" t="s">
        <v>20</v>
      </c>
      <c r="B636" s="21">
        <v>46014</v>
      </c>
      <c r="C636" s="69" t="s">
        <v>12</v>
      </c>
      <c r="D636" s="233" t="s">
        <v>44</v>
      </c>
      <c r="E636" s="214" t="s">
        <v>499</v>
      </c>
      <c r="F636" s="214" t="s">
        <v>500</v>
      </c>
      <c r="G636" s="223">
        <v>46014</v>
      </c>
      <c r="H636" s="223">
        <v>46014</v>
      </c>
      <c r="I636" s="223">
        <v>46014</v>
      </c>
      <c r="J636" s="21"/>
      <c r="K636" s="48">
        <v>0.66666666666666663</v>
      </c>
      <c r="L636" s="45">
        <v>0.72916666666666663</v>
      </c>
      <c r="M636" s="11">
        <f t="shared" si="9"/>
        <v>1.5</v>
      </c>
      <c r="N636" s="224" t="s">
        <v>0</v>
      </c>
      <c r="P636" s="4"/>
      <c r="Q636" s="4"/>
      <c r="R636" s="4"/>
      <c r="S636" s="4"/>
      <c r="T636" s="4"/>
      <c r="U636" s="4"/>
      <c r="V636" s="4"/>
      <c r="W636" s="4"/>
    </row>
    <row r="637" spans="1:23" s="32" customFormat="1" hidden="1" x14ac:dyDescent="0.3">
      <c r="A637" s="22" t="s">
        <v>20</v>
      </c>
      <c r="B637" s="21">
        <v>46014</v>
      </c>
      <c r="C637" s="69" t="s">
        <v>498</v>
      </c>
      <c r="D637" s="233"/>
      <c r="E637" s="215"/>
      <c r="F637" s="215"/>
      <c r="G637" s="223"/>
      <c r="H637" s="223"/>
      <c r="I637" s="223"/>
      <c r="J637" s="21"/>
      <c r="K637" s="48">
        <v>0.66666666666666663</v>
      </c>
      <c r="L637" s="45">
        <v>0.72916666666666663</v>
      </c>
      <c r="M637" s="11">
        <f t="shared" si="9"/>
        <v>1.5</v>
      </c>
      <c r="N637" s="225"/>
      <c r="P637" s="4"/>
      <c r="Q637" s="4"/>
      <c r="R637" s="4"/>
      <c r="S637" s="4"/>
      <c r="T637" s="4"/>
      <c r="U637" s="4"/>
      <c r="V637" s="4"/>
      <c r="W637" s="4"/>
    </row>
    <row r="638" spans="1:23" s="32" customFormat="1" hidden="1" x14ac:dyDescent="0.3">
      <c r="A638" s="22" t="s">
        <v>20</v>
      </c>
      <c r="B638" s="21">
        <v>46014</v>
      </c>
      <c r="C638" s="69" t="s">
        <v>444</v>
      </c>
      <c r="D638" s="233" t="s">
        <v>44</v>
      </c>
      <c r="E638" s="214" t="s">
        <v>464</v>
      </c>
      <c r="F638" s="241" t="s">
        <v>479</v>
      </c>
      <c r="G638" s="223">
        <v>46014</v>
      </c>
      <c r="H638" s="223">
        <v>46015</v>
      </c>
      <c r="I638" s="223"/>
      <c r="J638" s="21"/>
      <c r="K638" s="45">
        <v>0.33333333333333331</v>
      </c>
      <c r="L638" s="48">
        <v>0.79166666666666663</v>
      </c>
      <c r="M638" s="11">
        <f t="shared" si="9"/>
        <v>11</v>
      </c>
      <c r="N638" s="231" t="s">
        <v>0</v>
      </c>
      <c r="P638" s="4"/>
      <c r="Q638" s="4"/>
      <c r="R638" s="4"/>
      <c r="S638" s="4"/>
      <c r="T638" s="4"/>
      <c r="U638" s="4"/>
      <c r="V638" s="4"/>
      <c r="W638" s="4"/>
    </row>
    <row r="639" spans="1:23" s="32" customFormat="1" hidden="1" x14ac:dyDescent="0.3">
      <c r="A639" s="22" t="s">
        <v>20</v>
      </c>
      <c r="B639" s="21">
        <v>46014</v>
      </c>
      <c r="C639" s="69" t="s">
        <v>421</v>
      </c>
      <c r="D639" s="233"/>
      <c r="E639" s="215"/>
      <c r="F639" s="248"/>
      <c r="G639" s="223"/>
      <c r="H639" s="223"/>
      <c r="I639" s="223"/>
      <c r="J639" s="21"/>
      <c r="K639" s="45">
        <v>0.33333333333333331</v>
      </c>
      <c r="L639" s="48">
        <v>0.79166666666666663</v>
      </c>
      <c r="M639" s="11">
        <f t="shared" si="9"/>
        <v>11</v>
      </c>
      <c r="N639" s="225"/>
      <c r="P639" s="4"/>
      <c r="Q639" s="4"/>
      <c r="R639" s="4"/>
      <c r="S639" s="4"/>
      <c r="T639" s="4"/>
      <c r="U639" s="4"/>
      <c r="V639" s="4"/>
      <c r="W639" s="4"/>
    </row>
    <row r="640" spans="1:23" s="32" customFormat="1" hidden="1" x14ac:dyDescent="0.3">
      <c r="A640" s="22" t="s">
        <v>20</v>
      </c>
      <c r="B640" s="21">
        <v>46014</v>
      </c>
      <c r="C640" s="22" t="s">
        <v>28</v>
      </c>
      <c r="D640" s="13" t="s">
        <v>65</v>
      </c>
      <c r="E640" s="13" t="s">
        <v>488</v>
      </c>
      <c r="F640" s="26" t="s">
        <v>489</v>
      </c>
      <c r="G640" s="17">
        <v>46014</v>
      </c>
      <c r="H640" s="17">
        <v>46014</v>
      </c>
      <c r="I640" s="17">
        <v>46014</v>
      </c>
      <c r="J640" s="17"/>
      <c r="K640" s="45">
        <v>0.33333333333333331</v>
      </c>
      <c r="L640" s="48">
        <v>0.79166666666666663</v>
      </c>
      <c r="M640" s="11">
        <f t="shared" si="9"/>
        <v>11</v>
      </c>
      <c r="N640" s="67" t="s">
        <v>0</v>
      </c>
      <c r="P640" s="4"/>
      <c r="Q640" s="4"/>
      <c r="R640" s="4"/>
      <c r="S640" s="4"/>
      <c r="T640" s="4"/>
      <c r="U640" s="4"/>
      <c r="V640" s="4"/>
      <c r="W640" s="4"/>
    </row>
    <row r="641" spans="1:23" s="32" customFormat="1" hidden="1" x14ac:dyDescent="0.3">
      <c r="A641" s="22" t="s">
        <v>20</v>
      </c>
      <c r="B641" s="21">
        <v>46014</v>
      </c>
      <c r="C641" s="22" t="s">
        <v>47</v>
      </c>
      <c r="D641" s="216" t="s">
        <v>65</v>
      </c>
      <c r="E641" s="216" t="s">
        <v>447</v>
      </c>
      <c r="F641" s="243" t="s">
        <v>490</v>
      </c>
      <c r="G641" s="219">
        <v>46011</v>
      </c>
      <c r="H641" s="219">
        <v>46014</v>
      </c>
      <c r="I641" s="219">
        <v>46014</v>
      </c>
      <c r="J641" s="101"/>
      <c r="K641" s="44">
        <v>0.33333333333333331</v>
      </c>
      <c r="L641" s="45">
        <v>0.79166666666666663</v>
      </c>
      <c r="M641" s="11">
        <f t="shared" si="9"/>
        <v>11</v>
      </c>
      <c r="N641" s="231" t="s">
        <v>0</v>
      </c>
      <c r="P641" s="4"/>
      <c r="Q641" s="4"/>
      <c r="R641" s="4"/>
      <c r="S641" s="4"/>
      <c r="T641" s="4"/>
      <c r="U641" s="4"/>
      <c r="V641" s="4"/>
      <c r="W641" s="4"/>
    </row>
    <row r="642" spans="1:23" s="32" customFormat="1" hidden="1" x14ac:dyDescent="0.3">
      <c r="A642" s="22" t="s">
        <v>20</v>
      </c>
      <c r="B642" s="21">
        <v>46014</v>
      </c>
      <c r="C642" s="22" t="s">
        <v>31</v>
      </c>
      <c r="D642" s="217"/>
      <c r="E642" s="217"/>
      <c r="F642" s="244"/>
      <c r="G642" s="220"/>
      <c r="H642" s="220"/>
      <c r="I642" s="220"/>
      <c r="J642" s="19"/>
      <c r="K642" s="45">
        <v>0.4375</v>
      </c>
      <c r="L642" s="45">
        <v>0.45833333333333331</v>
      </c>
      <c r="M642" s="11">
        <f t="shared" si="9"/>
        <v>0.49999999999999956</v>
      </c>
      <c r="N642" s="225"/>
      <c r="P642" s="4"/>
      <c r="Q642" s="4"/>
      <c r="R642" s="4"/>
      <c r="S642" s="4"/>
      <c r="T642" s="4"/>
      <c r="U642" s="4"/>
      <c r="V642" s="4"/>
      <c r="W642" s="4"/>
    </row>
    <row r="643" spans="1:23" s="32" customFormat="1" hidden="1" x14ac:dyDescent="0.3">
      <c r="A643" s="22" t="s">
        <v>20</v>
      </c>
      <c r="B643" s="21">
        <v>46014</v>
      </c>
      <c r="C643" s="22" t="s">
        <v>167</v>
      </c>
      <c r="D643" s="216" t="s">
        <v>65</v>
      </c>
      <c r="E643" s="216" t="s">
        <v>449</v>
      </c>
      <c r="F643" s="243" t="s">
        <v>59</v>
      </c>
      <c r="G643" s="219">
        <v>46011</v>
      </c>
      <c r="H643" s="219">
        <v>46014</v>
      </c>
      <c r="I643" s="219">
        <v>46014</v>
      </c>
      <c r="J643" s="101"/>
      <c r="K643" s="44">
        <v>0.3125</v>
      </c>
      <c r="L643" s="45">
        <v>0.47916666666666669</v>
      </c>
      <c r="M643" s="11">
        <f t="shared" ref="M643:M706" si="10">MOD(L643-K643,1)*24</f>
        <v>4</v>
      </c>
      <c r="N643" s="231" t="s">
        <v>0</v>
      </c>
      <c r="P643" s="4"/>
      <c r="Q643" s="4"/>
      <c r="R643" s="4"/>
      <c r="S643" s="4"/>
      <c r="T643" s="4"/>
      <c r="U643" s="4"/>
      <c r="V643" s="4"/>
      <c r="W643" s="4"/>
    </row>
    <row r="644" spans="1:23" s="32" customFormat="1" hidden="1" x14ac:dyDescent="0.3">
      <c r="A644" s="22" t="s">
        <v>20</v>
      </c>
      <c r="B644" s="21">
        <v>46014</v>
      </c>
      <c r="C644" s="22" t="s">
        <v>31</v>
      </c>
      <c r="D644" s="217"/>
      <c r="E644" s="217"/>
      <c r="F644" s="244"/>
      <c r="G644" s="220"/>
      <c r="H644" s="220"/>
      <c r="I644" s="220"/>
      <c r="J644" s="19"/>
      <c r="K644" s="45">
        <v>0.45833333333333331</v>
      </c>
      <c r="L644" s="45">
        <v>0.5</v>
      </c>
      <c r="M644" s="11">
        <f t="shared" si="10"/>
        <v>1.0000000000000004</v>
      </c>
      <c r="N644" s="225"/>
      <c r="P644" s="4"/>
      <c r="Q644" s="4"/>
      <c r="R644" s="4"/>
      <c r="S644" s="4"/>
      <c r="T644" s="4"/>
      <c r="U644" s="4"/>
      <c r="V644" s="4"/>
      <c r="W644" s="4"/>
    </row>
    <row r="645" spans="1:23" s="32" customFormat="1" hidden="1" x14ac:dyDescent="0.3">
      <c r="A645" s="22" t="s">
        <v>20</v>
      </c>
      <c r="B645" s="21">
        <v>46014</v>
      </c>
      <c r="C645" s="22" t="s">
        <v>167</v>
      </c>
      <c r="D645" s="13" t="s">
        <v>65</v>
      </c>
      <c r="E645" s="20" t="s">
        <v>492</v>
      </c>
      <c r="F645" s="3" t="s">
        <v>493</v>
      </c>
      <c r="G645" s="30">
        <v>46014</v>
      </c>
      <c r="H645" s="23">
        <v>46014</v>
      </c>
      <c r="I645" s="23">
        <v>46014</v>
      </c>
      <c r="J645" s="23"/>
      <c r="K645" s="47">
        <v>0.47916666666666669</v>
      </c>
      <c r="L645" s="45">
        <v>0.77083333333333337</v>
      </c>
      <c r="M645" s="11">
        <f t="shared" si="10"/>
        <v>7</v>
      </c>
      <c r="N645" s="42" t="s">
        <v>0</v>
      </c>
      <c r="P645" s="4"/>
      <c r="Q645" s="4"/>
      <c r="R645" s="4"/>
      <c r="S645" s="4"/>
      <c r="T645" s="4"/>
      <c r="U645" s="4"/>
      <c r="V645" s="4"/>
      <c r="W645" s="4"/>
    </row>
    <row r="646" spans="1:23" s="32" customFormat="1" hidden="1" x14ac:dyDescent="0.3">
      <c r="A646" s="22" t="s">
        <v>20</v>
      </c>
      <c r="B646" s="21">
        <v>46014</v>
      </c>
      <c r="C646" s="22" t="s">
        <v>16</v>
      </c>
      <c r="D646" s="216" t="s">
        <v>65</v>
      </c>
      <c r="E646" s="216" t="s">
        <v>447</v>
      </c>
      <c r="F646" s="243" t="s">
        <v>191</v>
      </c>
      <c r="G646" s="219">
        <v>46011</v>
      </c>
      <c r="H646" s="219">
        <v>46014</v>
      </c>
      <c r="I646" s="219">
        <v>46014</v>
      </c>
      <c r="J646" s="17"/>
      <c r="K646" s="47">
        <v>0.3125</v>
      </c>
      <c r="L646" s="45">
        <v>0.77083333333333337</v>
      </c>
      <c r="M646" s="11">
        <f t="shared" si="10"/>
        <v>11</v>
      </c>
      <c r="N646" s="231" t="s">
        <v>0</v>
      </c>
      <c r="P646" s="4"/>
      <c r="Q646" s="4"/>
      <c r="R646" s="4"/>
      <c r="S646" s="4"/>
      <c r="T646" s="4"/>
      <c r="U646" s="4"/>
      <c r="V646" s="4"/>
      <c r="W646" s="4"/>
    </row>
    <row r="647" spans="1:23" s="32" customFormat="1" hidden="1" x14ac:dyDescent="0.3">
      <c r="A647" s="22" t="s">
        <v>20</v>
      </c>
      <c r="B647" s="21">
        <v>46014</v>
      </c>
      <c r="C647" s="22" t="s">
        <v>31</v>
      </c>
      <c r="D647" s="217"/>
      <c r="E647" s="217"/>
      <c r="F647" s="244"/>
      <c r="G647" s="220"/>
      <c r="H647" s="220"/>
      <c r="I647" s="220"/>
      <c r="J647" s="19"/>
      <c r="K647" s="45">
        <v>0.4375</v>
      </c>
      <c r="L647" s="45">
        <v>0.45833333333333331</v>
      </c>
      <c r="M647" s="11">
        <f t="shared" si="10"/>
        <v>0.49999999999999956</v>
      </c>
      <c r="N647" s="225"/>
      <c r="P647" s="4"/>
      <c r="Q647" s="4"/>
      <c r="R647" s="4"/>
      <c r="S647" s="4"/>
      <c r="T647" s="4"/>
      <c r="U647" s="4"/>
      <c r="V647" s="4"/>
      <c r="W647" s="4"/>
    </row>
    <row r="648" spans="1:23" s="32" customFormat="1" ht="28.8" hidden="1" x14ac:dyDescent="0.3">
      <c r="A648" s="22" t="s">
        <v>20</v>
      </c>
      <c r="B648" s="21">
        <v>46014</v>
      </c>
      <c r="C648" s="22" t="s">
        <v>15</v>
      </c>
      <c r="D648" s="13" t="s">
        <v>65</v>
      </c>
      <c r="E648" s="79" t="s">
        <v>448</v>
      </c>
      <c r="F648" s="3" t="s">
        <v>491</v>
      </c>
      <c r="G648" s="23">
        <v>46011</v>
      </c>
      <c r="H648" s="23">
        <v>46014</v>
      </c>
      <c r="I648" s="23">
        <v>46014</v>
      </c>
      <c r="J648" s="23"/>
      <c r="K648" s="48">
        <v>0.33333333333333331</v>
      </c>
      <c r="L648" s="47">
        <v>0.79166666666666663</v>
      </c>
      <c r="M648" s="11">
        <f t="shared" si="10"/>
        <v>11</v>
      </c>
      <c r="N648" s="34" t="s">
        <v>0</v>
      </c>
      <c r="P648" s="4"/>
      <c r="Q648" s="4"/>
      <c r="R648" s="4"/>
      <c r="S648" s="4"/>
      <c r="T648" s="4"/>
      <c r="U648" s="4"/>
      <c r="V648" s="4"/>
      <c r="W648" s="4"/>
    </row>
    <row r="649" spans="1:23" s="32" customFormat="1" hidden="1" x14ac:dyDescent="0.3">
      <c r="A649" s="22" t="s">
        <v>20</v>
      </c>
      <c r="B649" s="21">
        <v>46014</v>
      </c>
      <c r="C649" s="22" t="s">
        <v>31</v>
      </c>
      <c r="D649" s="11" t="s">
        <v>27</v>
      </c>
      <c r="E649" s="76" t="s">
        <v>82</v>
      </c>
      <c r="F649" s="26" t="s">
        <v>397</v>
      </c>
      <c r="G649" s="30">
        <v>46014</v>
      </c>
      <c r="H649" s="23">
        <v>46014</v>
      </c>
      <c r="I649" s="23">
        <v>46014</v>
      </c>
      <c r="J649" s="23"/>
      <c r="K649" s="47">
        <v>0.41666666666666669</v>
      </c>
      <c r="L649" s="47">
        <v>0.5</v>
      </c>
      <c r="M649" s="11">
        <f t="shared" si="10"/>
        <v>1.9999999999999996</v>
      </c>
      <c r="N649" s="11" t="s">
        <v>0</v>
      </c>
      <c r="P649" s="4"/>
      <c r="Q649" s="4"/>
      <c r="R649" s="4"/>
      <c r="S649" s="4"/>
      <c r="T649" s="4"/>
      <c r="U649" s="4"/>
      <c r="V649" s="4"/>
      <c r="W649" s="4"/>
    </row>
    <row r="650" spans="1:23" s="32" customFormat="1" hidden="1" x14ac:dyDescent="0.3">
      <c r="A650" s="22" t="s">
        <v>20</v>
      </c>
      <c r="B650" s="21">
        <v>46014</v>
      </c>
      <c r="C650" s="22" t="s">
        <v>17</v>
      </c>
      <c r="D650" s="24" t="s">
        <v>65</v>
      </c>
      <c r="E650" s="22" t="s">
        <v>451</v>
      </c>
      <c r="F650" s="25" t="s">
        <v>59</v>
      </c>
      <c r="G650" s="30">
        <v>46011</v>
      </c>
      <c r="H650" s="21">
        <v>46014</v>
      </c>
      <c r="I650" s="21">
        <v>46014</v>
      </c>
      <c r="J650" s="21"/>
      <c r="K650" s="45">
        <v>0.3125</v>
      </c>
      <c r="L650" s="45">
        <v>0.77083333333333337</v>
      </c>
      <c r="M650" s="11">
        <f t="shared" si="10"/>
        <v>11</v>
      </c>
      <c r="N650" s="11" t="s">
        <v>0</v>
      </c>
      <c r="P650" s="4"/>
      <c r="Q650" s="4"/>
      <c r="R650" s="4"/>
      <c r="S650" s="4"/>
      <c r="T650" s="4"/>
      <c r="U650" s="4"/>
      <c r="V650" s="4"/>
      <c r="W650" s="4"/>
    </row>
    <row r="651" spans="1:23" s="32" customFormat="1" hidden="1" x14ac:dyDescent="0.3">
      <c r="A651" s="22" t="s">
        <v>21</v>
      </c>
      <c r="B651" s="21">
        <v>46015</v>
      </c>
      <c r="C651" s="22" t="s">
        <v>26</v>
      </c>
      <c r="D651" s="221" t="s">
        <v>24</v>
      </c>
      <c r="E651" s="233" t="s">
        <v>503</v>
      </c>
      <c r="F651" s="245" t="s">
        <v>504</v>
      </c>
      <c r="G651" s="223">
        <v>46015</v>
      </c>
      <c r="H651" s="223">
        <v>46015</v>
      </c>
      <c r="I651" s="223">
        <v>46015</v>
      </c>
      <c r="J651" s="21"/>
      <c r="K651" s="48">
        <v>0.33333333333333331</v>
      </c>
      <c r="L651" s="48">
        <v>0.70833333333333337</v>
      </c>
      <c r="M651" s="11">
        <f t="shared" si="10"/>
        <v>9.0000000000000018</v>
      </c>
      <c r="N651" s="233" t="s">
        <v>0</v>
      </c>
      <c r="P651" s="4"/>
      <c r="Q651" s="4"/>
      <c r="R651" s="4"/>
      <c r="S651" s="4"/>
      <c r="T651" s="4"/>
      <c r="U651" s="4"/>
      <c r="V651" s="4"/>
      <c r="W651" s="4"/>
    </row>
    <row r="652" spans="1:23" s="32" customFormat="1" hidden="1" x14ac:dyDescent="0.3">
      <c r="A652" s="22" t="s">
        <v>21</v>
      </c>
      <c r="B652" s="21">
        <v>46015</v>
      </c>
      <c r="C652" s="22" t="s">
        <v>50</v>
      </c>
      <c r="D652" s="221"/>
      <c r="E652" s="233"/>
      <c r="F652" s="245"/>
      <c r="G652" s="223"/>
      <c r="H652" s="223"/>
      <c r="I652" s="223"/>
      <c r="J652" s="21"/>
      <c r="K652" s="48">
        <v>0.33333333333333331</v>
      </c>
      <c r="L652" s="45">
        <v>0.70833333333333337</v>
      </c>
      <c r="M652" s="11">
        <f t="shared" si="10"/>
        <v>9.0000000000000018</v>
      </c>
      <c r="N652" s="233"/>
      <c r="P652" s="4"/>
      <c r="Q652" s="4"/>
      <c r="R652" s="4"/>
      <c r="S652" s="4"/>
      <c r="T652" s="4"/>
      <c r="U652" s="4"/>
      <c r="V652" s="4"/>
      <c r="W652" s="4"/>
    </row>
    <row r="653" spans="1:23" s="32" customFormat="1" hidden="1" x14ac:dyDescent="0.3">
      <c r="A653" s="22" t="s">
        <v>21</v>
      </c>
      <c r="B653" s="21">
        <v>46015</v>
      </c>
      <c r="C653" s="22" t="s">
        <v>37</v>
      </c>
      <c r="D653" s="14" t="s">
        <v>24</v>
      </c>
      <c r="E653" s="14" t="s">
        <v>505</v>
      </c>
      <c r="F653" s="27" t="s">
        <v>506</v>
      </c>
      <c r="G653" s="19">
        <v>46015</v>
      </c>
      <c r="H653" s="19">
        <v>46015</v>
      </c>
      <c r="I653" s="19">
        <v>46015</v>
      </c>
      <c r="J653" s="19"/>
      <c r="K653" s="45">
        <v>0.3125</v>
      </c>
      <c r="L653" s="45">
        <v>0.6875</v>
      </c>
      <c r="M653" s="11">
        <f t="shared" si="10"/>
        <v>9</v>
      </c>
      <c r="N653" s="43" t="s">
        <v>0</v>
      </c>
      <c r="P653" s="4"/>
      <c r="Q653" s="4"/>
      <c r="R653" s="4"/>
      <c r="S653" s="4"/>
      <c r="T653" s="4"/>
      <c r="U653" s="4"/>
      <c r="V653" s="4"/>
      <c r="W653" s="4"/>
    </row>
    <row r="654" spans="1:23" s="32" customFormat="1" hidden="1" x14ac:dyDescent="0.3">
      <c r="A654" s="22" t="s">
        <v>21</v>
      </c>
      <c r="B654" s="21">
        <v>46015</v>
      </c>
      <c r="C654" s="22" t="s">
        <v>274</v>
      </c>
      <c r="D654" s="214" t="s">
        <v>24</v>
      </c>
      <c r="E654" s="214" t="s">
        <v>300</v>
      </c>
      <c r="F654" s="241" t="s">
        <v>452</v>
      </c>
      <c r="G654" s="219">
        <v>46013</v>
      </c>
      <c r="H654" s="219">
        <v>46015</v>
      </c>
      <c r="I654" s="219">
        <v>46015</v>
      </c>
      <c r="J654" s="17"/>
      <c r="K654" s="45">
        <v>0.3125</v>
      </c>
      <c r="L654" s="45">
        <v>0.70833333333333337</v>
      </c>
      <c r="M654" s="11">
        <f t="shared" si="10"/>
        <v>9.5</v>
      </c>
      <c r="N654" s="214" t="s">
        <v>0</v>
      </c>
      <c r="P654" s="4"/>
      <c r="Q654" s="4"/>
      <c r="R654" s="4"/>
      <c r="S654" s="4"/>
      <c r="T654" s="4"/>
      <c r="U654" s="4"/>
      <c r="V654" s="4"/>
      <c r="W654" s="4"/>
    </row>
    <row r="655" spans="1:23" s="32" customFormat="1" hidden="1" x14ac:dyDescent="0.3">
      <c r="A655" s="22" t="s">
        <v>21</v>
      </c>
      <c r="B655" s="21">
        <v>46015</v>
      </c>
      <c r="C655" s="22" t="s">
        <v>18</v>
      </c>
      <c r="D655" s="226"/>
      <c r="E655" s="226"/>
      <c r="F655" s="242"/>
      <c r="G655" s="229"/>
      <c r="H655" s="229"/>
      <c r="I655" s="229"/>
      <c r="J655" s="23"/>
      <c r="K655" s="47">
        <v>0.3125</v>
      </c>
      <c r="L655" s="45">
        <v>0.70833333333333337</v>
      </c>
      <c r="M655" s="11">
        <f t="shared" si="10"/>
        <v>9.5</v>
      </c>
      <c r="N655" s="226"/>
      <c r="P655" s="4"/>
      <c r="Q655" s="4"/>
      <c r="R655" s="4"/>
      <c r="S655" s="4"/>
      <c r="T655" s="4"/>
      <c r="U655" s="4"/>
      <c r="V655" s="4"/>
      <c r="W655" s="4"/>
    </row>
    <row r="656" spans="1:23" s="32" customFormat="1" hidden="1" x14ac:dyDescent="0.3">
      <c r="A656" s="22" t="s">
        <v>21</v>
      </c>
      <c r="B656" s="21">
        <v>46015</v>
      </c>
      <c r="C656" s="22" t="s">
        <v>22</v>
      </c>
      <c r="D656" s="214" t="s">
        <v>8</v>
      </c>
      <c r="E656" s="216" t="s">
        <v>406</v>
      </c>
      <c r="F656" s="243" t="s">
        <v>474</v>
      </c>
      <c r="G656" s="219">
        <v>46013</v>
      </c>
      <c r="H656" s="219">
        <v>46015</v>
      </c>
      <c r="I656" s="21"/>
      <c r="J656" s="21"/>
      <c r="K656" s="45">
        <v>0.3125</v>
      </c>
      <c r="L656" s="45">
        <v>0.6875</v>
      </c>
      <c r="M656" s="11">
        <f t="shared" si="10"/>
        <v>9</v>
      </c>
      <c r="N656" s="214" t="s">
        <v>1</v>
      </c>
      <c r="P656" s="4"/>
      <c r="Q656" s="4"/>
      <c r="R656" s="4"/>
      <c r="S656" s="4"/>
      <c r="T656" s="4"/>
      <c r="U656" s="4"/>
      <c r="V656" s="4"/>
      <c r="W656" s="4"/>
    </row>
    <row r="657" spans="1:23" s="32" customFormat="1" hidden="1" x14ac:dyDescent="0.3">
      <c r="A657" s="22" t="s">
        <v>21</v>
      </c>
      <c r="B657" s="21">
        <v>46015</v>
      </c>
      <c r="C657" s="22" t="s">
        <v>320</v>
      </c>
      <c r="D657" s="215"/>
      <c r="E657" s="217"/>
      <c r="F657" s="244"/>
      <c r="G657" s="229"/>
      <c r="H657" s="229"/>
      <c r="I657" s="21"/>
      <c r="J657" s="21"/>
      <c r="K657" s="45">
        <v>0.3125</v>
      </c>
      <c r="L657" s="45">
        <v>0.6875</v>
      </c>
      <c r="M657" s="11">
        <f t="shared" si="10"/>
        <v>9</v>
      </c>
      <c r="N657" s="215"/>
      <c r="P657" s="4"/>
      <c r="Q657" s="4"/>
      <c r="R657" s="4"/>
      <c r="S657" s="4"/>
      <c r="T657" s="4"/>
      <c r="U657" s="4"/>
      <c r="V657" s="4"/>
      <c r="W657" s="4"/>
    </row>
    <row r="658" spans="1:23" s="32" customFormat="1" hidden="1" x14ac:dyDescent="0.3">
      <c r="A658" s="22" t="s">
        <v>21</v>
      </c>
      <c r="B658" s="21">
        <v>46015</v>
      </c>
      <c r="C658" s="22" t="s">
        <v>118</v>
      </c>
      <c r="D658" s="216" t="s">
        <v>54</v>
      </c>
      <c r="E658" s="214" t="s">
        <v>389</v>
      </c>
      <c r="F658" s="214" t="s">
        <v>519</v>
      </c>
      <c r="G658" s="219">
        <v>46015</v>
      </c>
      <c r="H658" s="219">
        <v>46017</v>
      </c>
      <c r="I658" s="219">
        <v>46015</v>
      </c>
      <c r="J658" s="17"/>
      <c r="K658" s="45">
        <v>0.3125</v>
      </c>
      <c r="L658" s="45">
        <v>0.70833333333333337</v>
      </c>
      <c r="M658" s="11">
        <f t="shared" si="10"/>
        <v>9.5</v>
      </c>
      <c r="N658" s="224" t="s">
        <v>0</v>
      </c>
      <c r="P658" s="4"/>
      <c r="Q658" s="4"/>
      <c r="R658" s="4"/>
      <c r="S658" s="4"/>
      <c r="T658" s="4"/>
      <c r="U658" s="4"/>
      <c r="V658" s="4"/>
      <c r="W658" s="4"/>
    </row>
    <row r="659" spans="1:23" s="32" customFormat="1" hidden="1" x14ac:dyDescent="0.3">
      <c r="A659" s="22" t="s">
        <v>21</v>
      </c>
      <c r="B659" s="21">
        <v>46015</v>
      </c>
      <c r="C659" s="22" t="s">
        <v>25</v>
      </c>
      <c r="D659" s="217"/>
      <c r="E659" s="215"/>
      <c r="F659" s="215"/>
      <c r="G659" s="220"/>
      <c r="H659" s="229"/>
      <c r="I659" s="220"/>
      <c r="J659" s="19"/>
      <c r="K659" s="45">
        <v>0.3125</v>
      </c>
      <c r="L659" s="45">
        <v>0.70833333333333337</v>
      </c>
      <c r="M659" s="11">
        <f t="shared" si="10"/>
        <v>9.5</v>
      </c>
      <c r="N659" s="225"/>
      <c r="P659" s="4"/>
      <c r="Q659" s="4"/>
      <c r="R659" s="4"/>
      <c r="S659" s="4"/>
      <c r="T659" s="4"/>
      <c r="U659" s="4"/>
      <c r="V659" s="4"/>
      <c r="W659" s="4"/>
    </row>
    <row r="660" spans="1:23" s="32" customFormat="1" hidden="1" x14ac:dyDescent="0.3">
      <c r="A660" s="22" t="s">
        <v>21</v>
      </c>
      <c r="B660" s="21">
        <v>46015</v>
      </c>
      <c r="C660" s="22" t="s">
        <v>55</v>
      </c>
      <c r="D660" s="14" t="s">
        <v>43</v>
      </c>
      <c r="E660" s="12" t="s">
        <v>476</v>
      </c>
      <c r="F660" s="29" t="s">
        <v>501</v>
      </c>
      <c r="G660" s="21" t="s">
        <v>502</v>
      </c>
      <c r="H660" s="21">
        <v>46017</v>
      </c>
      <c r="I660" s="21"/>
      <c r="J660" s="17"/>
      <c r="K660" s="47">
        <v>0.3125</v>
      </c>
      <c r="L660" s="45">
        <v>0.6875</v>
      </c>
      <c r="M660" s="11">
        <f t="shared" si="10"/>
        <v>9</v>
      </c>
      <c r="N660" s="11" t="s">
        <v>1</v>
      </c>
      <c r="P660" s="4"/>
      <c r="Q660" s="4"/>
      <c r="R660" s="4"/>
      <c r="S660" s="4"/>
      <c r="T660" s="4"/>
      <c r="U660" s="4"/>
      <c r="V660" s="4"/>
      <c r="W660" s="4"/>
    </row>
    <row r="661" spans="1:23" s="32" customFormat="1" hidden="1" x14ac:dyDescent="0.3">
      <c r="A661" s="22" t="s">
        <v>19</v>
      </c>
      <c r="B661" s="21">
        <v>46015</v>
      </c>
      <c r="C661" s="22" t="s">
        <v>7</v>
      </c>
      <c r="D661" s="214" t="s">
        <v>32</v>
      </c>
      <c r="E661" s="214" t="s">
        <v>507</v>
      </c>
      <c r="F661" s="241" t="s">
        <v>508</v>
      </c>
      <c r="G661" s="219">
        <v>46015</v>
      </c>
      <c r="H661" s="219">
        <v>46015</v>
      </c>
      <c r="I661" s="219">
        <v>46015</v>
      </c>
      <c r="J661" s="17"/>
      <c r="K661" s="47">
        <v>0.58333333333333337</v>
      </c>
      <c r="L661" s="45">
        <v>0.6875</v>
      </c>
      <c r="M661" s="11">
        <f t="shared" si="10"/>
        <v>2.4999999999999991</v>
      </c>
      <c r="N661" s="224" t="s">
        <v>0</v>
      </c>
      <c r="P661" s="4"/>
      <c r="Q661" s="4"/>
      <c r="R661" s="4"/>
      <c r="S661" s="4"/>
      <c r="T661" s="4"/>
      <c r="U661" s="4"/>
      <c r="V661" s="4"/>
      <c r="W661" s="4"/>
    </row>
    <row r="662" spans="1:23" s="32" customFormat="1" hidden="1" x14ac:dyDescent="0.3">
      <c r="A662" s="22" t="s">
        <v>19</v>
      </c>
      <c r="B662" s="21">
        <v>46015</v>
      </c>
      <c r="C662" s="22" t="s">
        <v>208</v>
      </c>
      <c r="D662" s="226"/>
      <c r="E662" s="226"/>
      <c r="F662" s="242"/>
      <c r="G662" s="229"/>
      <c r="H662" s="229"/>
      <c r="I662" s="229"/>
      <c r="J662" s="23"/>
      <c r="K662" s="47">
        <v>0.3125</v>
      </c>
      <c r="L662" s="45">
        <v>0.6875</v>
      </c>
      <c r="M662" s="11">
        <f t="shared" si="10"/>
        <v>9</v>
      </c>
      <c r="N662" s="231"/>
      <c r="P662" s="4"/>
      <c r="Q662" s="4"/>
      <c r="R662" s="4"/>
      <c r="S662" s="4"/>
      <c r="T662" s="4"/>
      <c r="U662" s="4"/>
      <c r="V662" s="4"/>
      <c r="W662" s="4"/>
    </row>
    <row r="663" spans="1:23" s="32" customFormat="1" hidden="1" x14ac:dyDescent="0.3">
      <c r="A663" s="22" t="s">
        <v>19</v>
      </c>
      <c r="B663" s="21">
        <v>46015</v>
      </c>
      <c r="C663" s="22" t="s">
        <v>9</v>
      </c>
      <c r="D663" s="215"/>
      <c r="E663" s="215"/>
      <c r="F663" s="248"/>
      <c r="G663" s="220"/>
      <c r="H663" s="220"/>
      <c r="I663" s="220"/>
      <c r="J663" s="23"/>
      <c r="K663" s="47">
        <v>0.3125</v>
      </c>
      <c r="L663" s="45">
        <v>0.6875</v>
      </c>
      <c r="M663" s="11">
        <f t="shared" si="10"/>
        <v>9</v>
      </c>
      <c r="N663" s="225"/>
      <c r="P663" s="4"/>
      <c r="Q663" s="4"/>
      <c r="R663" s="4"/>
      <c r="S663" s="4"/>
      <c r="T663" s="4"/>
      <c r="U663" s="4"/>
      <c r="V663" s="4"/>
      <c r="W663" s="4"/>
    </row>
    <row r="664" spans="1:23" s="32" customFormat="1" hidden="1" x14ac:dyDescent="0.3">
      <c r="A664" s="22" t="s">
        <v>19</v>
      </c>
      <c r="B664" s="21">
        <v>46015</v>
      </c>
      <c r="C664" s="22" t="s">
        <v>7</v>
      </c>
      <c r="D664" s="14" t="s">
        <v>8</v>
      </c>
      <c r="E664" s="14" t="s">
        <v>133</v>
      </c>
      <c r="F664" s="27" t="s">
        <v>509</v>
      </c>
      <c r="G664" s="19">
        <v>46001</v>
      </c>
      <c r="H664" s="19">
        <v>46015</v>
      </c>
      <c r="I664" s="19">
        <v>46015</v>
      </c>
      <c r="J664" s="19"/>
      <c r="K664" s="45">
        <v>0.58333333333333337</v>
      </c>
      <c r="L664" s="45">
        <v>0.6875</v>
      </c>
      <c r="M664" s="11">
        <f t="shared" si="10"/>
        <v>2.4999999999999991</v>
      </c>
      <c r="N664" s="42" t="s">
        <v>0</v>
      </c>
      <c r="P664" s="4"/>
      <c r="Q664" s="4"/>
      <c r="R664" s="4"/>
      <c r="S664" s="4"/>
      <c r="T664" s="4"/>
      <c r="U664" s="4"/>
      <c r="V664" s="4"/>
      <c r="W664" s="4"/>
    </row>
    <row r="665" spans="1:23" s="32" customFormat="1" hidden="1" x14ac:dyDescent="0.3">
      <c r="A665" s="22" t="s">
        <v>19</v>
      </c>
      <c r="B665" s="21">
        <v>46015</v>
      </c>
      <c r="C665" s="22" t="s">
        <v>7</v>
      </c>
      <c r="D665" s="14" t="s">
        <v>180</v>
      </c>
      <c r="E665" s="14" t="s">
        <v>518</v>
      </c>
      <c r="F665" s="27" t="s">
        <v>269</v>
      </c>
      <c r="G665" s="19">
        <v>46015</v>
      </c>
      <c r="H665" s="19">
        <v>46015</v>
      </c>
      <c r="I665" s="19">
        <v>46015</v>
      </c>
      <c r="J665" s="19"/>
      <c r="K665" s="45">
        <v>0.3125</v>
      </c>
      <c r="L665" s="45">
        <v>0.54166666666666663</v>
      </c>
      <c r="M665" s="11">
        <f t="shared" si="10"/>
        <v>5.4999999999999991</v>
      </c>
      <c r="N665" s="42" t="s">
        <v>0</v>
      </c>
      <c r="P665" s="4"/>
      <c r="Q665" s="4"/>
      <c r="R665" s="4"/>
      <c r="S665" s="4"/>
      <c r="T665" s="4"/>
      <c r="U665" s="4"/>
      <c r="V665" s="4"/>
      <c r="W665" s="4"/>
    </row>
    <row r="666" spans="1:23" s="32" customFormat="1" hidden="1" x14ac:dyDescent="0.3">
      <c r="A666" s="22" t="s">
        <v>20</v>
      </c>
      <c r="B666" s="21">
        <v>46015</v>
      </c>
      <c r="C666" s="69" t="s">
        <v>12</v>
      </c>
      <c r="D666" s="233" t="s">
        <v>44</v>
      </c>
      <c r="E666" s="238" t="s">
        <v>419</v>
      </c>
      <c r="F666" s="245" t="s">
        <v>478</v>
      </c>
      <c r="G666" s="223">
        <v>46014</v>
      </c>
      <c r="H666" s="223">
        <v>46016</v>
      </c>
      <c r="I666" s="223">
        <v>46016</v>
      </c>
      <c r="J666" s="21"/>
      <c r="K666" s="45">
        <v>0.3125</v>
      </c>
      <c r="L666" s="48">
        <v>0.79166666666666663</v>
      </c>
      <c r="M666" s="11">
        <f t="shared" si="10"/>
        <v>11.5</v>
      </c>
      <c r="N666" s="249" t="s">
        <v>0</v>
      </c>
      <c r="P666" s="4"/>
      <c r="Q666" s="4"/>
      <c r="R666" s="4"/>
      <c r="S666" s="4"/>
      <c r="T666" s="4"/>
      <c r="U666" s="4"/>
      <c r="V666" s="4"/>
      <c r="W666" s="4"/>
    </row>
    <row r="667" spans="1:23" s="32" customFormat="1" hidden="1" x14ac:dyDescent="0.3">
      <c r="A667" s="22" t="s">
        <v>20</v>
      </c>
      <c r="B667" s="21">
        <v>46015</v>
      </c>
      <c r="C667" s="69" t="s">
        <v>33</v>
      </c>
      <c r="D667" s="233"/>
      <c r="E667" s="233"/>
      <c r="F667" s="245"/>
      <c r="G667" s="223"/>
      <c r="H667" s="223"/>
      <c r="I667" s="223"/>
      <c r="J667" s="21"/>
      <c r="K667" s="45">
        <v>0.3125</v>
      </c>
      <c r="L667" s="48">
        <v>0.79166666666666663</v>
      </c>
      <c r="M667" s="11">
        <f t="shared" si="10"/>
        <v>11.5</v>
      </c>
      <c r="N667" s="249"/>
      <c r="P667" s="4"/>
      <c r="Q667" s="4"/>
      <c r="R667" s="4"/>
      <c r="S667" s="4"/>
      <c r="T667" s="4"/>
      <c r="U667" s="4"/>
      <c r="V667" s="4"/>
      <c r="W667" s="4"/>
    </row>
    <row r="668" spans="1:23" s="32" customFormat="1" hidden="1" x14ac:dyDescent="0.3">
      <c r="A668" s="22" t="s">
        <v>20</v>
      </c>
      <c r="B668" s="21">
        <v>46015</v>
      </c>
      <c r="C668" s="69" t="s">
        <v>444</v>
      </c>
      <c r="D668" s="233" t="s">
        <v>44</v>
      </c>
      <c r="E668" s="214" t="s">
        <v>510</v>
      </c>
      <c r="F668" s="241" t="s">
        <v>511</v>
      </c>
      <c r="G668" s="223">
        <v>46015</v>
      </c>
      <c r="H668" s="223">
        <v>46021</v>
      </c>
      <c r="I668" s="223">
        <v>46021</v>
      </c>
      <c r="J668" s="21"/>
      <c r="K668" s="45">
        <v>0.33333333333333331</v>
      </c>
      <c r="L668" s="48">
        <v>0.79166666666666663</v>
      </c>
      <c r="M668" s="11">
        <f t="shared" si="10"/>
        <v>11</v>
      </c>
      <c r="N668" s="231" t="s">
        <v>0</v>
      </c>
      <c r="P668" s="4"/>
      <c r="Q668" s="4"/>
      <c r="R668" s="4"/>
      <c r="S668" s="4"/>
      <c r="T668" s="4"/>
      <c r="U668" s="4"/>
      <c r="V668" s="4"/>
      <c r="W668" s="4"/>
    </row>
    <row r="669" spans="1:23" s="32" customFormat="1" hidden="1" x14ac:dyDescent="0.3">
      <c r="A669" s="22" t="s">
        <v>20</v>
      </c>
      <c r="B669" s="21">
        <v>46015</v>
      </c>
      <c r="C669" s="69" t="s">
        <v>421</v>
      </c>
      <c r="D669" s="233"/>
      <c r="E669" s="215"/>
      <c r="F669" s="248"/>
      <c r="G669" s="223"/>
      <c r="H669" s="223"/>
      <c r="I669" s="223"/>
      <c r="J669" s="21"/>
      <c r="K669" s="45">
        <v>0.33333333333333331</v>
      </c>
      <c r="L669" s="48">
        <v>0.79166666666666663</v>
      </c>
      <c r="M669" s="11">
        <f t="shared" si="10"/>
        <v>11</v>
      </c>
      <c r="N669" s="225"/>
      <c r="P669" s="4"/>
      <c r="Q669" s="4"/>
      <c r="R669" s="4"/>
      <c r="S669" s="4"/>
      <c r="T669" s="4"/>
      <c r="U669" s="4"/>
      <c r="V669" s="4"/>
      <c r="W669" s="4"/>
    </row>
    <row r="670" spans="1:23" s="32" customFormat="1" hidden="1" x14ac:dyDescent="0.3">
      <c r="A670" s="22" t="s">
        <v>20</v>
      </c>
      <c r="B670" s="21">
        <v>46015</v>
      </c>
      <c r="C670" s="22" t="s">
        <v>28</v>
      </c>
      <c r="D670" s="13" t="s">
        <v>65</v>
      </c>
      <c r="E670" s="13" t="s">
        <v>278</v>
      </c>
      <c r="F670" s="26" t="s">
        <v>489</v>
      </c>
      <c r="G670" s="17">
        <v>46015</v>
      </c>
      <c r="H670" s="17">
        <v>46015</v>
      </c>
      <c r="I670" s="17">
        <v>46015</v>
      </c>
      <c r="J670" s="17"/>
      <c r="K670" s="45">
        <v>0.33333333333333331</v>
      </c>
      <c r="L670" s="48">
        <v>0.79166666666666663</v>
      </c>
      <c r="M670" s="11">
        <f t="shared" si="10"/>
        <v>11</v>
      </c>
      <c r="N670" s="67" t="s">
        <v>0</v>
      </c>
      <c r="P670" s="4"/>
      <c r="Q670" s="4"/>
      <c r="R670" s="4"/>
      <c r="S670" s="4"/>
      <c r="T670" s="4"/>
      <c r="U670" s="4"/>
      <c r="V670" s="4"/>
      <c r="W670" s="4"/>
    </row>
    <row r="671" spans="1:23" s="32" customFormat="1" hidden="1" x14ac:dyDescent="0.3">
      <c r="A671" s="22" t="s">
        <v>20</v>
      </c>
      <c r="B671" s="21">
        <v>46015</v>
      </c>
      <c r="C671" s="22" t="s">
        <v>47</v>
      </c>
      <c r="D671" s="216" t="s">
        <v>65</v>
      </c>
      <c r="E671" s="216" t="s">
        <v>447</v>
      </c>
      <c r="F671" s="243" t="s">
        <v>164</v>
      </c>
      <c r="G671" s="219">
        <v>46011</v>
      </c>
      <c r="H671" s="219">
        <v>46015</v>
      </c>
      <c r="I671" s="219">
        <v>46015</v>
      </c>
      <c r="J671" s="101"/>
      <c r="K671" s="44">
        <v>0.33333333333333331</v>
      </c>
      <c r="L671" s="45">
        <v>0.79166666666666663</v>
      </c>
      <c r="M671" s="11">
        <f t="shared" si="10"/>
        <v>11</v>
      </c>
      <c r="N671" s="231" t="s">
        <v>0</v>
      </c>
      <c r="P671" s="4"/>
      <c r="Q671" s="4"/>
      <c r="R671" s="4"/>
      <c r="S671" s="4"/>
      <c r="T671" s="4"/>
      <c r="U671" s="4"/>
      <c r="V671" s="4"/>
      <c r="W671" s="4"/>
    </row>
    <row r="672" spans="1:23" s="32" customFormat="1" hidden="1" x14ac:dyDescent="0.3">
      <c r="A672" s="22" t="s">
        <v>20</v>
      </c>
      <c r="B672" s="21">
        <v>46015</v>
      </c>
      <c r="C672" s="22" t="s">
        <v>31</v>
      </c>
      <c r="D672" s="217"/>
      <c r="E672" s="217"/>
      <c r="F672" s="244"/>
      <c r="G672" s="220"/>
      <c r="H672" s="220"/>
      <c r="I672" s="220"/>
      <c r="J672" s="19"/>
      <c r="K672" s="45">
        <v>0.4375</v>
      </c>
      <c r="L672" s="45">
        <v>0.45833333333333331</v>
      </c>
      <c r="M672" s="11">
        <f t="shared" si="10"/>
        <v>0.49999999999999956</v>
      </c>
      <c r="N672" s="225"/>
      <c r="P672" s="4"/>
      <c r="Q672" s="4"/>
      <c r="R672" s="4"/>
      <c r="S672" s="4"/>
      <c r="T672" s="4"/>
      <c r="U672" s="4"/>
      <c r="V672" s="4"/>
      <c r="W672" s="4"/>
    </row>
    <row r="673" spans="1:23" s="32" customFormat="1" hidden="1" x14ac:dyDescent="0.3">
      <c r="A673" s="22" t="s">
        <v>20</v>
      </c>
      <c r="B673" s="21">
        <v>46015</v>
      </c>
      <c r="C673" s="22" t="s">
        <v>167</v>
      </c>
      <c r="D673" s="216" t="s">
        <v>65</v>
      </c>
      <c r="E673" s="216" t="s">
        <v>449</v>
      </c>
      <c r="F673" s="243" t="s">
        <v>59</v>
      </c>
      <c r="G673" s="219">
        <v>46011</v>
      </c>
      <c r="H673" s="219">
        <v>46014</v>
      </c>
      <c r="I673" s="219"/>
      <c r="J673" s="101"/>
      <c r="K673" s="44">
        <v>0.3125</v>
      </c>
      <c r="L673" s="45">
        <v>0.47916666666666669</v>
      </c>
      <c r="M673" s="11">
        <f t="shared" si="10"/>
        <v>4</v>
      </c>
      <c r="N673" s="230" t="s">
        <v>1</v>
      </c>
      <c r="P673" s="4"/>
      <c r="Q673" s="4"/>
      <c r="R673" s="4"/>
      <c r="S673" s="4"/>
      <c r="T673" s="4"/>
      <c r="U673" s="4"/>
      <c r="V673" s="4"/>
      <c r="W673" s="4"/>
    </row>
    <row r="674" spans="1:23" s="32" customFormat="1" hidden="1" x14ac:dyDescent="0.3">
      <c r="A674" s="22" t="s">
        <v>20</v>
      </c>
      <c r="B674" s="21">
        <v>46015</v>
      </c>
      <c r="C674" s="22" t="s">
        <v>31</v>
      </c>
      <c r="D674" s="217"/>
      <c r="E674" s="217"/>
      <c r="F674" s="244"/>
      <c r="G674" s="220"/>
      <c r="H674" s="220"/>
      <c r="I674" s="220"/>
      <c r="J674" s="19"/>
      <c r="K674" s="45">
        <v>0.45833333333333331</v>
      </c>
      <c r="L674" s="45">
        <v>0.5</v>
      </c>
      <c r="M674" s="11">
        <f t="shared" si="10"/>
        <v>1.0000000000000004</v>
      </c>
      <c r="N674" s="228"/>
      <c r="P674" s="4"/>
      <c r="Q674" s="4"/>
      <c r="R674" s="4"/>
      <c r="S674" s="4"/>
      <c r="T674" s="4"/>
      <c r="U674" s="4"/>
      <c r="V674" s="4"/>
      <c r="W674" s="4"/>
    </row>
    <row r="675" spans="1:23" s="32" customFormat="1" hidden="1" x14ac:dyDescent="0.3">
      <c r="A675" s="22" t="s">
        <v>20</v>
      </c>
      <c r="B675" s="21">
        <v>46015</v>
      </c>
      <c r="C675" s="22" t="s">
        <v>167</v>
      </c>
      <c r="D675" s="13" t="s">
        <v>65</v>
      </c>
      <c r="E675" s="20" t="s">
        <v>492</v>
      </c>
      <c r="F675" s="3" t="s">
        <v>515</v>
      </c>
      <c r="G675" s="30">
        <v>46014</v>
      </c>
      <c r="H675" s="30">
        <v>46015</v>
      </c>
      <c r="I675" s="30">
        <v>46015</v>
      </c>
      <c r="J675" s="16"/>
      <c r="K675" s="47">
        <v>0.3125</v>
      </c>
      <c r="L675" s="45">
        <v>0.77083333333333337</v>
      </c>
      <c r="M675" s="11">
        <f t="shared" si="10"/>
        <v>11</v>
      </c>
      <c r="N675" s="42" t="s">
        <v>0</v>
      </c>
      <c r="P675" s="4"/>
      <c r="Q675" s="4"/>
      <c r="R675" s="4"/>
      <c r="S675" s="4"/>
      <c r="T675" s="4"/>
      <c r="U675" s="4"/>
      <c r="V675" s="4"/>
      <c r="W675" s="4"/>
    </row>
    <row r="676" spans="1:23" s="32" customFormat="1" hidden="1" x14ac:dyDescent="0.3">
      <c r="A676" s="22" t="s">
        <v>20</v>
      </c>
      <c r="B676" s="21">
        <v>46015</v>
      </c>
      <c r="C676" s="22" t="s">
        <v>16</v>
      </c>
      <c r="D676" s="216" t="s">
        <v>65</v>
      </c>
      <c r="E676" s="216" t="s">
        <v>516</v>
      </c>
      <c r="F676" s="243" t="s">
        <v>517</v>
      </c>
      <c r="G676" s="219">
        <v>46015</v>
      </c>
      <c r="H676" s="219">
        <v>46015</v>
      </c>
      <c r="I676" s="219">
        <v>46015</v>
      </c>
      <c r="J676" s="17"/>
      <c r="K676" s="47">
        <v>0.3125</v>
      </c>
      <c r="L676" s="45">
        <v>0.77083333333333337</v>
      </c>
      <c r="M676" s="11">
        <f t="shared" si="10"/>
        <v>11</v>
      </c>
      <c r="N676" s="231" t="s">
        <v>0</v>
      </c>
      <c r="P676" s="4"/>
      <c r="Q676" s="4"/>
      <c r="R676" s="4"/>
      <c r="S676" s="4"/>
      <c r="T676" s="4"/>
      <c r="U676" s="4"/>
      <c r="V676" s="4"/>
      <c r="W676" s="4"/>
    </row>
    <row r="677" spans="1:23" s="32" customFormat="1" hidden="1" x14ac:dyDescent="0.3">
      <c r="A677" s="22" t="s">
        <v>20</v>
      </c>
      <c r="B677" s="21">
        <v>46015</v>
      </c>
      <c r="C677" s="22" t="s">
        <v>31</v>
      </c>
      <c r="D677" s="217"/>
      <c r="E677" s="217"/>
      <c r="F677" s="244"/>
      <c r="G677" s="220"/>
      <c r="H677" s="220"/>
      <c r="I677" s="220"/>
      <c r="J677" s="19"/>
      <c r="K677" s="45">
        <v>0.4375</v>
      </c>
      <c r="L677" s="45">
        <v>0.45833333333333331</v>
      </c>
      <c r="M677" s="11">
        <f t="shared" si="10"/>
        <v>0.49999999999999956</v>
      </c>
      <c r="N677" s="225"/>
      <c r="P677" s="4"/>
      <c r="Q677" s="4"/>
      <c r="R677" s="4"/>
      <c r="S677" s="4"/>
      <c r="T677" s="4"/>
      <c r="U677" s="4"/>
      <c r="V677" s="4"/>
      <c r="W677" s="4"/>
    </row>
    <row r="678" spans="1:23" s="32" customFormat="1" hidden="1" x14ac:dyDescent="0.3">
      <c r="A678" s="22" t="s">
        <v>20</v>
      </c>
      <c r="B678" s="21">
        <v>46015</v>
      </c>
      <c r="C678" s="22" t="s">
        <v>15</v>
      </c>
      <c r="D678" s="13" t="s">
        <v>65</v>
      </c>
      <c r="E678" s="24" t="s">
        <v>512</v>
      </c>
      <c r="F678" s="25" t="s">
        <v>513</v>
      </c>
      <c r="G678" s="21">
        <v>46015</v>
      </c>
      <c r="H678" s="21">
        <v>46015</v>
      </c>
      <c r="I678" s="21">
        <v>46015</v>
      </c>
      <c r="J678" s="17"/>
      <c r="K678" s="47">
        <v>0.41666666666666669</v>
      </c>
      <c r="L678" s="47">
        <v>0.79166666666666663</v>
      </c>
      <c r="M678" s="11">
        <f t="shared" si="10"/>
        <v>8.9999999999999982</v>
      </c>
      <c r="N678" s="42" t="s">
        <v>0</v>
      </c>
      <c r="P678" s="4"/>
      <c r="Q678" s="4"/>
      <c r="R678" s="4"/>
      <c r="S678" s="4"/>
      <c r="T678" s="4"/>
      <c r="U678" s="4"/>
      <c r="V678" s="4"/>
      <c r="W678" s="4"/>
    </row>
    <row r="679" spans="1:23" s="32" customFormat="1" hidden="1" x14ac:dyDescent="0.3">
      <c r="A679" s="22" t="s">
        <v>20</v>
      </c>
      <c r="B679" s="21">
        <v>46015</v>
      </c>
      <c r="C679" s="22" t="s">
        <v>15</v>
      </c>
      <c r="D679" s="13" t="s">
        <v>65</v>
      </c>
      <c r="E679" s="24" t="s">
        <v>448</v>
      </c>
      <c r="F679" s="25" t="s">
        <v>514</v>
      </c>
      <c r="G679" s="21">
        <v>46015</v>
      </c>
      <c r="H679" s="21">
        <v>46015</v>
      </c>
      <c r="I679" s="21">
        <v>46015</v>
      </c>
      <c r="J679" s="17"/>
      <c r="K679" s="47">
        <v>0.3125</v>
      </c>
      <c r="L679" s="47">
        <v>0.47916666666666669</v>
      </c>
      <c r="M679" s="11">
        <f t="shared" si="10"/>
        <v>4</v>
      </c>
      <c r="N679" s="42" t="s">
        <v>0</v>
      </c>
      <c r="P679" s="4"/>
      <c r="Q679" s="4"/>
      <c r="R679" s="4"/>
      <c r="S679" s="4"/>
      <c r="T679" s="4"/>
      <c r="U679" s="4"/>
      <c r="V679" s="4"/>
      <c r="W679" s="4"/>
    </row>
    <row r="680" spans="1:23" s="32" customFormat="1" hidden="1" x14ac:dyDescent="0.3">
      <c r="A680" s="22" t="s">
        <v>20</v>
      </c>
      <c r="B680" s="21">
        <v>46015</v>
      </c>
      <c r="C680" s="22" t="s">
        <v>31</v>
      </c>
      <c r="D680" s="11" t="s">
        <v>27</v>
      </c>
      <c r="E680" s="76" t="s">
        <v>82</v>
      </c>
      <c r="F680" s="3" t="s">
        <v>397</v>
      </c>
      <c r="G680" s="35">
        <v>46015</v>
      </c>
      <c r="H680" s="35">
        <v>46015</v>
      </c>
      <c r="I680" s="35">
        <v>46015</v>
      </c>
      <c r="J680" s="65"/>
      <c r="K680" s="47">
        <v>0.41666666666666669</v>
      </c>
      <c r="L680" s="47">
        <v>0.5</v>
      </c>
      <c r="M680" s="11">
        <f t="shared" si="10"/>
        <v>1.9999999999999996</v>
      </c>
      <c r="N680" s="11" t="s">
        <v>0</v>
      </c>
      <c r="P680" s="4"/>
      <c r="Q680" s="4"/>
      <c r="R680" s="4"/>
      <c r="S680" s="4"/>
      <c r="T680" s="4"/>
      <c r="U680" s="4"/>
      <c r="V680" s="4"/>
      <c r="W680" s="4"/>
    </row>
    <row r="681" spans="1:23" s="32" customFormat="1" hidden="1" x14ac:dyDescent="0.3">
      <c r="A681" s="22" t="s">
        <v>20</v>
      </c>
      <c r="B681" s="21">
        <v>46015</v>
      </c>
      <c r="C681" s="22" t="s">
        <v>17</v>
      </c>
      <c r="D681" s="24" t="s">
        <v>65</v>
      </c>
      <c r="E681" s="22" t="s">
        <v>520</v>
      </c>
      <c r="F681" s="25" t="s">
        <v>413</v>
      </c>
      <c r="G681" s="35">
        <v>46015</v>
      </c>
      <c r="H681" s="35">
        <v>46015</v>
      </c>
      <c r="I681" s="35">
        <v>46015</v>
      </c>
      <c r="J681" s="35"/>
      <c r="K681" s="45">
        <v>0.45833333333333331</v>
      </c>
      <c r="L681" s="45">
        <v>0.5625</v>
      </c>
      <c r="M681" s="11">
        <f t="shared" si="10"/>
        <v>2.5000000000000004</v>
      </c>
      <c r="N681" s="11" t="s">
        <v>0</v>
      </c>
      <c r="P681" s="4"/>
      <c r="Q681" s="4"/>
      <c r="R681" s="4"/>
      <c r="S681" s="4"/>
      <c r="T681" s="4"/>
      <c r="U681" s="4"/>
      <c r="V681" s="4"/>
      <c r="W681" s="4"/>
    </row>
    <row r="682" spans="1:23" s="32" customFormat="1" hidden="1" x14ac:dyDescent="0.3">
      <c r="A682" s="22" t="s">
        <v>21</v>
      </c>
      <c r="B682" s="21">
        <v>46016</v>
      </c>
      <c r="C682" s="22" t="s">
        <v>26</v>
      </c>
      <c r="D682" s="24" t="s">
        <v>24</v>
      </c>
      <c r="E682" s="22" t="s">
        <v>503</v>
      </c>
      <c r="F682" s="25" t="s">
        <v>504</v>
      </c>
      <c r="G682" s="21">
        <v>46016</v>
      </c>
      <c r="H682" s="21">
        <v>46016</v>
      </c>
      <c r="I682" s="21">
        <v>46016</v>
      </c>
      <c r="J682" s="21"/>
      <c r="K682" s="48">
        <v>0.33333333333333331</v>
      </c>
      <c r="L682" s="48">
        <v>0.70833333333333337</v>
      </c>
      <c r="M682" s="11">
        <f t="shared" si="10"/>
        <v>9.0000000000000018</v>
      </c>
      <c r="N682" s="22" t="s">
        <v>0</v>
      </c>
      <c r="P682" s="4"/>
      <c r="Q682" s="4"/>
      <c r="R682" s="4"/>
      <c r="S682" s="4"/>
      <c r="T682" s="4"/>
      <c r="U682" s="4"/>
      <c r="V682" s="4"/>
      <c r="W682" s="4"/>
    </row>
    <row r="683" spans="1:23" s="32" customFormat="1" hidden="1" x14ac:dyDescent="0.3">
      <c r="A683" s="22" t="s">
        <v>21</v>
      </c>
      <c r="B683" s="21">
        <v>46016</v>
      </c>
      <c r="C683" s="22" t="s">
        <v>51</v>
      </c>
      <c r="D683" s="216" t="s">
        <v>24</v>
      </c>
      <c r="E683" s="216" t="s">
        <v>505</v>
      </c>
      <c r="F683" s="243" t="s">
        <v>532</v>
      </c>
      <c r="G683" s="223">
        <v>46016</v>
      </c>
      <c r="H683" s="223">
        <v>46016</v>
      </c>
      <c r="I683" s="223">
        <v>46016</v>
      </c>
      <c r="J683" s="21"/>
      <c r="K683" s="45">
        <v>0.3125</v>
      </c>
      <c r="L683" s="45">
        <v>0.6875</v>
      </c>
      <c r="M683" s="11">
        <f t="shared" si="10"/>
        <v>9</v>
      </c>
      <c r="N683" s="224" t="s">
        <v>0</v>
      </c>
      <c r="P683" s="4"/>
      <c r="Q683" s="4"/>
      <c r="R683" s="4"/>
      <c r="S683" s="4"/>
      <c r="T683" s="4"/>
      <c r="U683" s="4"/>
      <c r="V683" s="4"/>
      <c r="W683" s="4"/>
    </row>
    <row r="684" spans="1:23" s="32" customFormat="1" hidden="1" x14ac:dyDescent="0.3">
      <c r="A684" s="22" t="s">
        <v>21</v>
      </c>
      <c r="B684" s="21">
        <v>46016</v>
      </c>
      <c r="C684" s="22" t="s">
        <v>37</v>
      </c>
      <c r="D684" s="217"/>
      <c r="E684" s="217"/>
      <c r="F684" s="244"/>
      <c r="G684" s="223"/>
      <c r="H684" s="223"/>
      <c r="I684" s="223"/>
      <c r="J684" s="21"/>
      <c r="K684" s="45">
        <v>0.3125</v>
      </c>
      <c r="L684" s="45">
        <v>0.6875</v>
      </c>
      <c r="M684" s="11">
        <f t="shared" si="10"/>
        <v>9</v>
      </c>
      <c r="N684" s="225"/>
      <c r="P684" s="4"/>
      <c r="Q684" s="4"/>
      <c r="R684" s="4"/>
      <c r="S684" s="4"/>
      <c r="T684" s="4"/>
      <c r="U684" s="4"/>
      <c r="V684" s="4"/>
      <c r="W684" s="4"/>
    </row>
    <row r="685" spans="1:23" s="32" customFormat="1" hidden="1" x14ac:dyDescent="0.3">
      <c r="A685" s="22" t="s">
        <v>21</v>
      </c>
      <c r="B685" s="21">
        <v>46016</v>
      </c>
      <c r="C685" s="22" t="s">
        <v>25</v>
      </c>
      <c r="D685" s="214" t="s">
        <v>43</v>
      </c>
      <c r="E685" s="214" t="s">
        <v>424</v>
      </c>
      <c r="F685" s="241" t="s">
        <v>521</v>
      </c>
      <c r="G685" s="219">
        <v>46015</v>
      </c>
      <c r="H685" s="219">
        <v>46017</v>
      </c>
      <c r="I685" s="219"/>
      <c r="J685" s="17"/>
      <c r="K685" s="45">
        <v>0.3125</v>
      </c>
      <c r="L685" s="45">
        <v>0.70833333333333337</v>
      </c>
      <c r="M685" s="11">
        <f t="shared" si="10"/>
        <v>9.5</v>
      </c>
      <c r="N685" s="214" t="s">
        <v>1</v>
      </c>
      <c r="P685" s="4"/>
      <c r="Q685" s="4"/>
      <c r="R685" s="4"/>
      <c r="S685" s="4"/>
      <c r="T685" s="4"/>
      <c r="U685" s="4"/>
      <c r="V685" s="4"/>
      <c r="W685" s="4"/>
    </row>
    <row r="686" spans="1:23" s="32" customFormat="1" hidden="1" x14ac:dyDescent="0.3">
      <c r="A686" s="22" t="s">
        <v>21</v>
      </c>
      <c r="B686" s="21">
        <v>46016</v>
      </c>
      <c r="C686" s="22" t="s">
        <v>18</v>
      </c>
      <c r="D686" s="226"/>
      <c r="E686" s="226"/>
      <c r="F686" s="242"/>
      <c r="G686" s="229"/>
      <c r="H686" s="229"/>
      <c r="I686" s="229"/>
      <c r="J686" s="23"/>
      <c r="K686" s="47">
        <v>0.3125</v>
      </c>
      <c r="L686" s="45">
        <v>0.70833333333333337</v>
      </c>
      <c r="M686" s="11">
        <f t="shared" si="10"/>
        <v>9.5</v>
      </c>
      <c r="N686" s="226"/>
      <c r="P686" s="4"/>
      <c r="Q686" s="4"/>
      <c r="R686" s="4"/>
      <c r="S686" s="4"/>
      <c r="T686" s="4"/>
      <c r="U686" s="4"/>
      <c r="V686" s="4"/>
      <c r="W686" s="4"/>
    </row>
    <row r="687" spans="1:23" s="32" customFormat="1" hidden="1" x14ac:dyDescent="0.3">
      <c r="A687" s="22" t="s">
        <v>21</v>
      </c>
      <c r="B687" s="21">
        <v>46016</v>
      </c>
      <c r="C687" s="22" t="s">
        <v>22</v>
      </c>
      <c r="D687" s="214" t="s">
        <v>8</v>
      </c>
      <c r="E687" s="216" t="s">
        <v>406</v>
      </c>
      <c r="F687" s="243" t="s">
        <v>522</v>
      </c>
      <c r="G687" s="219">
        <v>46013</v>
      </c>
      <c r="H687" s="219">
        <v>46017</v>
      </c>
      <c r="I687" s="21"/>
      <c r="J687" s="21"/>
      <c r="K687" s="45">
        <v>0.3125</v>
      </c>
      <c r="L687" s="45">
        <v>0.54166666666666663</v>
      </c>
      <c r="M687" s="11">
        <f t="shared" si="10"/>
        <v>5.4999999999999991</v>
      </c>
      <c r="N687" s="214" t="s">
        <v>1</v>
      </c>
      <c r="P687" s="4"/>
      <c r="Q687" s="4"/>
      <c r="R687" s="4"/>
      <c r="S687" s="4"/>
      <c r="T687" s="4"/>
      <c r="U687" s="4"/>
      <c r="V687" s="4"/>
      <c r="W687" s="4"/>
    </row>
    <row r="688" spans="1:23" s="32" customFormat="1" hidden="1" x14ac:dyDescent="0.3">
      <c r="A688" s="22" t="s">
        <v>21</v>
      </c>
      <c r="B688" s="21">
        <v>46016</v>
      </c>
      <c r="C688" s="22" t="s">
        <v>320</v>
      </c>
      <c r="D688" s="215"/>
      <c r="E688" s="217"/>
      <c r="F688" s="244"/>
      <c r="G688" s="229"/>
      <c r="H688" s="229"/>
      <c r="I688" s="21"/>
      <c r="J688" s="21"/>
      <c r="K688" s="45">
        <v>0.3125</v>
      </c>
      <c r="L688" s="45">
        <v>0.6875</v>
      </c>
      <c r="M688" s="11">
        <f t="shared" si="10"/>
        <v>9</v>
      </c>
      <c r="N688" s="215"/>
      <c r="P688" s="4"/>
      <c r="Q688" s="4"/>
      <c r="R688" s="4"/>
      <c r="S688" s="4"/>
      <c r="T688" s="4"/>
      <c r="U688" s="4"/>
      <c r="V688" s="4"/>
      <c r="W688" s="4"/>
    </row>
    <row r="689" spans="1:23" s="32" customFormat="1" hidden="1" x14ac:dyDescent="0.3">
      <c r="A689" s="22" t="s">
        <v>21</v>
      </c>
      <c r="B689" s="21">
        <v>46016</v>
      </c>
      <c r="C689" s="22" t="s">
        <v>118</v>
      </c>
      <c r="D689" s="13" t="s">
        <v>54</v>
      </c>
      <c r="E689" s="11" t="s">
        <v>389</v>
      </c>
      <c r="F689" s="11" t="s">
        <v>523</v>
      </c>
      <c r="G689" s="17">
        <v>46016</v>
      </c>
      <c r="H689" s="17">
        <v>46016</v>
      </c>
      <c r="I689" s="17">
        <v>46016</v>
      </c>
      <c r="J689" s="17"/>
      <c r="K689" s="45">
        <v>0.3125</v>
      </c>
      <c r="L689" s="45">
        <v>0.70833333333333337</v>
      </c>
      <c r="M689" s="11">
        <f t="shared" si="10"/>
        <v>9.5</v>
      </c>
      <c r="N689" s="62" t="s">
        <v>0</v>
      </c>
      <c r="P689" s="4"/>
      <c r="Q689" s="4"/>
      <c r="R689" s="4"/>
      <c r="S689" s="4"/>
      <c r="T689" s="4"/>
      <c r="U689" s="4"/>
      <c r="V689" s="4"/>
      <c r="W689" s="4"/>
    </row>
    <row r="690" spans="1:23" s="32" customFormat="1" hidden="1" x14ac:dyDescent="0.3">
      <c r="A690" s="22" t="s">
        <v>21</v>
      </c>
      <c r="B690" s="21">
        <v>46016</v>
      </c>
      <c r="C690" s="22" t="s">
        <v>55</v>
      </c>
      <c r="D690" s="14" t="s">
        <v>43</v>
      </c>
      <c r="E690" s="12" t="s">
        <v>476</v>
      </c>
      <c r="F690" s="29" t="s">
        <v>501</v>
      </c>
      <c r="G690" s="21">
        <v>46015</v>
      </c>
      <c r="H690" s="21">
        <v>46017</v>
      </c>
      <c r="I690" s="21"/>
      <c r="J690" s="17"/>
      <c r="K690" s="47">
        <v>0.3125</v>
      </c>
      <c r="L690" s="45">
        <v>0.6875</v>
      </c>
      <c r="M690" s="11">
        <f t="shared" si="10"/>
        <v>9</v>
      </c>
      <c r="N690" s="11" t="s">
        <v>30</v>
      </c>
      <c r="P690" s="4"/>
      <c r="Q690" s="4"/>
      <c r="R690" s="4"/>
      <c r="S690" s="4"/>
      <c r="T690" s="4"/>
      <c r="U690" s="4"/>
      <c r="V690" s="4"/>
      <c r="W690" s="4"/>
    </row>
    <row r="691" spans="1:23" s="32" customFormat="1" hidden="1" x14ac:dyDescent="0.3">
      <c r="A691" s="22" t="s">
        <v>21</v>
      </c>
      <c r="B691" s="21">
        <v>46016</v>
      </c>
      <c r="C691" s="22" t="s">
        <v>274</v>
      </c>
      <c r="D691" s="20" t="s">
        <v>8</v>
      </c>
      <c r="E691" s="18" t="s">
        <v>340</v>
      </c>
      <c r="F691" s="73" t="s">
        <v>524</v>
      </c>
      <c r="G691" s="17">
        <v>46016</v>
      </c>
      <c r="H691" s="17">
        <v>46016</v>
      </c>
      <c r="I691" s="17"/>
      <c r="J691" s="17"/>
      <c r="K691" s="47">
        <v>0.3125</v>
      </c>
      <c r="L691" s="45">
        <v>0.54166666666666663</v>
      </c>
      <c r="M691" s="11">
        <f t="shared" si="10"/>
        <v>5.4999999999999991</v>
      </c>
      <c r="N691" s="11" t="s">
        <v>0</v>
      </c>
      <c r="P691" s="4"/>
      <c r="Q691" s="4"/>
      <c r="R691" s="4"/>
      <c r="S691" s="4"/>
      <c r="T691" s="4"/>
      <c r="U691" s="4"/>
      <c r="V691" s="4"/>
      <c r="W691" s="4"/>
    </row>
    <row r="692" spans="1:23" s="32" customFormat="1" hidden="1" x14ac:dyDescent="0.3">
      <c r="A692" s="22" t="s">
        <v>21</v>
      </c>
      <c r="B692" s="21">
        <v>46016</v>
      </c>
      <c r="C692" s="22" t="s">
        <v>22</v>
      </c>
      <c r="D692" s="24" t="s">
        <v>8</v>
      </c>
      <c r="E692" s="22" t="s">
        <v>168</v>
      </c>
      <c r="F692" s="31" t="s">
        <v>537</v>
      </c>
      <c r="G692" s="17">
        <v>46016</v>
      </c>
      <c r="H692" s="17">
        <v>46016</v>
      </c>
      <c r="I692" s="17">
        <v>46016</v>
      </c>
      <c r="J692" s="17"/>
      <c r="K692" s="47">
        <v>0.54166666666666663</v>
      </c>
      <c r="L692" s="45">
        <v>0.58333333333333337</v>
      </c>
      <c r="M692" s="11">
        <f t="shared" si="10"/>
        <v>1.0000000000000018</v>
      </c>
      <c r="N692" s="11" t="s">
        <v>0</v>
      </c>
      <c r="P692" s="4"/>
      <c r="Q692" s="4"/>
      <c r="R692" s="4"/>
      <c r="S692" s="4"/>
      <c r="T692" s="4"/>
      <c r="U692" s="4"/>
      <c r="V692" s="4"/>
      <c r="W692" s="4"/>
    </row>
    <row r="693" spans="1:23" s="32" customFormat="1" hidden="1" x14ac:dyDescent="0.3">
      <c r="A693" s="22" t="s">
        <v>21</v>
      </c>
      <c r="B693" s="21">
        <v>46016</v>
      </c>
      <c r="C693" s="22" t="s">
        <v>22</v>
      </c>
      <c r="D693" s="24" t="s">
        <v>8</v>
      </c>
      <c r="E693" s="22" t="s">
        <v>133</v>
      </c>
      <c r="F693" s="31" t="s">
        <v>537</v>
      </c>
      <c r="G693" s="17">
        <v>46016</v>
      </c>
      <c r="H693" s="17">
        <v>46016</v>
      </c>
      <c r="I693" s="17">
        <v>46016</v>
      </c>
      <c r="J693" s="17"/>
      <c r="K693" s="45">
        <v>0.58333333333333337</v>
      </c>
      <c r="L693" s="45">
        <v>0.625</v>
      </c>
      <c r="M693" s="11">
        <f t="shared" si="10"/>
        <v>0.99999999999999911</v>
      </c>
      <c r="N693" s="11" t="s">
        <v>0</v>
      </c>
      <c r="P693" s="4"/>
      <c r="Q693" s="4"/>
      <c r="R693" s="4"/>
      <c r="S693" s="4"/>
      <c r="T693" s="4"/>
      <c r="U693" s="4"/>
      <c r="V693" s="4"/>
      <c r="W693" s="4"/>
    </row>
    <row r="694" spans="1:23" s="32" customFormat="1" hidden="1" x14ac:dyDescent="0.3">
      <c r="A694" s="22" t="s">
        <v>21</v>
      </c>
      <c r="B694" s="21">
        <v>46016</v>
      </c>
      <c r="C694" s="22" t="s">
        <v>22</v>
      </c>
      <c r="D694" s="24" t="s">
        <v>8</v>
      </c>
      <c r="E694" s="22" t="s">
        <v>526</v>
      </c>
      <c r="F694" s="31" t="s">
        <v>537</v>
      </c>
      <c r="G694" s="17">
        <v>46016</v>
      </c>
      <c r="H694" s="17">
        <v>46016</v>
      </c>
      <c r="I694" s="17">
        <v>46016</v>
      </c>
      <c r="J694" s="17"/>
      <c r="K694" s="45">
        <v>0.625</v>
      </c>
      <c r="L694" s="45">
        <v>0.66666666666666663</v>
      </c>
      <c r="M694" s="11">
        <f t="shared" si="10"/>
        <v>0.99999999999999911</v>
      </c>
      <c r="N694" s="11" t="s">
        <v>0</v>
      </c>
      <c r="P694" s="4"/>
      <c r="Q694" s="4"/>
      <c r="R694" s="4"/>
      <c r="S694" s="4"/>
      <c r="T694" s="4"/>
      <c r="U694" s="4"/>
      <c r="V694" s="4"/>
      <c r="W694" s="4"/>
    </row>
    <row r="695" spans="1:23" s="32" customFormat="1" hidden="1" x14ac:dyDescent="0.3">
      <c r="A695" s="22" t="s">
        <v>19</v>
      </c>
      <c r="B695" s="21">
        <v>46016</v>
      </c>
      <c r="C695" s="22" t="s">
        <v>7</v>
      </c>
      <c r="D695" s="22" t="s">
        <v>180</v>
      </c>
      <c r="E695" s="22" t="s">
        <v>518</v>
      </c>
      <c r="F695" s="31" t="s">
        <v>182</v>
      </c>
      <c r="G695" s="21">
        <v>46015</v>
      </c>
      <c r="H695" s="21">
        <v>46016</v>
      </c>
      <c r="I695" s="21">
        <v>46016</v>
      </c>
      <c r="J695" s="21"/>
      <c r="K695" s="45">
        <v>0.3125</v>
      </c>
      <c r="L695" s="45">
        <v>0.5</v>
      </c>
      <c r="M695" s="11">
        <f t="shared" si="10"/>
        <v>4.5</v>
      </c>
      <c r="N695" s="11" t="s">
        <v>0</v>
      </c>
      <c r="P695" s="4"/>
      <c r="Q695" s="4"/>
      <c r="R695" s="4"/>
      <c r="S695" s="4"/>
      <c r="T695" s="4"/>
      <c r="U695" s="4"/>
      <c r="V695" s="4"/>
      <c r="W695" s="4"/>
    </row>
    <row r="696" spans="1:23" s="32" customFormat="1" hidden="1" x14ac:dyDescent="0.3">
      <c r="A696" s="22" t="s">
        <v>19</v>
      </c>
      <c r="B696" s="21">
        <v>46016</v>
      </c>
      <c r="C696" s="22" t="s">
        <v>9</v>
      </c>
      <c r="D696" s="22" t="s">
        <v>8</v>
      </c>
      <c r="E696" s="22" t="s">
        <v>168</v>
      </c>
      <c r="F696" s="31" t="s">
        <v>525</v>
      </c>
      <c r="G696" s="21">
        <v>46015</v>
      </c>
      <c r="H696" s="21">
        <v>46016</v>
      </c>
      <c r="I696" s="21">
        <v>46016</v>
      </c>
      <c r="J696" s="21"/>
      <c r="K696" s="45">
        <v>0.3125</v>
      </c>
      <c r="L696" s="45">
        <v>0.47916666666666669</v>
      </c>
      <c r="M696" s="11">
        <f t="shared" si="10"/>
        <v>4</v>
      </c>
      <c r="N696" s="11" t="s">
        <v>0</v>
      </c>
      <c r="P696" s="4"/>
      <c r="Q696" s="4"/>
      <c r="R696" s="4"/>
      <c r="S696" s="4"/>
      <c r="T696" s="4"/>
      <c r="U696" s="4"/>
      <c r="V696" s="4"/>
      <c r="W696" s="4"/>
    </row>
    <row r="697" spans="1:23" s="32" customFormat="1" hidden="1" x14ac:dyDescent="0.3">
      <c r="A697" s="22" t="s">
        <v>19</v>
      </c>
      <c r="B697" s="21">
        <v>46016</v>
      </c>
      <c r="C697" s="22" t="s">
        <v>208</v>
      </c>
      <c r="D697" s="22" t="s">
        <v>8</v>
      </c>
      <c r="E697" s="22" t="s">
        <v>133</v>
      </c>
      <c r="F697" s="31" t="s">
        <v>525</v>
      </c>
      <c r="G697" s="21">
        <v>45994</v>
      </c>
      <c r="H697" s="21">
        <v>46016</v>
      </c>
      <c r="I697" s="21">
        <v>46016</v>
      </c>
      <c r="J697" s="21"/>
      <c r="K697" s="45">
        <v>0.3125</v>
      </c>
      <c r="L697" s="45">
        <v>0.47916666666666669</v>
      </c>
      <c r="M697" s="11">
        <f t="shared" si="10"/>
        <v>4</v>
      </c>
      <c r="N697" s="42" t="s">
        <v>0</v>
      </c>
      <c r="P697" s="4"/>
      <c r="Q697" s="4"/>
      <c r="R697" s="4"/>
      <c r="S697" s="4"/>
      <c r="T697" s="4"/>
      <c r="U697" s="4"/>
      <c r="V697" s="4"/>
      <c r="W697" s="4"/>
    </row>
    <row r="698" spans="1:23" s="32" customFormat="1" hidden="1" x14ac:dyDescent="0.3">
      <c r="A698" s="22" t="s">
        <v>19</v>
      </c>
      <c r="B698" s="21">
        <v>46016</v>
      </c>
      <c r="C698" s="22" t="s">
        <v>208</v>
      </c>
      <c r="D698" s="11" t="s">
        <v>32</v>
      </c>
      <c r="E698" s="11" t="s">
        <v>533</v>
      </c>
      <c r="F698" s="28" t="s">
        <v>534</v>
      </c>
      <c r="G698" s="21">
        <v>46016</v>
      </c>
      <c r="H698" s="21">
        <v>46016</v>
      </c>
      <c r="I698" s="21">
        <v>46016</v>
      </c>
      <c r="J698" s="21"/>
      <c r="K698" s="45">
        <v>0.47916666666666669</v>
      </c>
      <c r="L698" s="45">
        <v>0.6875</v>
      </c>
      <c r="M698" s="11">
        <f t="shared" si="10"/>
        <v>5</v>
      </c>
      <c r="N698" s="62" t="s">
        <v>0</v>
      </c>
      <c r="P698" s="4"/>
      <c r="Q698" s="4"/>
      <c r="R698" s="4"/>
      <c r="S698" s="4"/>
      <c r="T698" s="4"/>
      <c r="U698" s="4"/>
      <c r="V698" s="4"/>
      <c r="W698" s="4"/>
    </row>
    <row r="699" spans="1:23" s="32" customFormat="1" hidden="1" x14ac:dyDescent="0.3">
      <c r="A699" s="22" t="s">
        <v>19</v>
      </c>
      <c r="B699" s="21">
        <v>46016</v>
      </c>
      <c r="C699" s="22" t="s">
        <v>208</v>
      </c>
      <c r="D699" s="216" t="s">
        <v>8</v>
      </c>
      <c r="E699" s="216" t="s">
        <v>526</v>
      </c>
      <c r="F699" s="243" t="s">
        <v>527</v>
      </c>
      <c r="G699" s="219">
        <v>46016</v>
      </c>
      <c r="H699" s="219">
        <v>46016</v>
      </c>
      <c r="I699" s="19"/>
      <c r="J699" s="19"/>
      <c r="K699" s="45">
        <v>0.47916666666666669</v>
      </c>
      <c r="L699" s="45">
        <v>0.58333333333333337</v>
      </c>
      <c r="M699" s="11">
        <f t="shared" si="10"/>
        <v>2.5000000000000004</v>
      </c>
      <c r="N699" s="246" t="s">
        <v>30</v>
      </c>
      <c r="P699" s="4"/>
      <c r="Q699" s="4"/>
      <c r="R699" s="4"/>
      <c r="S699" s="4"/>
      <c r="T699" s="4"/>
      <c r="U699" s="4"/>
      <c r="V699" s="4"/>
      <c r="W699" s="4"/>
    </row>
    <row r="700" spans="1:23" s="32" customFormat="1" hidden="1" x14ac:dyDescent="0.3">
      <c r="A700" s="22" t="s">
        <v>19</v>
      </c>
      <c r="B700" s="21">
        <v>46016</v>
      </c>
      <c r="C700" s="22" t="s">
        <v>9</v>
      </c>
      <c r="D700" s="217"/>
      <c r="E700" s="217"/>
      <c r="F700" s="244"/>
      <c r="G700" s="220"/>
      <c r="H700" s="220"/>
      <c r="I700" s="19"/>
      <c r="J700" s="19"/>
      <c r="K700" s="45">
        <v>0.47916666666666669</v>
      </c>
      <c r="L700" s="45">
        <v>0.58333333333333337</v>
      </c>
      <c r="M700" s="11">
        <f t="shared" si="10"/>
        <v>2.5000000000000004</v>
      </c>
      <c r="N700" s="247"/>
      <c r="P700" s="4"/>
      <c r="Q700" s="4"/>
      <c r="R700" s="4"/>
      <c r="S700" s="4"/>
      <c r="T700" s="4"/>
      <c r="U700" s="4"/>
      <c r="V700" s="4"/>
      <c r="W700" s="4"/>
    </row>
    <row r="701" spans="1:23" s="32" customFormat="1" hidden="1" x14ac:dyDescent="0.3">
      <c r="A701" s="22" t="s">
        <v>19</v>
      </c>
      <c r="B701" s="21">
        <v>46016</v>
      </c>
      <c r="C701" s="22" t="s">
        <v>7</v>
      </c>
      <c r="D701" s="14" t="s">
        <v>27</v>
      </c>
      <c r="E701" s="14" t="s">
        <v>538</v>
      </c>
      <c r="F701" s="27" t="s">
        <v>539</v>
      </c>
      <c r="G701" s="21">
        <v>46016</v>
      </c>
      <c r="H701" s="21">
        <v>46016</v>
      </c>
      <c r="I701" s="21">
        <v>46016</v>
      </c>
      <c r="J701" s="21"/>
      <c r="K701" s="45">
        <v>0.66666666666666663</v>
      </c>
      <c r="L701" s="45">
        <v>0.77083333333333337</v>
      </c>
      <c r="M701" s="11">
        <f t="shared" si="10"/>
        <v>2.5000000000000018</v>
      </c>
      <c r="N701" s="43" t="s">
        <v>0</v>
      </c>
      <c r="P701" s="4"/>
      <c r="Q701" s="4"/>
      <c r="R701" s="4"/>
      <c r="S701" s="4"/>
      <c r="T701" s="4"/>
      <c r="U701" s="4"/>
      <c r="V701" s="4"/>
      <c r="W701" s="4"/>
    </row>
    <row r="702" spans="1:23" s="32" customFormat="1" hidden="1" x14ac:dyDescent="0.3">
      <c r="A702" s="22" t="s">
        <v>20</v>
      </c>
      <c r="B702" s="21">
        <v>46016</v>
      </c>
      <c r="C702" s="69" t="s">
        <v>33</v>
      </c>
      <c r="D702" s="22" t="s">
        <v>44</v>
      </c>
      <c r="E702" s="31" t="s">
        <v>419</v>
      </c>
      <c r="F702" s="25" t="s">
        <v>244</v>
      </c>
      <c r="G702" s="21">
        <v>46016</v>
      </c>
      <c r="H702" s="21">
        <v>46016</v>
      </c>
      <c r="I702" s="21">
        <v>46016</v>
      </c>
      <c r="J702" s="21"/>
      <c r="K702" s="45">
        <v>0.3125</v>
      </c>
      <c r="L702" s="48">
        <v>0.5</v>
      </c>
      <c r="M702" s="11">
        <f t="shared" si="10"/>
        <v>4.5</v>
      </c>
      <c r="N702" s="42" t="s">
        <v>0</v>
      </c>
      <c r="P702" s="4"/>
      <c r="Q702" s="4"/>
      <c r="R702" s="4"/>
      <c r="S702" s="4"/>
      <c r="T702" s="4"/>
      <c r="U702" s="4"/>
      <c r="V702" s="4"/>
      <c r="W702" s="4"/>
    </row>
    <row r="703" spans="1:23" s="32" customFormat="1" hidden="1" x14ac:dyDescent="0.3">
      <c r="A703" s="22" t="s">
        <v>20</v>
      </c>
      <c r="B703" s="21">
        <v>46016</v>
      </c>
      <c r="C703" s="69" t="s">
        <v>12</v>
      </c>
      <c r="D703" s="22" t="s">
        <v>44</v>
      </c>
      <c r="E703" s="22" t="s">
        <v>528</v>
      </c>
      <c r="F703" s="25" t="s">
        <v>529</v>
      </c>
      <c r="G703" s="21">
        <v>46016</v>
      </c>
      <c r="H703" s="21">
        <v>46016</v>
      </c>
      <c r="I703" s="21">
        <v>46016</v>
      </c>
      <c r="J703" s="21"/>
      <c r="K703" s="45">
        <v>0.3125</v>
      </c>
      <c r="L703" s="48">
        <v>0.6875</v>
      </c>
      <c r="M703" s="11">
        <f t="shared" si="10"/>
        <v>9</v>
      </c>
      <c r="N703" s="42" t="s">
        <v>0</v>
      </c>
      <c r="P703" s="4"/>
      <c r="Q703" s="4"/>
      <c r="R703" s="4"/>
      <c r="S703" s="4"/>
      <c r="T703" s="4"/>
      <c r="U703" s="4"/>
      <c r="V703" s="4"/>
      <c r="W703" s="4"/>
    </row>
    <row r="704" spans="1:23" s="32" customFormat="1" hidden="1" x14ac:dyDescent="0.3">
      <c r="A704" s="22" t="s">
        <v>20</v>
      </c>
      <c r="B704" s="21">
        <v>46016</v>
      </c>
      <c r="C704" s="69" t="s">
        <v>12</v>
      </c>
      <c r="D704" s="214" t="s">
        <v>44</v>
      </c>
      <c r="E704" s="214" t="s">
        <v>540</v>
      </c>
      <c r="F704" s="214" t="s">
        <v>529</v>
      </c>
      <c r="G704" s="219">
        <v>46016</v>
      </c>
      <c r="H704" s="219">
        <v>46016</v>
      </c>
      <c r="I704" s="219">
        <v>46016</v>
      </c>
      <c r="J704" s="17"/>
      <c r="K704" s="45">
        <v>0.58333333333333337</v>
      </c>
      <c r="L704" s="48">
        <v>0.6875</v>
      </c>
      <c r="M704" s="11">
        <f t="shared" si="10"/>
        <v>2.4999999999999991</v>
      </c>
      <c r="N704" s="249" t="s">
        <v>0</v>
      </c>
      <c r="P704" s="4"/>
      <c r="Q704" s="4"/>
      <c r="R704" s="4"/>
      <c r="S704" s="4"/>
      <c r="T704" s="4"/>
      <c r="U704" s="4"/>
      <c r="V704" s="4"/>
      <c r="W704" s="4"/>
    </row>
    <row r="705" spans="1:23" s="32" customFormat="1" hidden="1" x14ac:dyDescent="0.3">
      <c r="A705" s="22" t="s">
        <v>20</v>
      </c>
      <c r="B705" s="21">
        <v>46016</v>
      </c>
      <c r="C705" s="69" t="s">
        <v>33</v>
      </c>
      <c r="D705" s="215"/>
      <c r="E705" s="215"/>
      <c r="F705" s="215"/>
      <c r="G705" s="220"/>
      <c r="H705" s="220"/>
      <c r="I705" s="220"/>
      <c r="J705" s="19"/>
      <c r="K705" s="45">
        <v>0.58333333333333337</v>
      </c>
      <c r="L705" s="48">
        <v>0.6875</v>
      </c>
      <c r="M705" s="11">
        <f t="shared" si="10"/>
        <v>2.4999999999999991</v>
      </c>
      <c r="N705" s="249"/>
      <c r="P705" s="4"/>
      <c r="Q705" s="4"/>
      <c r="R705" s="4"/>
      <c r="S705" s="4"/>
      <c r="T705" s="4"/>
      <c r="U705" s="4"/>
      <c r="V705" s="4"/>
      <c r="W705" s="4"/>
    </row>
    <row r="706" spans="1:23" s="32" customFormat="1" hidden="1" x14ac:dyDescent="0.3">
      <c r="A706" s="22" t="s">
        <v>20</v>
      </c>
      <c r="B706" s="21">
        <v>46016</v>
      </c>
      <c r="C706" s="69" t="s">
        <v>444</v>
      </c>
      <c r="D706" s="233" t="s">
        <v>44</v>
      </c>
      <c r="E706" s="214" t="s">
        <v>510</v>
      </c>
      <c r="F706" s="241" t="s">
        <v>530</v>
      </c>
      <c r="G706" s="223">
        <v>46015</v>
      </c>
      <c r="H706" s="223">
        <v>46021</v>
      </c>
      <c r="I706" s="223">
        <v>46021</v>
      </c>
      <c r="J706" s="21"/>
      <c r="K706" s="45">
        <v>0.33333333333333331</v>
      </c>
      <c r="L706" s="48">
        <v>0.70833333333333337</v>
      </c>
      <c r="M706" s="11">
        <f t="shared" si="10"/>
        <v>9.0000000000000018</v>
      </c>
      <c r="N706" s="231" t="s">
        <v>0</v>
      </c>
      <c r="P706" s="4"/>
      <c r="Q706" s="4"/>
      <c r="R706" s="4"/>
      <c r="S706" s="4"/>
      <c r="T706" s="4"/>
      <c r="U706" s="4"/>
      <c r="V706" s="4"/>
      <c r="W706" s="4"/>
    </row>
    <row r="707" spans="1:23" s="32" customFormat="1" hidden="1" x14ac:dyDescent="0.3">
      <c r="A707" s="22" t="s">
        <v>20</v>
      </c>
      <c r="B707" s="21">
        <v>46016</v>
      </c>
      <c r="C707" s="69" t="s">
        <v>421</v>
      </c>
      <c r="D707" s="233"/>
      <c r="E707" s="215"/>
      <c r="F707" s="248"/>
      <c r="G707" s="223"/>
      <c r="H707" s="223"/>
      <c r="I707" s="223"/>
      <c r="J707" s="21"/>
      <c r="K707" s="45">
        <v>0.33333333333333331</v>
      </c>
      <c r="L707" s="48">
        <v>0.70833333333333337</v>
      </c>
      <c r="M707" s="11">
        <f t="shared" ref="M707:M770" si="11">MOD(L707-K707,1)*24</f>
        <v>9.0000000000000018</v>
      </c>
      <c r="N707" s="225"/>
      <c r="P707" s="4"/>
      <c r="Q707" s="4"/>
      <c r="R707" s="4"/>
      <c r="S707" s="4"/>
      <c r="T707" s="4"/>
      <c r="U707" s="4"/>
      <c r="V707" s="4"/>
      <c r="W707" s="4"/>
    </row>
    <row r="708" spans="1:23" s="32" customFormat="1" hidden="1" x14ac:dyDescent="0.3">
      <c r="A708" s="22" t="s">
        <v>20</v>
      </c>
      <c r="B708" s="21">
        <v>46016</v>
      </c>
      <c r="C708" s="22" t="s">
        <v>28</v>
      </c>
      <c r="D708" s="13" t="s">
        <v>65</v>
      </c>
      <c r="E708" s="13" t="s">
        <v>531</v>
      </c>
      <c r="F708" s="26" t="s">
        <v>489</v>
      </c>
      <c r="G708" s="17">
        <v>46015</v>
      </c>
      <c r="H708" s="17">
        <v>46016</v>
      </c>
      <c r="I708" s="17">
        <v>46016</v>
      </c>
      <c r="J708" s="17"/>
      <c r="K708" s="45">
        <v>0.33333333333333331</v>
      </c>
      <c r="L708" s="48">
        <v>0.625</v>
      </c>
      <c r="M708" s="11">
        <f t="shared" si="11"/>
        <v>7</v>
      </c>
      <c r="N708" s="67" t="s">
        <v>0</v>
      </c>
      <c r="P708" s="4"/>
      <c r="Q708" s="4"/>
      <c r="R708" s="4"/>
      <c r="S708" s="4"/>
      <c r="T708" s="4"/>
      <c r="U708" s="4"/>
      <c r="V708" s="4"/>
      <c r="W708" s="4"/>
    </row>
    <row r="709" spans="1:23" s="32" customFormat="1" hidden="1" x14ac:dyDescent="0.3">
      <c r="A709" s="22" t="s">
        <v>20</v>
      </c>
      <c r="B709" s="21">
        <v>46016</v>
      </c>
      <c r="C709" s="22" t="s">
        <v>47</v>
      </c>
      <c r="D709" s="216" t="s">
        <v>65</v>
      </c>
      <c r="E709" s="216" t="s">
        <v>447</v>
      </c>
      <c r="F709" s="243" t="s">
        <v>164</v>
      </c>
      <c r="G709" s="219">
        <v>46011</v>
      </c>
      <c r="H709" s="219">
        <v>46016</v>
      </c>
      <c r="I709" s="219">
        <v>46016</v>
      </c>
      <c r="J709" s="101"/>
      <c r="K709" s="44">
        <v>0.33333333333333331</v>
      </c>
      <c r="L709" s="45">
        <v>0.54166666666666663</v>
      </c>
      <c r="M709" s="11">
        <f t="shared" si="11"/>
        <v>5</v>
      </c>
      <c r="N709" s="231" t="s">
        <v>0</v>
      </c>
      <c r="P709" s="4"/>
      <c r="Q709" s="4"/>
      <c r="R709" s="4"/>
      <c r="S709" s="4"/>
      <c r="T709" s="4"/>
      <c r="U709" s="4"/>
      <c r="V709" s="4"/>
      <c r="W709" s="4"/>
    </row>
    <row r="710" spans="1:23" s="32" customFormat="1" hidden="1" x14ac:dyDescent="0.3">
      <c r="A710" s="22" t="s">
        <v>20</v>
      </c>
      <c r="B710" s="21">
        <v>46016</v>
      </c>
      <c r="C710" s="22" t="s">
        <v>31</v>
      </c>
      <c r="D710" s="217"/>
      <c r="E710" s="217"/>
      <c r="F710" s="244"/>
      <c r="G710" s="220"/>
      <c r="H710" s="220"/>
      <c r="I710" s="220"/>
      <c r="J710" s="19"/>
      <c r="K710" s="45">
        <v>0.4375</v>
      </c>
      <c r="L710" s="45">
        <v>0.45833333333333331</v>
      </c>
      <c r="M710" s="11">
        <f t="shared" si="11"/>
        <v>0.49999999999999956</v>
      </c>
      <c r="N710" s="225"/>
      <c r="P710" s="4"/>
      <c r="Q710" s="4"/>
      <c r="R710" s="4"/>
      <c r="S710" s="4"/>
      <c r="T710" s="4"/>
      <c r="U710" s="4"/>
      <c r="V710" s="4"/>
      <c r="W710" s="4"/>
    </row>
    <row r="711" spans="1:23" s="32" customFormat="1" hidden="1" x14ac:dyDescent="0.3">
      <c r="A711" s="22" t="s">
        <v>20</v>
      </c>
      <c r="B711" s="21">
        <v>46016</v>
      </c>
      <c r="C711" s="22" t="s">
        <v>167</v>
      </c>
      <c r="D711" s="216" t="s">
        <v>65</v>
      </c>
      <c r="E711" s="216" t="s">
        <v>492</v>
      </c>
      <c r="F711" s="243" t="s">
        <v>115</v>
      </c>
      <c r="G711" s="219">
        <v>46011</v>
      </c>
      <c r="H711" s="219">
        <v>46016</v>
      </c>
      <c r="I711" s="219">
        <v>46016</v>
      </c>
      <c r="J711" s="101"/>
      <c r="K711" s="44">
        <v>0.3125</v>
      </c>
      <c r="L711" s="45">
        <v>0.77083333333333337</v>
      </c>
      <c r="M711" s="11">
        <f t="shared" si="11"/>
        <v>11</v>
      </c>
      <c r="N711" s="231" t="s">
        <v>0</v>
      </c>
      <c r="P711" s="4"/>
      <c r="Q711" s="4"/>
      <c r="R711" s="4"/>
      <c r="S711" s="4"/>
      <c r="T711" s="4"/>
      <c r="U711" s="4"/>
      <c r="V711" s="4"/>
      <c r="W711" s="4"/>
    </row>
    <row r="712" spans="1:23" s="32" customFormat="1" hidden="1" x14ac:dyDescent="0.3">
      <c r="A712" s="22" t="s">
        <v>20</v>
      </c>
      <c r="B712" s="21">
        <v>46016</v>
      </c>
      <c r="C712" s="22" t="s">
        <v>31</v>
      </c>
      <c r="D712" s="217"/>
      <c r="E712" s="217"/>
      <c r="F712" s="244"/>
      <c r="G712" s="220"/>
      <c r="H712" s="220"/>
      <c r="I712" s="220"/>
      <c r="J712" s="19"/>
      <c r="K712" s="45">
        <v>0.45833333333333331</v>
      </c>
      <c r="L712" s="45">
        <v>0.5</v>
      </c>
      <c r="M712" s="11">
        <f t="shared" si="11"/>
        <v>1.0000000000000004</v>
      </c>
      <c r="N712" s="225"/>
      <c r="P712" s="4"/>
      <c r="Q712" s="4"/>
      <c r="R712" s="4"/>
      <c r="S712" s="4"/>
      <c r="T712" s="4"/>
      <c r="U712" s="4"/>
      <c r="V712" s="4"/>
      <c r="W712" s="4"/>
    </row>
    <row r="713" spans="1:23" s="32" customFormat="1" hidden="1" x14ac:dyDescent="0.3">
      <c r="A713" s="22" t="s">
        <v>20</v>
      </c>
      <c r="B713" s="21">
        <v>46016</v>
      </c>
      <c r="C713" s="22" t="s">
        <v>16</v>
      </c>
      <c r="D713" s="216" t="s">
        <v>65</v>
      </c>
      <c r="E713" s="216" t="s">
        <v>447</v>
      </c>
      <c r="F713" s="243" t="s">
        <v>380</v>
      </c>
      <c r="G713" s="219">
        <v>46014</v>
      </c>
      <c r="H713" s="219">
        <v>46016</v>
      </c>
      <c r="I713" s="219">
        <v>46016</v>
      </c>
      <c r="J713" s="17"/>
      <c r="K713" s="47">
        <v>0.3125</v>
      </c>
      <c r="L713" s="45">
        <v>0.4375</v>
      </c>
      <c r="M713" s="11">
        <f t="shared" si="11"/>
        <v>3</v>
      </c>
      <c r="N713" s="231" t="s">
        <v>0</v>
      </c>
      <c r="P713" s="4"/>
      <c r="Q713" s="4"/>
      <c r="R713" s="4"/>
      <c r="S713" s="4"/>
      <c r="T713" s="4"/>
      <c r="U713" s="4"/>
      <c r="V713" s="4"/>
      <c r="W713" s="4"/>
    </row>
    <row r="714" spans="1:23" s="32" customFormat="1" hidden="1" x14ac:dyDescent="0.3">
      <c r="A714" s="22" t="s">
        <v>20</v>
      </c>
      <c r="B714" s="21">
        <v>46016</v>
      </c>
      <c r="C714" s="22" t="s">
        <v>31</v>
      </c>
      <c r="D714" s="222"/>
      <c r="E714" s="222"/>
      <c r="F714" s="250"/>
      <c r="G714" s="220"/>
      <c r="H714" s="220"/>
      <c r="I714" s="220"/>
      <c r="J714" s="19"/>
      <c r="K714" s="45">
        <v>0.4375</v>
      </c>
      <c r="L714" s="45">
        <v>0.45833333333333331</v>
      </c>
      <c r="M714" s="11">
        <f t="shared" si="11"/>
        <v>0.49999999999999956</v>
      </c>
      <c r="N714" s="225"/>
      <c r="P714" s="4"/>
      <c r="Q714" s="4"/>
      <c r="R714" s="4"/>
      <c r="S714" s="4"/>
      <c r="T714" s="4"/>
      <c r="U714" s="4"/>
      <c r="V714" s="4"/>
      <c r="W714" s="4"/>
    </row>
    <row r="715" spans="1:23" s="32" customFormat="1" hidden="1" x14ac:dyDescent="0.3">
      <c r="A715" s="22" t="s">
        <v>20</v>
      </c>
      <c r="B715" s="21">
        <v>46016</v>
      </c>
      <c r="C715" s="22" t="s">
        <v>16</v>
      </c>
      <c r="D715" s="24" t="s">
        <v>65</v>
      </c>
      <c r="E715" s="24" t="s">
        <v>535</v>
      </c>
      <c r="F715" s="25" t="s">
        <v>536</v>
      </c>
      <c r="G715" s="21">
        <v>46016</v>
      </c>
      <c r="H715" s="21">
        <v>46016</v>
      </c>
      <c r="I715" s="21">
        <v>46016</v>
      </c>
      <c r="J715" s="21"/>
      <c r="K715" s="45">
        <v>0.4375</v>
      </c>
      <c r="L715" s="47">
        <v>0.77083333333333337</v>
      </c>
      <c r="M715" s="22">
        <f t="shared" si="11"/>
        <v>8</v>
      </c>
      <c r="N715" s="42" t="s">
        <v>0</v>
      </c>
      <c r="O715" s="22"/>
      <c r="P715" s="4"/>
      <c r="Q715" s="4"/>
      <c r="R715" s="4"/>
      <c r="S715" s="4"/>
      <c r="T715" s="4"/>
      <c r="U715" s="4"/>
      <c r="V715" s="4"/>
      <c r="W715" s="4"/>
    </row>
    <row r="716" spans="1:23" s="32" customFormat="1" hidden="1" x14ac:dyDescent="0.3">
      <c r="A716" s="22" t="s">
        <v>20</v>
      </c>
      <c r="B716" s="21">
        <v>46016</v>
      </c>
      <c r="C716" s="22" t="s">
        <v>15</v>
      </c>
      <c r="D716" s="13" t="s">
        <v>65</v>
      </c>
      <c r="E716" s="24" t="s">
        <v>512</v>
      </c>
      <c r="F716" s="25" t="s">
        <v>513</v>
      </c>
      <c r="G716" s="21">
        <v>46015</v>
      </c>
      <c r="H716" s="21">
        <v>46016</v>
      </c>
      <c r="I716" s="21"/>
      <c r="J716" s="17"/>
      <c r="K716" s="47">
        <v>0.41666666666666669</v>
      </c>
      <c r="L716" s="47">
        <v>0.79166666666666663</v>
      </c>
      <c r="M716" s="18">
        <f t="shared" si="11"/>
        <v>8.9999999999999982</v>
      </c>
      <c r="N716" s="72" t="s">
        <v>30</v>
      </c>
      <c r="P716" s="4"/>
      <c r="Q716" s="4"/>
      <c r="R716" s="4"/>
      <c r="S716" s="4"/>
      <c r="T716" s="4"/>
      <c r="U716" s="4"/>
      <c r="V716" s="4"/>
      <c r="W716" s="4"/>
    </row>
    <row r="717" spans="1:23" s="32" customFormat="1" hidden="1" x14ac:dyDescent="0.3">
      <c r="A717" s="22" t="s">
        <v>20</v>
      </c>
      <c r="B717" s="21">
        <v>46016</v>
      </c>
      <c r="C717" s="22" t="s">
        <v>31</v>
      </c>
      <c r="D717" s="11" t="s">
        <v>27</v>
      </c>
      <c r="E717" s="76" t="s">
        <v>82</v>
      </c>
      <c r="F717" s="3" t="s">
        <v>397</v>
      </c>
      <c r="G717" s="35">
        <v>46016</v>
      </c>
      <c r="H717" s="21">
        <v>46016</v>
      </c>
      <c r="I717" s="21">
        <v>46016</v>
      </c>
      <c r="J717" s="17"/>
      <c r="K717" s="47">
        <v>0.41666666666666669</v>
      </c>
      <c r="L717" s="47">
        <v>0.5</v>
      </c>
      <c r="M717" s="11">
        <f t="shared" si="11"/>
        <v>1.9999999999999996</v>
      </c>
      <c r="N717" s="11" t="s">
        <v>0</v>
      </c>
      <c r="P717" s="4"/>
      <c r="Q717" s="4"/>
      <c r="R717" s="4"/>
      <c r="S717" s="4"/>
      <c r="T717" s="4"/>
      <c r="U717" s="4"/>
      <c r="V717" s="4"/>
      <c r="W717" s="4"/>
    </row>
    <row r="718" spans="1:23" s="32" customFormat="1" hidden="1" x14ac:dyDescent="0.3">
      <c r="A718" s="22" t="s">
        <v>20</v>
      </c>
      <c r="B718" s="21">
        <v>46016</v>
      </c>
      <c r="C718" s="22" t="s">
        <v>17</v>
      </c>
      <c r="D718" s="24" t="s">
        <v>65</v>
      </c>
      <c r="E718" s="22" t="s">
        <v>520</v>
      </c>
      <c r="F718" s="25" t="s">
        <v>413</v>
      </c>
      <c r="G718" s="35">
        <v>46015</v>
      </c>
      <c r="H718" s="21">
        <v>46016</v>
      </c>
      <c r="I718" s="35"/>
      <c r="J718" s="35"/>
      <c r="K718" s="45">
        <v>0.45833333333333331</v>
      </c>
      <c r="L718" s="45">
        <v>0.5625</v>
      </c>
      <c r="M718" s="11">
        <f t="shared" si="11"/>
        <v>2.5000000000000004</v>
      </c>
      <c r="N718" s="80" t="s">
        <v>30</v>
      </c>
      <c r="P718" s="4"/>
      <c r="Q718" s="4"/>
      <c r="R718" s="4"/>
      <c r="S718" s="4"/>
      <c r="T718" s="4"/>
      <c r="U718" s="4"/>
      <c r="V718" s="4"/>
      <c r="W718" s="4"/>
    </row>
    <row r="719" spans="1:23" s="32" customFormat="1" hidden="1" x14ac:dyDescent="0.3">
      <c r="A719" s="22" t="s">
        <v>21</v>
      </c>
      <c r="B719" s="21">
        <v>46017</v>
      </c>
      <c r="C719" s="22" t="s">
        <v>26</v>
      </c>
      <c r="D719" s="221" t="s">
        <v>24</v>
      </c>
      <c r="E719" s="233" t="s">
        <v>549</v>
      </c>
      <c r="F719" s="245" t="s">
        <v>550</v>
      </c>
      <c r="G719" s="219">
        <v>46017</v>
      </c>
      <c r="H719" s="219">
        <v>46017</v>
      </c>
      <c r="I719" s="219">
        <v>46017</v>
      </c>
      <c r="J719" s="17"/>
      <c r="K719" s="48">
        <v>0.33333333333333331</v>
      </c>
      <c r="L719" s="48">
        <v>0.70833333333333337</v>
      </c>
      <c r="M719" s="11">
        <f t="shared" si="11"/>
        <v>9.0000000000000018</v>
      </c>
      <c r="N719" s="233" t="s">
        <v>0</v>
      </c>
      <c r="P719" s="4"/>
      <c r="Q719" s="4"/>
      <c r="R719" s="4"/>
      <c r="S719" s="4"/>
      <c r="T719" s="4"/>
      <c r="U719" s="4"/>
      <c r="V719" s="4"/>
      <c r="W719" s="4"/>
    </row>
    <row r="720" spans="1:23" s="32" customFormat="1" hidden="1" x14ac:dyDescent="0.3">
      <c r="A720" s="22" t="s">
        <v>21</v>
      </c>
      <c r="B720" s="21">
        <v>46017</v>
      </c>
      <c r="C720" s="22" t="s">
        <v>51</v>
      </c>
      <c r="D720" s="221"/>
      <c r="E720" s="233"/>
      <c r="F720" s="245"/>
      <c r="G720" s="229"/>
      <c r="H720" s="229"/>
      <c r="I720" s="229"/>
      <c r="J720" s="23"/>
      <c r="K720" s="45">
        <v>0.3125</v>
      </c>
      <c r="L720" s="45">
        <v>0.6875</v>
      </c>
      <c r="M720" s="11">
        <f t="shared" si="11"/>
        <v>9</v>
      </c>
      <c r="N720" s="233"/>
      <c r="P720" s="4"/>
      <c r="Q720" s="4"/>
      <c r="R720" s="4"/>
      <c r="S720" s="4"/>
      <c r="T720" s="4"/>
      <c r="U720" s="4"/>
      <c r="V720" s="4"/>
      <c r="W720" s="4"/>
    </row>
    <row r="721" spans="1:23" s="32" customFormat="1" hidden="1" x14ac:dyDescent="0.3">
      <c r="A721" s="22" t="s">
        <v>21</v>
      </c>
      <c r="B721" s="21">
        <v>46017</v>
      </c>
      <c r="C721" s="22" t="s">
        <v>37</v>
      </c>
      <c r="D721" s="24" t="s">
        <v>27</v>
      </c>
      <c r="E721" s="24" t="s">
        <v>209</v>
      </c>
      <c r="F721" s="25" t="s">
        <v>209</v>
      </c>
      <c r="G721" s="21">
        <v>46017</v>
      </c>
      <c r="H721" s="21">
        <v>46017</v>
      </c>
      <c r="I721" s="21">
        <v>46017</v>
      </c>
      <c r="J721" s="21"/>
      <c r="K721" s="45">
        <v>0.3125</v>
      </c>
      <c r="L721" s="45">
        <v>0.6875</v>
      </c>
      <c r="M721" s="11">
        <f t="shared" si="11"/>
        <v>9</v>
      </c>
      <c r="N721" s="42" t="s">
        <v>0</v>
      </c>
      <c r="P721" s="4"/>
      <c r="Q721" s="4"/>
      <c r="R721" s="4"/>
      <c r="S721" s="4"/>
      <c r="T721" s="4"/>
      <c r="U721" s="4"/>
      <c r="V721" s="4"/>
      <c r="W721" s="4"/>
    </row>
    <row r="722" spans="1:23" s="32" customFormat="1" ht="28.8" hidden="1" x14ac:dyDescent="0.3">
      <c r="A722" s="22" t="s">
        <v>21</v>
      </c>
      <c r="B722" s="21">
        <v>46017</v>
      </c>
      <c r="C722" s="22" t="s">
        <v>25</v>
      </c>
      <c r="D722" s="11" t="s">
        <v>43</v>
      </c>
      <c r="E722" s="11" t="s">
        <v>569</v>
      </c>
      <c r="F722" s="28" t="s">
        <v>574</v>
      </c>
      <c r="G722" s="17">
        <v>46017</v>
      </c>
      <c r="H722" s="17">
        <v>46017</v>
      </c>
      <c r="I722" s="17">
        <v>46017</v>
      </c>
      <c r="J722" s="17"/>
      <c r="K722" s="47">
        <v>0.3125</v>
      </c>
      <c r="L722" s="47">
        <v>0.70833333333333337</v>
      </c>
      <c r="M722" s="11">
        <f t="shared" si="11"/>
        <v>9.5</v>
      </c>
      <c r="N722" s="11" t="s">
        <v>0</v>
      </c>
      <c r="P722" s="4"/>
      <c r="Q722" s="4"/>
      <c r="R722" s="4"/>
      <c r="S722" s="4"/>
      <c r="T722" s="4"/>
      <c r="U722" s="4"/>
      <c r="V722" s="4"/>
      <c r="W722" s="4"/>
    </row>
    <row r="723" spans="1:23" s="32" customFormat="1" ht="28.8" hidden="1" x14ac:dyDescent="0.3">
      <c r="A723" s="22" t="s">
        <v>21</v>
      </c>
      <c r="B723" s="21">
        <v>46017</v>
      </c>
      <c r="C723" s="22" t="s">
        <v>18</v>
      </c>
      <c r="D723" s="11" t="s">
        <v>43</v>
      </c>
      <c r="E723" s="11" t="s">
        <v>570</v>
      </c>
      <c r="F723" s="31" t="s">
        <v>574</v>
      </c>
      <c r="G723" s="21">
        <v>46017</v>
      </c>
      <c r="H723" s="21">
        <v>46017</v>
      </c>
      <c r="I723" s="21">
        <v>46017</v>
      </c>
      <c r="J723" s="21"/>
      <c r="K723" s="45">
        <v>0.3125</v>
      </c>
      <c r="L723" s="45">
        <v>0.5</v>
      </c>
      <c r="M723" s="11">
        <f t="shared" si="11"/>
        <v>4.5</v>
      </c>
      <c r="N723" s="22" t="s">
        <v>0</v>
      </c>
      <c r="P723" s="4"/>
      <c r="Q723" s="4"/>
      <c r="R723" s="4"/>
      <c r="S723" s="4"/>
      <c r="T723" s="4"/>
      <c r="U723" s="4"/>
      <c r="V723" s="4"/>
      <c r="W723" s="4"/>
    </row>
    <row r="724" spans="1:23" s="32" customFormat="1" ht="28.8" hidden="1" x14ac:dyDescent="0.3">
      <c r="A724" s="22" t="s">
        <v>21</v>
      </c>
      <c r="B724" s="21">
        <v>46017</v>
      </c>
      <c r="C724" s="22" t="s">
        <v>22</v>
      </c>
      <c r="D724" s="11" t="s">
        <v>43</v>
      </c>
      <c r="E724" s="11" t="s">
        <v>571</v>
      </c>
      <c r="F724" s="31" t="s">
        <v>574</v>
      </c>
      <c r="G724" s="21">
        <v>46017</v>
      </c>
      <c r="H724" s="17">
        <v>46017</v>
      </c>
      <c r="I724" s="17">
        <v>46017</v>
      </c>
      <c r="J724" s="17"/>
      <c r="K724" s="45">
        <v>0.3125</v>
      </c>
      <c r="L724" s="45">
        <v>0.70833333333333337</v>
      </c>
      <c r="M724" s="11">
        <f t="shared" si="11"/>
        <v>9.5</v>
      </c>
      <c r="N724" s="11" t="s">
        <v>0</v>
      </c>
      <c r="P724" s="4"/>
      <c r="Q724" s="4"/>
      <c r="R724" s="4"/>
      <c r="S724" s="4"/>
      <c r="T724" s="4"/>
      <c r="U724" s="4"/>
      <c r="V724" s="4"/>
      <c r="W724" s="4"/>
    </row>
    <row r="725" spans="1:23" s="32" customFormat="1" ht="28.8" hidden="1" x14ac:dyDescent="0.3">
      <c r="A725" s="22" t="s">
        <v>21</v>
      </c>
      <c r="B725" s="21">
        <v>46017</v>
      </c>
      <c r="C725" s="22" t="s">
        <v>320</v>
      </c>
      <c r="D725" s="11" t="s">
        <v>43</v>
      </c>
      <c r="E725" s="11" t="s">
        <v>572</v>
      </c>
      <c r="F725" s="31" t="s">
        <v>574</v>
      </c>
      <c r="G725" s="21">
        <v>46017</v>
      </c>
      <c r="H725" s="17">
        <v>46017</v>
      </c>
      <c r="I725" s="17">
        <v>46017</v>
      </c>
      <c r="J725" s="17"/>
      <c r="K725" s="45">
        <v>0.3125</v>
      </c>
      <c r="L725" s="45">
        <v>0.70833333333333337</v>
      </c>
      <c r="M725" s="11">
        <f t="shared" si="11"/>
        <v>9.5</v>
      </c>
      <c r="N725" s="11" t="s">
        <v>0</v>
      </c>
      <c r="P725" s="4"/>
      <c r="Q725" s="4"/>
      <c r="R725" s="4"/>
      <c r="S725" s="4"/>
      <c r="T725" s="4"/>
      <c r="U725" s="4"/>
      <c r="V725" s="4"/>
      <c r="W725" s="4"/>
    </row>
    <row r="726" spans="1:23" s="32" customFormat="1" ht="28.8" hidden="1" x14ac:dyDescent="0.3">
      <c r="A726" s="22" t="s">
        <v>21</v>
      </c>
      <c r="B726" s="21">
        <v>46017</v>
      </c>
      <c r="C726" s="22" t="s">
        <v>55</v>
      </c>
      <c r="D726" s="11" t="s">
        <v>43</v>
      </c>
      <c r="E726" s="11" t="s">
        <v>573</v>
      </c>
      <c r="F726" s="31" t="s">
        <v>574</v>
      </c>
      <c r="G726" s="17">
        <v>46017</v>
      </c>
      <c r="H726" s="17">
        <v>46017</v>
      </c>
      <c r="I726" s="17">
        <v>46017</v>
      </c>
      <c r="J726" s="17"/>
      <c r="K726" s="45">
        <v>0.3125</v>
      </c>
      <c r="L726" s="45">
        <v>0.70833333333333337</v>
      </c>
      <c r="M726" s="11">
        <f t="shared" si="11"/>
        <v>9.5</v>
      </c>
      <c r="N726" s="22" t="s">
        <v>0</v>
      </c>
      <c r="P726" s="4"/>
      <c r="Q726" s="4"/>
      <c r="R726" s="4"/>
      <c r="S726" s="4"/>
      <c r="T726" s="4"/>
      <c r="U726" s="4"/>
      <c r="V726" s="4"/>
      <c r="W726" s="4"/>
    </row>
    <row r="727" spans="1:23" s="32" customFormat="1" ht="28.8" hidden="1" x14ac:dyDescent="0.3">
      <c r="A727" s="22" t="s">
        <v>21</v>
      </c>
      <c r="B727" s="21">
        <v>46017</v>
      </c>
      <c r="C727" s="22" t="s">
        <v>274</v>
      </c>
      <c r="D727" s="11" t="s">
        <v>43</v>
      </c>
      <c r="E727" s="11" t="s">
        <v>575</v>
      </c>
      <c r="F727" s="31" t="s">
        <v>574</v>
      </c>
      <c r="G727" s="21">
        <v>46017</v>
      </c>
      <c r="H727" s="21">
        <v>46017</v>
      </c>
      <c r="I727" s="21">
        <v>46017</v>
      </c>
      <c r="J727" s="17"/>
      <c r="K727" s="47">
        <v>0.3125</v>
      </c>
      <c r="L727" s="45">
        <v>0.5</v>
      </c>
      <c r="M727" s="11">
        <f t="shared" si="11"/>
        <v>4.5</v>
      </c>
      <c r="N727" s="22" t="s">
        <v>0</v>
      </c>
      <c r="P727" s="4"/>
      <c r="Q727" s="4"/>
      <c r="R727" s="4"/>
      <c r="S727" s="4"/>
      <c r="T727" s="4"/>
      <c r="U727" s="4"/>
      <c r="V727" s="4"/>
      <c r="W727" s="4"/>
    </row>
    <row r="728" spans="1:23" s="32" customFormat="1" hidden="1" x14ac:dyDescent="0.3">
      <c r="A728" s="22" t="s">
        <v>21</v>
      </c>
      <c r="B728" s="21">
        <v>46017</v>
      </c>
      <c r="C728" s="22" t="s">
        <v>274</v>
      </c>
      <c r="D728" s="214" t="s">
        <v>43</v>
      </c>
      <c r="E728" s="214" t="s">
        <v>576</v>
      </c>
      <c r="F728" s="214" t="s">
        <v>577</v>
      </c>
      <c r="G728" s="21">
        <v>46017</v>
      </c>
      <c r="H728" s="21">
        <v>46017</v>
      </c>
      <c r="I728" s="21">
        <v>46017</v>
      </c>
      <c r="J728" s="17"/>
      <c r="K728" s="47">
        <v>0.54166666666666663</v>
      </c>
      <c r="L728" s="45">
        <v>0.70833333333333337</v>
      </c>
      <c r="M728" s="11">
        <f t="shared" si="11"/>
        <v>4.0000000000000018</v>
      </c>
      <c r="N728" s="224" t="s">
        <v>0</v>
      </c>
      <c r="P728" s="4"/>
      <c r="Q728" s="4"/>
      <c r="R728" s="4"/>
      <c r="S728" s="4"/>
      <c r="T728" s="4"/>
      <c r="U728" s="4"/>
      <c r="V728" s="4"/>
      <c r="W728" s="4"/>
    </row>
    <row r="729" spans="1:23" s="32" customFormat="1" hidden="1" x14ac:dyDescent="0.3">
      <c r="A729" s="22" t="s">
        <v>21</v>
      </c>
      <c r="B729" s="21">
        <v>46017</v>
      </c>
      <c r="C729" s="22" t="s">
        <v>18</v>
      </c>
      <c r="D729" s="215"/>
      <c r="E729" s="215"/>
      <c r="F729" s="215"/>
      <c r="G729" s="21">
        <v>46017</v>
      </c>
      <c r="H729" s="21">
        <v>46017</v>
      </c>
      <c r="I729" s="21">
        <v>46017</v>
      </c>
      <c r="J729" s="17"/>
      <c r="K729" s="47">
        <v>0.54166666666666663</v>
      </c>
      <c r="L729" s="45">
        <v>0.70833333333333337</v>
      </c>
      <c r="M729" s="11">
        <f t="shared" si="11"/>
        <v>4.0000000000000018</v>
      </c>
      <c r="N729" s="225"/>
      <c r="P729" s="4"/>
      <c r="Q729" s="4"/>
      <c r="R729" s="4"/>
      <c r="S729" s="4"/>
      <c r="T729" s="4"/>
      <c r="U729" s="4"/>
      <c r="V729" s="4"/>
      <c r="W729" s="4"/>
    </row>
    <row r="730" spans="1:23" s="32" customFormat="1" hidden="1" x14ac:dyDescent="0.3">
      <c r="A730" s="22" t="s">
        <v>19</v>
      </c>
      <c r="B730" s="21">
        <v>46017</v>
      </c>
      <c r="C730" s="22" t="s">
        <v>208</v>
      </c>
      <c r="D730" s="216" t="s">
        <v>8</v>
      </c>
      <c r="E730" s="216" t="s">
        <v>551</v>
      </c>
      <c r="F730" s="243" t="s">
        <v>541</v>
      </c>
      <c r="G730" s="219">
        <v>46017</v>
      </c>
      <c r="H730" s="219">
        <v>46017</v>
      </c>
      <c r="I730" s="219">
        <v>46017</v>
      </c>
      <c r="J730" s="17"/>
      <c r="K730" s="47">
        <v>0.3125</v>
      </c>
      <c r="L730" s="45">
        <v>0.52083333333333337</v>
      </c>
      <c r="M730" s="11">
        <f t="shared" si="11"/>
        <v>5.0000000000000009</v>
      </c>
      <c r="N730" s="224" t="s">
        <v>0</v>
      </c>
      <c r="P730" s="4"/>
      <c r="Q730" s="4"/>
      <c r="R730" s="4"/>
      <c r="S730" s="4"/>
      <c r="T730" s="4"/>
      <c r="U730" s="4"/>
      <c r="V730" s="4"/>
      <c r="W730" s="4"/>
    </row>
    <row r="731" spans="1:23" s="32" customFormat="1" hidden="1" x14ac:dyDescent="0.3">
      <c r="A731" s="22" t="s">
        <v>19</v>
      </c>
      <c r="B731" s="21">
        <v>46017</v>
      </c>
      <c r="C731" s="22" t="s">
        <v>9</v>
      </c>
      <c r="D731" s="222"/>
      <c r="E731" s="222"/>
      <c r="F731" s="250"/>
      <c r="G731" s="229"/>
      <c r="H731" s="229"/>
      <c r="I731" s="229"/>
      <c r="J731" s="23"/>
      <c r="K731" s="47">
        <v>0.3125</v>
      </c>
      <c r="L731" s="45">
        <v>0.6875</v>
      </c>
      <c r="M731" s="11">
        <f t="shared" si="11"/>
        <v>9</v>
      </c>
      <c r="N731" s="231"/>
      <c r="P731" s="4"/>
      <c r="Q731" s="4"/>
      <c r="R731" s="4"/>
      <c r="S731" s="4"/>
      <c r="T731" s="4"/>
      <c r="U731" s="4"/>
      <c r="V731" s="4"/>
      <c r="W731" s="4"/>
    </row>
    <row r="732" spans="1:23" s="32" customFormat="1" hidden="1" x14ac:dyDescent="0.3">
      <c r="A732" s="22" t="s">
        <v>19</v>
      </c>
      <c r="B732" s="21">
        <v>46017</v>
      </c>
      <c r="C732" s="22" t="s">
        <v>7</v>
      </c>
      <c r="D732" s="217"/>
      <c r="E732" s="217"/>
      <c r="F732" s="244"/>
      <c r="G732" s="220"/>
      <c r="H732" s="220"/>
      <c r="I732" s="220"/>
      <c r="J732" s="23"/>
      <c r="K732" s="47">
        <v>0.3125</v>
      </c>
      <c r="L732" s="45">
        <v>0.6875</v>
      </c>
      <c r="M732" s="11">
        <f t="shared" si="11"/>
        <v>9</v>
      </c>
      <c r="N732" s="225"/>
      <c r="P732" s="4"/>
      <c r="Q732" s="4"/>
      <c r="R732" s="4"/>
      <c r="S732" s="4"/>
      <c r="T732" s="4"/>
      <c r="U732" s="4"/>
      <c r="V732" s="4"/>
      <c r="W732" s="4"/>
    </row>
    <row r="733" spans="1:23" s="32" customFormat="1" hidden="1" x14ac:dyDescent="0.3">
      <c r="A733" s="22" t="s">
        <v>19</v>
      </c>
      <c r="B733" s="21">
        <v>46017</v>
      </c>
      <c r="C733" s="22" t="s">
        <v>208</v>
      </c>
      <c r="D733" s="20" t="s">
        <v>32</v>
      </c>
      <c r="E733" s="20" t="s">
        <v>552</v>
      </c>
      <c r="F733" s="3" t="s">
        <v>553</v>
      </c>
      <c r="G733" s="17">
        <v>46017</v>
      </c>
      <c r="H733" s="17">
        <v>46017</v>
      </c>
      <c r="I733" s="17"/>
      <c r="J733" s="17"/>
      <c r="K733" s="47">
        <v>0.58333333333333337</v>
      </c>
      <c r="L733" s="45">
        <v>0.72916666666666663</v>
      </c>
      <c r="M733" s="11">
        <f t="shared" si="11"/>
        <v>3.4999999999999982</v>
      </c>
      <c r="N733" s="66" t="s">
        <v>1</v>
      </c>
      <c r="P733" s="4"/>
      <c r="Q733" s="4"/>
      <c r="R733" s="4"/>
      <c r="S733" s="4"/>
      <c r="T733" s="4"/>
      <c r="U733" s="4"/>
      <c r="V733" s="4"/>
      <c r="W733" s="4"/>
    </row>
    <row r="734" spans="1:23" s="32" customFormat="1" hidden="1" x14ac:dyDescent="0.3">
      <c r="A734" s="22" t="s">
        <v>20</v>
      </c>
      <c r="B734" s="21">
        <v>46017</v>
      </c>
      <c r="C734" s="69" t="s">
        <v>12</v>
      </c>
      <c r="D734" s="214" t="s">
        <v>44</v>
      </c>
      <c r="E734" s="214" t="s">
        <v>542</v>
      </c>
      <c r="F734" s="214" t="s">
        <v>543</v>
      </c>
      <c r="G734" s="219">
        <v>46017</v>
      </c>
      <c r="H734" s="219">
        <v>46017</v>
      </c>
      <c r="I734" s="219">
        <v>46017</v>
      </c>
      <c r="J734" s="17"/>
      <c r="K734" s="47">
        <v>0.3125</v>
      </c>
      <c r="L734" s="48">
        <v>0.6875</v>
      </c>
      <c r="M734" s="11">
        <f t="shared" si="11"/>
        <v>9</v>
      </c>
      <c r="N734" s="249" t="s">
        <v>0</v>
      </c>
      <c r="P734" s="4"/>
      <c r="Q734" s="4"/>
      <c r="R734" s="4"/>
      <c r="S734" s="4"/>
      <c r="T734" s="4"/>
      <c r="U734" s="4"/>
      <c r="V734" s="4"/>
      <c r="W734" s="4"/>
    </row>
    <row r="735" spans="1:23" s="32" customFormat="1" hidden="1" x14ac:dyDescent="0.3">
      <c r="A735" s="22" t="s">
        <v>20</v>
      </c>
      <c r="B735" s="21">
        <v>46017</v>
      </c>
      <c r="C735" s="69" t="s">
        <v>33</v>
      </c>
      <c r="D735" s="215"/>
      <c r="E735" s="215"/>
      <c r="F735" s="215"/>
      <c r="G735" s="220"/>
      <c r="H735" s="220"/>
      <c r="I735" s="220"/>
      <c r="J735" s="23"/>
      <c r="K735" s="47">
        <v>0.3125</v>
      </c>
      <c r="L735" s="48">
        <v>0.6875</v>
      </c>
      <c r="M735" s="11">
        <f t="shared" si="11"/>
        <v>9</v>
      </c>
      <c r="N735" s="249"/>
      <c r="P735" s="4"/>
      <c r="Q735" s="4"/>
      <c r="R735" s="4"/>
      <c r="S735" s="4"/>
      <c r="T735" s="4"/>
      <c r="U735" s="4"/>
      <c r="V735" s="4"/>
      <c r="W735" s="4"/>
    </row>
    <row r="736" spans="1:23" s="32" customFormat="1" hidden="1" x14ac:dyDescent="0.3">
      <c r="A736" s="22" t="s">
        <v>20</v>
      </c>
      <c r="B736" s="21">
        <v>46017</v>
      </c>
      <c r="C736" s="69" t="s">
        <v>444</v>
      </c>
      <c r="D736" s="233" t="s">
        <v>44</v>
      </c>
      <c r="E736" s="214" t="s">
        <v>510</v>
      </c>
      <c r="F736" s="241" t="s">
        <v>544</v>
      </c>
      <c r="G736" s="219">
        <v>46017</v>
      </c>
      <c r="H736" s="223">
        <v>46021</v>
      </c>
      <c r="I736" s="223">
        <v>46021</v>
      </c>
      <c r="J736" s="21"/>
      <c r="K736" s="45">
        <v>0.33333333333333331</v>
      </c>
      <c r="L736" s="48">
        <v>0.70833333333333337</v>
      </c>
      <c r="M736" s="11">
        <f t="shared" si="11"/>
        <v>9.0000000000000018</v>
      </c>
      <c r="N736" s="231" t="s">
        <v>0</v>
      </c>
      <c r="P736" s="4"/>
      <c r="Q736" s="4"/>
      <c r="R736" s="4"/>
      <c r="S736" s="4"/>
      <c r="T736" s="4"/>
      <c r="U736" s="4"/>
      <c r="V736" s="4"/>
      <c r="W736" s="4"/>
    </row>
    <row r="737" spans="1:23" s="32" customFormat="1" hidden="1" x14ac:dyDescent="0.3">
      <c r="A737" s="22" t="s">
        <v>20</v>
      </c>
      <c r="B737" s="21">
        <v>46017</v>
      </c>
      <c r="C737" s="69" t="s">
        <v>421</v>
      </c>
      <c r="D737" s="233"/>
      <c r="E737" s="215"/>
      <c r="F737" s="248"/>
      <c r="G737" s="220"/>
      <c r="H737" s="223"/>
      <c r="I737" s="223"/>
      <c r="J737" s="21"/>
      <c r="K737" s="45">
        <v>0.33333333333333331</v>
      </c>
      <c r="L737" s="48">
        <v>0.70833333333333337</v>
      </c>
      <c r="M737" s="11">
        <f t="shared" si="11"/>
        <v>9.0000000000000018</v>
      </c>
      <c r="N737" s="225"/>
      <c r="P737" s="4"/>
      <c r="Q737" s="4"/>
      <c r="R737" s="4"/>
      <c r="S737" s="4"/>
      <c r="T737" s="4"/>
      <c r="U737" s="4"/>
      <c r="V737" s="4"/>
      <c r="W737" s="4"/>
    </row>
    <row r="738" spans="1:23" s="32" customFormat="1" hidden="1" x14ac:dyDescent="0.3">
      <c r="A738" s="22" t="s">
        <v>20</v>
      </c>
      <c r="B738" s="21">
        <v>46017</v>
      </c>
      <c r="C738" s="22" t="s">
        <v>28</v>
      </c>
      <c r="D738" s="13" t="s">
        <v>65</v>
      </c>
      <c r="E738" s="13" t="s">
        <v>545</v>
      </c>
      <c r="F738" s="26" t="s">
        <v>546</v>
      </c>
      <c r="G738" s="17">
        <v>46016</v>
      </c>
      <c r="H738" s="17">
        <v>46017</v>
      </c>
      <c r="I738" s="17">
        <v>46017</v>
      </c>
      <c r="J738" s="17"/>
      <c r="K738" s="45">
        <v>0.33333333333333331</v>
      </c>
      <c r="L738" s="48">
        <v>0.79166666666666663</v>
      </c>
      <c r="M738" s="11">
        <f t="shared" si="11"/>
        <v>11</v>
      </c>
      <c r="N738" s="22" t="s">
        <v>0</v>
      </c>
      <c r="P738" s="4"/>
      <c r="Q738" s="4"/>
      <c r="R738" s="4"/>
      <c r="S738" s="4"/>
      <c r="T738" s="4"/>
      <c r="U738" s="4"/>
      <c r="V738" s="4"/>
      <c r="W738" s="4"/>
    </row>
    <row r="739" spans="1:23" s="32" customFormat="1" hidden="1" x14ac:dyDescent="0.3">
      <c r="A739" s="22" t="s">
        <v>20</v>
      </c>
      <c r="B739" s="21">
        <v>46017</v>
      </c>
      <c r="C739" s="22" t="s">
        <v>47</v>
      </c>
      <c r="D739" s="216" t="s">
        <v>65</v>
      </c>
      <c r="E739" s="216" t="s">
        <v>447</v>
      </c>
      <c r="F739" s="243" t="s">
        <v>164</v>
      </c>
      <c r="G739" s="219">
        <v>46011</v>
      </c>
      <c r="H739" s="219">
        <v>46017</v>
      </c>
      <c r="I739" s="219"/>
      <c r="J739" s="101"/>
      <c r="K739" s="44">
        <v>0.33333333333333331</v>
      </c>
      <c r="L739" s="45">
        <v>0.5</v>
      </c>
      <c r="M739" s="11">
        <f t="shared" si="11"/>
        <v>4</v>
      </c>
      <c r="N739" s="230" t="s">
        <v>1</v>
      </c>
      <c r="P739" s="4"/>
      <c r="Q739" s="4"/>
      <c r="R739" s="4"/>
      <c r="S739" s="4"/>
      <c r="T739" s="4"/>
      <c r="U739" s="4"/>
      <c r="V739" s="4"/>
      <c r="W739" s="4"/>
    </row>
    <row r="740" spans="1:23" s="32" customFormat="1" hidden="1" x14ac:dyDescent="0.3">
      <c r="A740" s="22" t="s">
        <v>20</v>
      </c>
      <c r="B740" s="21">
        <v>46017</v>
      </c>
      <c r="C740" s="22" t="s">
        <v>31</v>
      </c>
      <c r="D740" s="217"/>
      <c r="E740" s="217"/>
      <c r="F740" s="244"/>
      <c r="G740" s="220"/>
      <c r="H740" s="220"/>
      <c r="I740" s="220"/>
      <c r="J740" s="19"/>
      <c r="K740" s="45">
        <v>0.4375</v>
      </c>
      <c r="L740" s="45">
        <v>0.45833333333333331</v>
      </c>
      <c r="M740" s="11">
        <f t="shared" si="11"/>
        <v>0.49999999999999956</v>
      </c>
      <c r="N740" s="228"/>
      <c r="P740" s="4"/>
      <c r="Q740" s="4"/>
      <c r="R740" s="4"/>
      <c r="S740" s="4"/>
      <c r="T740" s="4"/>
      <c r="U740" s="4"/>
      <c r="V740" s="4"/>
      <c r="W740" s="4"/>
    </row>
    <row r="741" spans="1:23" s="32" customFormat="1" hidden="1" x14ac:dyDescent="0.3">
      <c r="A741" s="22" t="s">
        <v>20</v>
      </c>
      <c r="B741" s="21">
        <v>46017</v>
      </c>
      <c r="C741" s="22" t="s">
        <v>167</v>
      </c>
      <c r="D741" s="216" t="s">
        <v>65</v>
      </c>
      <c r="E741" s="216" t="s">
        <v>492</v>
      </c>
      <c r="F741" s="243" t="s">
        <v>164</v>
      </c>
      <c r="G741" s="219">
        <v>46011</v>
      </c>
      <c r="H741" s="219">
        <v>46017</v>
      </c>
      <c r="I741" s="219"/>
      <c r="J741" s="101"/>
      <c r="K741" s="44">
        <v>0.3125</v>
      </c>
      <c r="L741" s="45">
        <v>0.77083333333333337</v>
      </c>
      <c r="M741" s="11">
        <f t="shared" si="11"/>
        <v>11</v>
      </c>
      <c r="N741" s="251" t="s">
        <v>30</v>
      </c>
      <c r="P741" s="4"/>
      <c r="Q741" s="4"/>
      <c r="R741" s="4"/>
      <c r="S741" s="4"/>
      <c r="T741" s="4"/>
      <c r="U741" s="4"/>
      <c r="V741" s="4"/>
      <c r="W741" s="4"/>
    </row>
    <row r="742" spans="1:23" s="32" customFormat="1" hidden="1" x14ac:dyDescent="0.3">
      <c r="A742" s="22" t="s">
        <v>20</v>
      </c>
      <c r="B742" s="21">
        <v>46017</v>
      </c>
      <c r="C742" s="22" t="s">
        <v>31</v>
      </c>
      <c r="D742" s="217"/>
      <c r="E742" s="217"/>
      <c r="F742" s="244"/>
      <c r="G742" s="220"/>
      <c r="H742" s="220"/>
      <c r="I742" s="220"/>
      <c r="J742" s="19"/>
      <c r="K742" s="45">
        <v>0.45833333333333331</v>
      </c>
      <c r="L742" s="45">
        <v>0.5</v>
      </c>
      <c r="M742" s="11">
        <f t="shared" si="11"/>
        <v>1.0000000000000004</v>
      </c>
      <c r="N742" s="247"/>
      <c r="P742" s="4"/>
      <c r="Q742" s="4"/>
      <c r="R742" s="4"/>
      <c r="S742" s="4"/>
      <c r="T742" s="4"/>
      <c r="U742" s="4"/>
      <c r="V742" s="4"/>
      <c r="W742" s="4"/>
    </row>
    <row r="743" spans="1:23" s="32" customFormat="1" hidden="1" x14ac:dyDescent="0.3">
      <c r="A743" s="22" t="s">
        <v>20</v>
      </c>
      <c r="B743" s="21">
        <v>46017</v>
      </c>
      <c r="C743" s="22" t="s">
        <v>16</v>
      </c>
      <c r="D743" s="216" t="s">
        <v>65</v>
      </c>
      <c r="E743" s="216" t="s">
        <v>251</v>
      </c>
      <c r="F743" s="243" t="s">
        <v>548</v>
      </c>
      <c r="G743" s="219">
        <v>46014</v>
      </c>
      <c r="H743" s="219">
        <v>46017</v>
      </c>
      <c r="I743" s="219">
        <v>46017</v>
      </c>
      <c r="J743" s="17"/>
      <c r="K743" s="47">
        <v>0.3125</v>
      </c>
      <c r="L743" s="45">
        <v>0.47916666666666669</v>
      </c>
      <c r="M743" s="11">
        <f t="shared" si="11"/>
        <v>4</v>
      </c>
      <c r="N743" s="231" t="s">
        <v>0</v>
      </c>
      <c r="P743" s="4"/>
      <c r="Q743" s="4"/>
      <c r="R743" s="4"/>
      <c r="S743" s="4"/>
      <c r="T743" s="4"/>
      <c r="U743" s="4"/>
      <c r="V743" s="4"/>
      <c r="W743" s="4"/>
    </row>
    <row r="744" spans="1:23" s="32" customFormat="1" hidden="1" x14ac:dyDescent="0.3">
      <c r="A744" s="22" t="s">
        <v>20</v>
      </c>
      <c r="B744" s="21">
        <v>46017</v>
      </c>
      <c r="C744" s="22" t="s">
        <v>31</v>
      </c>
      <c r="D744" s="222"/>
      <c r="E744" s="222"/>
      <c r="F744" s="250"/>
      <c r="G744" s="220"/>
      <c r="H744" s="220"/>
      <c r="I744" s="220"/>
      <c r="J744" s="19"/>
      <c r="K744" s="45">
        <v>0.4375</v>
      </c>
      <c r="L744" s="45">
        <v>0.45833333333333331</v>
      </c>
      <c r="M744" s="11">
        <f t="shared" si="11"/>
        <v>0.49999999999999956</v>
      </c>
      <c r="N744" s="225"/>
      <c r="P744" s="4"/>
      <c r="Q744" s="4"/>
      <c r="R744" s="4"/>
      <c r="S744" s="4"/>
      <c r="T744" s="4"/>
      <c r="U744" s="4"/>
      <c r="V744" s="4"/>
      <c r="W744" s="4"/>
    </row>
    <row r="745" spans="1:23" s="32" customFormat="1" hidden="1" x14ac:dyDescent="0.3">
      <c r="A745" s="22" t="s">
        <v>20</v>
      </c>
      <c r="B745" s="21">
        <v>46017</v>
      </c>
      <c r="C745" s="22" t="s">
        <v>16</v>
      </c>
      <c r="D745" s="24" t="s">
        <v>65</v>
      </c>
      <c r="E745" s="24" t="s">
        <v>535</v>
      </c>
      <c r="F745" s="25" t="s">
        <v>536</v>
      </c>
      <c r="G745" s="21">
        <v>46016</v>
      </c>
      <c r="H745" s="21">
        <v>46016</v>
      </c>
      <c r="I745" s="21"/>
      <c r="J745" s="21"/>
      <c r="K745" s="45">
        <v>0.4375</v>
      </c>
      <c r="L745" s="47">
        <v>0.77083333333333337</v>
      </c>
      <c r="M745" s="22">
        <f t="shared" si="11"/>
        <v>8</v>
      </c>
      <c r="N745" s="22" t="s">
        <v>1</v>
      </c>
      <c r="O745" s="22"/>
      <c r="P745" s="4"/>
      <c r="Q745" s="4"/>
      <c r="R745" s="4"/>
      <c r="S745" s="4"/>
      <c r="T745" s="4"/>
      <c r="U745" s="4"/>
      <c r="V745" s="4"/>
      <c r="W745" s="4"/>
    </row>
    <row r="746" spans="1:23" s="32" customFormat="1" hidden="1" x14ac:dyDescent="0.3">
      <c r="A746" s="22" t="s">
        <v>20</v>
      </c>
      <c r="B746" s="21">
        <v>46017</v>
      </c>
      <c r="C746" s="22" t="s">
        <v>15</v>
      </c>
      <c r="D746" s="13" t="s">
        <v>65</v>
      </c>
      <c r="E746" s="24" t="s">
        <v>512</v>
      </c>
      <c r="F746" s="25" t="s">
        <v>547</v>
      </c>
      <c r="G746" s="21">
        <v>46015</v>
      </c>
      <c r="H746" s="21">
        <v>46017</v>
      </c>
      <c r="I746" s="21">
        <v>46017</v>
      </c>
      <c r="J746" s="17"/>
      <c r="K746" s="47">
        <v>0.33333333333333331</v>
      </c>
      <c r="L746" s="47">
        <v>0.5</v>
      </c>
      <c r="M746" s="18">
        <f t="shared" si="11"/>
        <v>4</v>
      </c>
      <c r="N746" s="12" t="s">
        <v>0</v>
      </c>
      <c r="P746" s="4"/>
      <c r="Q746" s="4"/>
      <c r="R746" s="4"/>
      <c r="S746" s="4"/>
      <c r="T746" s="4"/>
      <c r="U746" s="4"/>
      <c r="V746" s="4"/>
      <c r="W746" s="4"/>
    </row>
    <row r="747" spans="1:23" s="32" customFormat="1" hidden="1" x14ac:dyDescent="0.3">
      <c r="A747" s="22" t="s">
        <v>20</v>
      </c>
      <c r="B747" s="21">
        <v>46017</v>
      </c>
      <c r="C747" s="22" t="s">
        <v>15</v>
      </c>
      <c r="D747" s="13" t="s">
        <v>65</v>
      </c>
      <c r="E747" s="24" t="s">
        <v>448</v>
      </c>
      <c r="F747" s="3" t="s">
        <v>554</v>
      </c>
      <c r="G747" s="21">
        <v>46017</v>
      </c>
      <c r="H747" s="21">
        <v>46017</v>
      </c>
      <c r="I747" s="21">
        <v>46017</v>
      </c>
      <c r="J747" s="17"/>
      <c r="K747" s="47">
        <v>0.54166666666666663</v>
      </c>
      <c r="L747" s="47">
        <v>0.625</v>
      </c>
      <c r="M747" s="11">
        <f t="shared" si="11"/>
        <v>2.0000000000000009</v>
      </c>
      <c r="N747" s="22" t="s">
        <v>0</v>
      </c>
      <c r="P747" s="4"/>
      <c r="Q747" s="4"/>
      <c r="R747" s="4"/>
      <c r="S747" s="4"/>
      <c r="T747" s="4"/>
      <c r="U747" s="4"/>
      <c r="V747" s="4"/>
      <c r="W747" s="4"/>
    </row>
    <row r="748" spans="1:23" s="32" customFormat="1" hidden="1" x14ac:dyDescent="0.3">
      <c r="A748" s="22" t="s">
        <v>20</v>
      </c>
      <c r="B748" s="21">
        <v>46017</v>
      </c>
      <c r="C748" s="22" t="s">
        <v>15</v>
      </c>
      <c r="D748" s="13" t="s">
        <v>65</v>
      </c>
      <c r="E748" s="24" t="s">
        <v>556</v>
      </c>
      <c r="F748" s="3" t="s">
        <v>557</v>
      </c>
      <c r="G748" s="21">
        <v>46017</v>
      </c>
      <c r="H748" s="21">
        <v>46017</v>
      </c>
      <c r="I748" s="21">
        <v>46017</v>
      </c>
      <c r="J748" s="17"/>
      <c r="K748" s="47">
        <v>0.625</v>
      </c>
      <c r="L748" s="47">
        <v>0.70833333333333337</v>
      </c>
      <c r="M748" s="11">
        <f t="shared" si="11"/>
        <v>2.0000000000000009</v>
      </c>
      <c r="N748" s="22" t="s">
        <v>0</v>
      </c>
      <c r="P748" s="4"/>
      <c r="Q748" s="4"/>
      <c r="R748" s="4"/>
      <c r="S748" s="4"/>
      <c r="T748" s="4"/>
      <c r="U748" s="4"/>
      <c r="V748" s="4"/>
      <c r="W748" s="4"/>
    </row>
    <row r="749" spans="1:23" s="32" customFormat="1" hidden="1" x14ac:dyDescent="0.3">
      <c r="A749" s="22" t="s">
        <v>20</v>
      </c>
      <c r="B749" s="21">
        <v>46017</v>
      </c>
      <c r="C749" s="22" t="s">
        <v>31</v>
      </c>
      <c r="D749" s="11" t="s">
        <v>27</v>
      </c>
      <c r="E749" s="76" t="s">
        <v>82</v>
      </c>
      <c r="F749" s="3" t="s">
        <v>397</v>
      </c>
      <c r="G749" s="35">
        <v>46017</v>
      </c>
      <c r="H749" s="35">
        <v>46017</v>
      </c>
      <c r="I749" s="35">
        <v>46017</v>
      </c>
      <c r="J749" s="65"/>
      <c r="K749" s="47">
        <v>0.41666666666666669</v>
      </c>
      <c r="L749" s="47">
        <v>0.5</v>
      </c>
      <c r="M749" s="11">
        <f t="shared" si="11"/>
        <v>1.9999999999999996</v>
      </c>
      <c r="N749" s="22" t="s">
        <v>0</v>
      </c>
      <c r="P749" s="4"/>
      <c r="Q749" s="4"/>
      <c r="R749" s="4"/>
      <c r="S749" s="4"/>
      <c r="T749" s="4"/>
      <c r="U749" s="4"/>
      <c r="V749" s="4"/>
      <c r="W749" s="4"/>
    </row>
    <row r="750" spans="1:23" s="32" customFormat="1" hidden="1" x14ac:dyDescent="0.3">
      <c r="A750" s="22" t="s">
        <v>20</v>
      </c>
      <c r="B750" s="21">
        <v>46017</v>
      </c>
      <c r="C750" s="22" t="s">
        <v>17</v>
      </c>
      <c r="D750" s="24" t="s">
        <v>65</v>
      </c>
      <c r="E750" s="22" t="s">
        <v>555</v>
      </c>
      <c r="F750" s="25" t="s">
        <v>469</v>
      </c>
      <c r="G750" s="35">
        <v>46017</v>
      </c>
      <c r="H750" s="35">
        <v>46017</v>
      </c>
      <c r="I750" s="35">
        <v>46017</v>
      </c>
      <c r="J750" s="35"/>
      <c r="K750" s="45">
        <v>0.3125</v>
      </c>
      <c r="L750" s="45">
        <v>0.6875</v>
      </c>
      <c r="M750" s="11">
        <f t="shared" si="11"/>
        <v>9</v>
      </c>
      <c r="N750" s="22" t="s">
        <v>0</v>
      </c>
      <c r="P750" s="4"/>
      <c r="Q750" s="4"/>
      <c r="R750" s="4"/>
      <c r="S750" s="4"/>
      <c r="T750" s="4"/>
      <c r="U750" s="4"/>
      <c r="V750" s="4"/>
      <c r="W750" s="4"/>
    </row>
    <row r="751" spans="1:23" s="32" customFormat="1" hidden="1" x14ac:dyDescent="0.3">
      <c r="A751" s="22" t="s">
        <v>21</v>
      </c>
      <c r="B751" s="21">
        <v>46018</v>
      </c>
      <c r="C751" s="22" t="s">
        <v>26</v>
      </c>
      <c r="D751" s="24" t="s">
        <v>24</v>
      </c>
      <c r="E751" s="22" t="s">
        <v>558</v>
      </c>
      <c r="F751" s="25" t="s">
        <v>559</v>
      </c>
      <c r="G751" s="17">
        <v>46018</v>
      </c>
      <c r="H751" s="17">
        <v>46018</v>
      </c>
      <c r="I751" s="17">
        <v>46018</v>
      </c>
      <c r="J751" s="17"/>
      <c r="K751" s="48">
        <v>0.33333333333333331</v>
      </c>
      <c r="L751" s="48">
        <v>0.70833333333333337</v>
      </c>
      <c r="M751" s="11">
        <f t="shared" si="11"/>
        <v>9.0000000000000018</v>
      </c>
      <c r="N751" s="22" t="s">
        <v>0</v>
      </c>
      <c r="P751" s="4"/>
      <c r="Q751" s="4"/>
      <c r="R751" s="4"/>
      <c r="S751" s="4"/>
      <c r="T751" s="4"/>
      <c r="U751" s="4"/>
      <c r="V751" s="4"/>
      <c r="W751" s="4"/>
    </row>
    <row r="752" spans="1:23" s="32" customFormat="1" hidden="1" x14ac:dyDescent="0.3">
      <c r="A752" s="22" t="s">
        <v>21</v>
      </c>
      <c r="B752" s="21">
        <v>46018</v>
      </c>
      <c r="C752" s="22" t="s">
        <v>26</v>
      </c>
      <c r="D752" s="24" t="s">
        <v>43</v>
      </c>
      <c r="E752" s="22" t="s">
        <v>586</v>
      </c>
      <c r="F752" s="25" t="s">
        <v>587</v>
      </c>
      <c r="G752" s="17">
        <v>46018</v>
      </c>
      <c r="H752" s="17">
        <v>46018</v>
      </c>
      <c r="I752" s="17">
        <v>46018</v>
      </c>
      <c r="J752" s="17"/>
      <c r="K752" s="48">
        <v>0.58333333333333337</v>
      </c>
      <c r="L752" s="48">
        <v>0.70833333333333337</v>
      </c>
      <c r="M752" s="11">
        <f t="shared" si="11"/>
        <v>3</v>
      </c>
      <c r="N752" s="22" t="s">
        <v>0</v>
      </c>
      <c r="P752" s="4"/>
      <c r="Q752" s="4"/>
      <c r="R752" s="4"/>
      <c r="S752" s="4"/>
      <c r="T752" s="4"/>
      <c r="U752" s="4"/>
      <c r="V752" s="4"/>
      <c r="W752" s="4"/>
    </row>
    <row r="753" spans="1:23" s="32" customFormat="1" hidden="1" x14ac:dyDescent="0.3">
      <c r="A753" s="22" t="s">
        <v>21</v>
      </c>
      <c r="B753" s="21">
        <v>46018</v>
      </c>
      <c r="C753" s="22" t="s">
        <v>51</v>
      </c>
      <c r="D753" s="24" t="s">
        <v>43</v>
      </c>
      <c r="E753" s="22" t="s">
        <v>560</v>
      </c>
      <c r="F753" s="25" t="s">
        <v>561</v>
      </c>
      <c r="G753" s="17">
        <v>46018</v>
      </c>
      <c r="H753" s="17">
        <v>46018</v>
      </c>
      <c r="I753" s="17">
        <v>46018</v>
      </c>
      <c r="J753" s="17"/>
      <c r="K753" s="45">
        <v>0.3125</v>
      </c>
      <c r="L753" s="45">
        <v>0.6875</v>
      </c>
      <c r="M753" s="11">
        <f t="shared" si="11"/>
        <v>9</v>
      </c>
      <c r="N753" s="22" t="s">
        <v>0</v>
      </c>
      <c r="P753" s="4"/>
      <c r="Q753" s="4"/>
      <c r="R753" s="4"/>
      <c r="S753" s="4"/>
      <c r="T753" s="4"/>
      <c r="U753" s="4"/>
      <c r="V753" s="4"/>
      <c r="W753" s="4"/>
    </row>
    <row r="754" spans="1:23" s="32" customFormat="1" hidden="1" x14ac:dyDescent="0.3">
      <c r="A754" s="22" t="s">
        <v>21</v>
      </c>
      <c r="B754" s="21">
        <v>46018</v>
      </c>
      <c r="C754" s="22" t="s">
        <v>37</v>
      </c>
      <c r="D754" s="24" t="s">
        <v>27</v>
      </c>
      <c r="E754" s="24" t="s">
        <v>209</v>
      </c>
      <c r="F754" s="25" t="s">
        <v>209</v>
      </c>
      <c r="G754" s="17">
        <v>46018</v>
      </c>
      <c r="H754" s="17">
        <v>46018</v>
      </c>
      <c r="I754" s="17">
        <v>46018</v>
      </c>
      <c r="J754" s="17"/>
      <c r="K754" s="45">
        <v>0.3125</v>
      </c>
      <c r="L754" s="45">
        <v>0.6875</v>
      </c>
      <c r="M754" s="11">
        <f t="shared" si="11"/>
        <v>9</v>
      </c>
      <c r="N754" s="42" t="s">
        <v>0</v>
      </c>
      <c r="P754" s="4"/>
      <c r="Q754" s="4"/>
      <c r="R754" s="4"/>
      <c r="S754" s="4"/>
      <c r="T754" s="4"/>
      <c r="U754" s="4"/>
      <c r="V754" s="4"/>
      <c r="W754" s="4"/>
    </row>
    <row r="755" spans="1:23" s="32" customFormat="1" hidden="1" x14ac:dyDescent="0.3">
      <c r="A755" s="22" t="s">
        <v>21</v>
      </c>
      <c r="B755" s="21">
        <v>46018</v>
      </c>
      <c r="C755" s="22" t="s">
        <v>25</v>
      </c>
      <c r="D755" s="214" t="s">
        <v>43</v>
      </c>
      <c r="E755" s="214" t="s">
        <v>424</v>
      </c>
      <c r="F755" s="241" t="s">
        <v>521</v>
      </c>
      <c r="G755" s="219">
        <v>46015</v>
      </c>
      <c r="H755" s="219">
        <v>46018</v>
      </c>
      <c r="I755" s="219"/>
      <c r="J755" s="17"/>
      <c r="K755" s="45">
        <v>0.3125</v>
      </c>
      <c r="L755" s="45">
        <v>0.54166666666666663</v>
      </c>
      <c r="M755" s="11">
        <f t="shared" si="11"/>
        <v>5.4999999999999991</v>
      </c>
      <c r="N755" s="214" t="s">
        <v>30</v>
      </c>
      <c r="P755" s="4"/>
      <c r="Q755" s="4"/>
      <c r="R755" s="4"/>
      <c r="S755" s="4"/>
      <c r="T755" s="4"/>
      <c r="U755" s="4"/>
      <c r="V755" s="4"/>
      <c r="W755" s="4"/>
    </row>
    <row r="756" spans="1:23" s="32" customFormat="1" hidden="1" x14ac:dyDescent="0.3">
      <c r="A756" s="22" t="s">
        <v>21</v>
      </c>
      <c r="B756" s="21">
        <v>46018</v>
      </c>
      <c r="C756" s="22" t="s">
        <v>18</v>
      </c>
      <c r="D756" s="226"/>
      <c r="E756" s="226"/>
      <c r="F756" s="242"/>
      <c r="G756" s="229"/>
      <c r="H756" s="229"/>
      <c r="I756" s="229"/>
      <c r="J756" s="23"/>
      <c r="K756" s="47">
        <v>0.3125</v>
      </c>
      <c r="L756" s="45">
        <v>0.54166666666666663</v>
      </c>
      <c r="M756" s="11">
        <f t="shared" si="11"/>
        <v>5.4999999999999991</v>
      </c>
      <c r="N756" s="226"/>
      <c r="P756" s="4"/>
      <c r="Q756" s="4"/>
      <c r="R756" s="4"/>
      <c r="S756" s="4"/>
      <c r="T756" s="4"/>
      <c r="U756" s="4"/>
      <c r="V756" s="4"/>
      <c r="W756" s="4"/>
    </row>
    <row r="757" spans="1:23" s="32" customFormat="1" hidden="1" x14ac:dyDescent="0.3">
      <c r="A757" s="22" t="s">
        <v>21</v>
      </c>
      <c r="B757" s="21">
        <v>46018</v>
      </c>
      <c r="C757" s="22" t="s">
        <v>22</v>
      </c>
      <c r="D757" s="11" t="s">
        <v>8</v>
      </c>
      <c r="E757" s="13" t="s">
        <v>406</v>
      </c>
      <c r="F757" s="26" t="s">
        <v>522</v>
      </c>
      <c r="G757" s="17">
        <v>46013</v>
      </c>
      <c r="H757" s="17">
        <v>46018</v>
      </c>
      <c r="I757" s="17">
        <v>46018</v>
      </c>
      <c r="J757" s="17"/>
      <c r="K757" s="45">
        <v>0.3125</v>
      </c>
      <c r="L757" s="45">
        <v>0.6875</v>
      </c>
      <c r="M757" s="11">
        <f t="shared" si="11"/>
        <v>9</v>
      </c>
      <c r="N757" s="11" t="s">
        <v>0</v>
      </c>
      <c r="P757" s="4"/>
      <c r="Q757" s="4"/>
      <c r="R757" s="4"/>
      <c r="S757" s="4"/>
      <c r="T757" s="4"/>
      <c r="U757" s="4"/>
      <c r="V757" s="4"/>
      <c r="W757" s="4"/>
    </row>
    <row r="758" spans="1:23" s="32" customFormat="1" hidden="1" x14ac:dyDescent="0.3">
      <c r="A758" s="22" t="s">
        <v>21</v>
      </c>
      <c r="B758" s="21">
        <v>46018</v>
      </c>
      <c r="C758" s="22" t="s">
        <v>320</v>
      </c>
      <c r="D758" s="24" t="s">
        <v>43</v>
      </c>
      <c r="E758" s="24" t="s">
        <v>392</v>
      </c>
      <c r="F758" s="25" t="s">
        <v>125</v>
      </c>
      <c r="G758" s="17">
        <v>46018</v>
      </c>
      <c r="H758" s="17">
        <v>46018</v>
      </c>
      <c r="I758" s="17">
        <v>46018</v>
      </c>
      <c r="J758" s="17"/>
      <c r="K758" s="45">
        <v>0.3125</v>
      </c>
      <c r="L758" s="45">
        <v>0.5</v>
      </c>
      <c r="M758" s="11">
        <f t="shared" si="11"/>
        <v>4.5</v>
      </c>
      <c r="N758" s="11" t="s">
        <v>0</v>
      </c>
      <c r="P758" s="4"/>
      <c r="Q758" s="4"/>
      <c r="R758" s="4"/>
      <c r="S758" s="4"/>
      <c r="T758" s="4"/>
      <c r="U758" s="4"/>
      <c r="V758" s="4"/>
      <c r="W758" s="4"/>
    </row>
    <row r="759" spans="1:23" s="32" customFormat="1" hidden="1" x14ac:dyDescent="0.3">
      <c r="A759" s="22" t="s">
        <v>21</v>
      </c>
      <c r="B759" s="21">
        <v>46018</v>
      </c>
      <c r="C759" s="22" t="s">
        <v>118</v>
      </c>
      <c r="D759" s="24" t="s">
        <v>54</v>
      </c>
      <c r="E759" s="22" t="s">
        <v>562</v>
      </c>
      <c r="F759" s="22" t="s">
        <v>563</v>
      </c>
      <c r="G759" s="17">
        <v>46018</v>
      </c>
      <c r="H759" s="17">
        <v>46018</v>
      </c>
      <c r="I759" s="17">
        <v>46018</v>
      </c>
      <c r="J759" s="17"/>
      <c r="K759" s="45">
        <v>0.33333333333333331</v>
      </c>
      <c r="L759" s="45">
        <v>0.70833333333333337</v>
      </c>
      <c r="M759" s="11">
        <f t="shared" si="11"/>
        <v>9.0000000000000018</v>
      </c>
      <c r="N759" s="22" t="s">
        <v>0</v>
      </c>
      <c r="P759" s="4"/>
      <c r="Q759" s="4"/>
      <c r="R759" s="4"/>
      <c r="S759" s="4"/>
      <c r="T759" s="4"/>
      <c r="U759" s="4"/>
      <c r="V759" s="4"/>
      <c r="W759" s="4"/>
    </row>
    <row r="760" spans="1:23" s="32" customFormat="1" hidden="1" x14ac:dyDescent="0.3">
      <c r="A760" s="22" t="s">
        <v>21</v>
      </c>
      <c r="B760" s="21">
        <v>46018</v>
      </c>
      <c r="C760" s="22" t="s">
        <v>55</v>
      </c>
      <c r="D760" s="14" t="s">
        <v>43</v>
      </c>
      <c r="E760" s="12" t="s">
        <v>564</v>
      </c>
      <c r="F760" s="29" t="s">
        <v>501</v>
      </c>
      <c r="G760" s="17">
        <v>46018</v>
      </c>
      <c r="H760" s="21">
        <v>46020</v>
      </c>
      <c r="I760" s="21"/>
      <c r="J760" s="17"/>
      <c r="K760" s="47">
        <v>0.3125</v>
      </c>
      <c r="L760" s="45">
        <v>0.72916666666666663</v>
      </c>
      <c r="M760" s="11">
        <f t="shared" si="11"/>
        <v>10</v>
      </c>
      <c r="N760" s="22" t="s">
        <v>1</v>
      </c>
      <c r="P760" s="4"/>
      <c r="Q760" s="4"/>
      <c r="R760" s="4"/>
      <c r="S760" s="4"/>
      <c r="T760" s="4"/>
      <c r="U760" s="4"/>
      <c r="V760" s="4"/>
      <c r="W760" s="4"/>
    </row>
    <row r="761" spans="1:23" s="32" customFormat="1" hidden="1" x14ac:dyDescent="0.3">
      <c r="A761" s="22" t="s">
        <v>21</v>
      </c>
      <c r="B761" s="21">
        <v>46018</v>
      </c>
      <c r="C761" s="22" t="s">
        <v>274</v>
      </c>
      <c r="D761" s="20" t="s">
        <v>8</v>
      </c>
      <c r="E761" s="18" t="s">
        <v>73</v>
      </c>
      <c r="F761" s="73" t="s">
        <v>565</v>
      </c>
      <c r="G761" s="17">
        <v>46018</v>
      </c>
      <c r="H761" s="17">
        <v>46018</v>
      </c>
      <c r="I761" s="17"/>
      <c r="J761" s="17"/>
      <c r="K761" s="45">
        <v>0.3125</v>
      </c>
      <c r="L761" s="45">
        <v>0.54166666666666663</v>
      </c>
      <c r="M761" s="11">
        <f t="shared" si="11"/>
        <v>5.4999999999999991</v>
      </c>
      <c r="N761" s="22" t="s">
        <v>1</v>
      </c>
      <c r="P761" s="4"/>
      <c r="Q761" s="4"/>
      <c r="R761" s="4"/>
      <c r="S761" s="4"/>
      <c r="T761" s="4"/>
      <c r="U761" s="4"/>
      <c r="V761" s="4"/>
      <c r="W761" s="4"/>
    </row>
    <row r="762" spans="1:23" s="32" customFormat="1" hidden="1" x14ac:dyDescent="0.3">
      <c r="A762" s="22" t="s">
        <v>21</v>
      </c>
      <c r="B762" s="21">
        <v>46018</v>
      </c>
      <c r="C762" s="22" t="s">
        <v>18</v>
      </c>
      <c r="D762" s="222" t="s">
        <v>27</v>
      </c>
      <c r="E762" s="233" t="s">
        <v>588</v>
      </c>
      <c r="F762" s="233" t="s">
        <v>589</v>
      </c>
      <c r="G762" s="219">
        <v>46018</v>
      </c>
      <c r="H762" s="219">
        <v>46018</v>
      </c>
      <c r="I762" s="219">
        <v>46018</v>
      </c>
      <c r="J762" s="17"/>
      <c r="K762" s="45">
        <v>0.54166666666666663</v>
      </c>
      <c r="L762" s="45">
        <v>0.6875</v>
      </c>
      <c r="M762" s="11">
        <f t="shared" si="11"/>
        <v>3.5000000000000009</v>
      </c>
      <c r="N762" s="214" t="s">
        <v>0</v>
      </c>
      <c r="P762" s="4"/>
      <c r="Q762" s="4"/>
      <c r="R762" s="4"/>
      <c r="S762" s="4"/>
      <c r="T762" s="4"/>
      <c r="U762" s="4"/>
      <c r="V762" s="4"/>
      <c r="W762" s="4"/>
    </row>
    <row r="763" spans="1:23" s="32" customFormat="1" hidden="1" x14ac:dyDescent="0.3">
      <c r="A763" s="22" t="s">
        <v>21</v>
      </c>
      <c r="B763" s="21">
        <v>46018</v>
      </c>
      <c r="C763" s="22" t="s">
        <v>274</v>
      </c>
      <c r="D763" s="217"/>
      <c r="E763" s="233"/>
      <c r="F763" s="233"/>
      <c r="G763" s="229"/>
      <c r="H763" s="229"/>
      <c r="I763" s="229"/>
      <c r="J763" s="23"/>
      <c r="K763" s="45">
        <v>0.54166666666666663</v>
      </c>
      <c r="L763" s="45">
        <v>0.6875</v>
      </c>
      <c r="M763" s="11">
        <f t="shared" si="11"/>
        <v>3.5000000000000009</v>
      </c>
      <c r="N763" s="215"/>
      <c r="P763" s="4"/>
      <c r="Q763" s="4"/>
      <c r="R763" s="4"/>
      <c r="S763" s="4"/>
      <c r="T763" s="4"/>
      <c r="U763" s="4"/>
      <c r="V763" s="4"/>
      <c r="W763" s="4"/>
    </row>
    <row r="764" spans="1:23" s="32" customFormat="1" hidden="1" x14ac:dyDescent="0.3">
      <c r="A764" s="22" t="s">
        <v>19</v>
      </c>
      <c r="B764" s="21">
        <v>46018</v>
      </c>
      <c r="C764" s="22" t="s">
        <v>9</v>
      </c>
      <c r="D764" s="221" t="s">
        <v>8</v>
      </c>
      <c r="E764" s="221" t="s">
        <v>131</v>
      </c>
      <c r="F764" s="221" t="s">
        <v>566</v>
      </c>
      <c r="G764" s="239">
        <v>46011</v>
      </c>
      <c r="H764" s="239">
        <v>46018</v>
      </c>
      <c r="I764" s="239">
        <v>46018</v>
      </c>
      <c r="J764" s="30"/>
      <c r="K764" s="45">
        <v>0.3125</v>
      </c>
      <c r="L764" s="45">
        <v>0.39583333333333331</v>
      </c>
      <c r="M764" s="11">
        <f t="shared" si="11"/>
        <v>1.9999999999999996</v>
      </c>
      <c r="N764" s="252" t="s">
        <v>0</v>
      </c>
      <c r="P764" s="4"/>
      <c r="Q764" s="4"/>
      <c r="R764" s="4"/>
      <c r="S764" s="4"/>
      <c r="T764" s="4"/>
      <c r="U764" s="4"/>
      <c r="V764" s="4"/>
      <c r="W764" s="4"/>
    </row>
    <row r="765" spans="1:23" s="32" customFormat="1" hidden="1" x14ac:dyDescent="0.3">
      <c r="A765" s="22" t="s">
        <v>19</v>
      </c>
      <c r="B765" s="21">
        <v>46018</v>
      </c>
      <c r="C765" s="22" t="s">
        <v>7</v>
      </c>
      <c r="D765" s="221"/>
      <c r="E765" s="221"/>
      <c r="F765" s="221"/>
      <c r="G765" s="221"/>
      <c r="H765" s="221"/>
      <c r="I765" s="221"/>
      <c r="J765" s="24"/>
      <c r="K765" s="45">
        <v>0.3125</v>
      </c>
      <c r="L765" s="45">
        <v>0.39583333333333331</v>
      </c>
      <c r="M765" s="11">
        <f t="shared" si="11"/>
        <v>1.9999999999999996</v>
      </c>
      <c r="N765" s="252"/>
      <c r="P765" s="4"/>
      <c r="Q765" s="4"/>
      <c r="R765" s="4"/>
      <c r="S765" s="4"/>
      <c r="T765" s="4"/>
      <c r="U765" s="4"/>
      <c r="V765" s="4"/>
      <c r="W765" s="4"/>
    </row>
    <row r="766" spans="1:23" s="32" customFormat="1" hidden="1" x14ac:dyDescent="0.3">
      <c r="A766" s="22" t="s">
        <v>19</v>
      </c>
      <c r="B766" s="21">
        <v>46018</v>
      </c>
      <c r="C766" s="22" t="s">
        <v>9</v>
      </c>
      <c r="D766" s="221" t="s">
        <v>8</v>
      </c>
      <c r="E766" s="221" t="s">
        <v>316</v>
      </c>
      <c r="F766" s="216" t="s">
        <v>567</v>
      </c>
      <c r="G766" s="239">
        <v>46017</v>
      </c>
      <c r="H766" s="239">
        <v>46018</v>
      </c>
      <c r="I766" s="216"/>
      <c r="J766" s="13"/>
      <c r="K766" s="45">
        <v>0.39583333333333331</v>
      </c>
      <c r="L766" s="45">
        <v>0.47916666666666669</v>
      </c>
      <c r="M766" s="11">
        <f t="shared" si="11"/>
        <v>2.0000000000000009</v>
      </c>
      <c r="N766" s="246" t="s">
        <v>30</v>
      </c>
      <c r="P766" s="4"/>
      <c r="Q766" s="4"/>
      <c r="R766" s="4"/>
      <c r="S766" s="4"/>
      <c r="T766" s="4"/>
      <c r="U766" s="4"/>
      <c r="V766" s="4"/>
      <c r="W766" s="4"/>
    </row>
    <row r="767" spans="1:23" s="32" customFormat="1" hidden="1" x14ac:dyDescent="0.3">
      <c r="A767" s="22" t="s">
        <v>19</v>
      </c>
      <c r="B767" s="21">
        <v>46018</v>
      </c>
      <c r="C767" s="22" t="s">
        <v>7</v>
      </c>
      <c r="D767" s="221"/>
      <c r="E767" s="221"/>
      <c r="F767" s="222"/>
      <c r="G767" s="216"/>
      <c r="H767" s="216"/>
      <c r="I767" s="222"/>
      <c r="J767" s="20"/>
      <c r="K767" s="47">
        <v>0.39583333333333331</v>
      </c>
      <c r="L767" s="47">
        <v>0.47916666666666669</v>
      </c>
      <c r="M767" s="11">
        <f t="shared" si="11"/>
        <v>2.0000000000000009</v>
      </c>
      <c r="N767" s="251"/>
      <c r="P767" s="4"/>
      <c r="Q767" s="4"/>
      <c r="R767" s="4"/>
      <c r="S767" s="4"/>
      <c r="T767" s="4"/>
      <c r="U767" s="4"/>
      <c r="V767" s="4"/>
      <c r="W767" s="4"/>
    </row>
    <row r="768" spans="1:23" s="32" customFormat="1" hidden="1" x14ac:dyDescent="0.3">
      <c r="A768" s="22" t="s">
        <v>19</v>
      </c>
      <c r="B768" s="21">
        <v>46018</v>
      </c>
      <c r="C768" s="22" t="s">
        <v>208</v>
      </c>
      <c r="D768" s="20" t="s">
        <v>32</v>
      </c>
      <c r="E768" s="20" t="s">
        <v>552</v>
      </c>
      <c r="F768" s="25" t="s">
        <v>568</v>
      </c>
      <c r="G768" s="21">
        <v>46018</v>
      </c>
      <c r="H768" s="21">
        <v>46018</v>
      </c>
      <c r="I768" s="21">
        <v>46018</v>
      </c>
      <c r="J768" s="21"/>
      <c r="K768" s="45">
        <v>0.3125</v>
      </c>
      <c r="L768" s="45">
        <v>0.5</v>
      </c>
      <c r="M768" s="11">
        <f t="shared" si="11"/>
        <v>4.5</v>
      </c>
      <c r="N768" s="42" t="s">
        <v>0</v>
      </c>
      <c r="P768" s="4"/>
      <c r="Q768" s="4"/>
      <c r="R768" s="4"/>
      <c r="S768" s="4"/>
      <c r="T768" s="4"/>
      <c r="U768" s="4"/>
      <c r="V768" s="4"/>
      <c r="W768" s="4"/>
    </row>
    <row r="769" spans="1:23" s="32" customFormat="1" hidden="1" x14ac:dyDescent="0.3">
      <c r="A769" s="22" t="s">
        <v>19</v>
      </c>
      <c r="B769" s="21">
        <v>46018</v>
      </c>
      <c r="C769" s="22" t="s">
        <v>9</v>
      </c>
      <c r="D769" s="226" t="s">
        <v>27</v>
      </c>
      <c r="E769" s="222" t="s">
        <v>585</v>
      </c>
      <c r="F769" s="222" t="s">
        <v>497</v>
      </c>
      <c r="G769" s="253">
        <v>46018</v>
      </c>
      <c r="H769" s="253">
        <v>46018</v>
      </c>
      <c r="I769" s="253">
        <v>46018</v>
      </c>
      <c r="J769" s="65"/>
      <c r="K769" s="47">
        <v>8.3333333333333329E-2</v>
      </c>
      <c r="L769" s="45">
        <v>0.6875</v>
      </c>
      <c r="M769" s="11">
        <f t="shared" si="11"/>
        <v>14.5</v>
      </c>
      <c r="N769" s="231" t="s">
        <v>0</v>
      </c>
      <c r="P769" s="4"/>
      <c r="Q769" s="4"/>
      <c r="R769" s="4"/>
      <c r="S769" s="4"/>
      <c r="T769" s="4"/>
      <c r="U769" s="4"/>
      <c r="V769" s="4"/>
      <c r="W769" s="4"/>
    </row>
    <row r="770" spans="1:23" s="32" customFormat="1" hidden="1" x14ac:dyDescent="0.3">
      <c r="A770" s="22" t="s">
        <v>19</v>
      </c>
      <c r="B770" s="21">
        <v>46018</v>
      </c>
      <c r="C770" s="22" t="s">
        <v>7</v>
      </c>
      <c r="D770" s="226"/>
      <c r="E770" s="222"/>
      <c r="F770" s="222"/>
      <c r="G770" s="222"/>
      <c r="H770" s="222"/>
      <c r="I770" s="222"/>
      <c r="J770" s="20"/>
      <c r="K770" s="47">
        <v>8.3333333333333329E-2</v>
      </c>
      <c r="L770" s="45">
        <v>0.6875</v>
      </c>
      <c r="M770" s="11">
        <f t="shared" si="11"/>
        <v>14.5</v>
      </c>
      <c r="N770" s="231"/>
      <c r="P770" s="4"/>
      <c r="Q770" s="4"/>
      <c r="R770" s="4"/>
      <c r="S770" s="4"/>
      <c r="T770" s="4"/>
      <c r="U770" s="4"/>
      <c r="V770" s="4"/>
      <c r="W770" s="4"/>
    </row>
    <row r="771" spans="1:23" s="32" customFormat="1" hidden="1" x14ac:dyDescent="0.3">
      <c r="A771" s="22" t="s">
        <v>19</v>
      </c>
      <c r="B771" s="21">
        <v>46018</v>
      </c>
      <c r="C771" s="22" t="s">
        <v>208</v>
      </c>
      <c r="D771" s="215"/>
      <c r="E771" s="217"/>
      <c r="F771" s="217"/>
      <c r="G771" s="217"/>
      <c r="H771" s="217"/>
      <c r="I771" s="217"/>
      <c r="J771" s="20"/>
      <c r="K771" s="47">
        <v>8.3333333333333329E-2</v>
      </c>
      <c r="L771" s="45">
        <v>0.6875</v>
      </c>
      <c r="M771" s="11">
        <f t="shared" ref="M771:M833" si="12">MOD(L771-K771,1)*24</f>
        <v>14.5</v>
      </c>
      <c r="N771" s="225"/>
      <c r="P771" s="4"/>
      <c r="Q771" s="4"/>
      <c r="R771" s="4"/>
      <c r="S771" s="4"/>
      <c r="T771" s="4"/>
      <c r="U771" s="4"/>
      <c r="V771" s="4"/>
      <c r="W771" s="4"/>
    </row>
    <row r="772" spans="1:23" s="32" customFormat="1" hidden="1" x14ac:dyDescent="0.3">
      <c r="A772" s="22" t="s">
        <v>20</v>
      </c>
      <c r="B772" s="21">
        <v>46018</v>
      </c>
      <c r="C772" s="69" t="s">
        <v>12</v>
      </c>
      <c r="D772" s="214" t="s">
        <v>44</v>
      </c>
      <c r="E772" s="214" t="s">
        <v>578</v>
      </c>
      <c r="F772" s="214" t="s">
        <v>579</v>
      </c>
      <c r="G772" s="219">
        <v>46018</v>
      </c>
      <c r="H772" s="219">
        <v>46021</v>
      </c>
      <c r="I772" s="219">
        <v>46021</v>
      </c>
      <c r="J772" s="17"/>
      <c r="K772" s="47">
        <v>0.3125</v>
      </c>
      <c r="L772" s="48">
        <v>0.54166666666666663</v>
      </c>
      <c r="M772" s="11">
        <f t="shared" si="12"/>
        <v>5.4999999999999991</v>
      </c>
      <c r="N772" s="249" t="s">
        <v>0</v>
      </c>
      <c r="P772" s="4"/>
      <c r="Q772" s="4"/>
      <c r="R772" s="4"/>
      <c r="S772" s="4"/>
      <c r="T772" s="4"/>
      <c r="U772" s="4"/>
      <c r="V772" s="4"/>
      <c r="W772" s="4"/>
    </row>
    <row r="773" spans="1:23" s="32" customFormat="1" hidden="1" x14ac:dyDescent="0.3">
      <c r="A773" s="22" t="s">
        <v>20</v>
      </c>
      <c r="B773" s="21">
        <v>46018</v>
      </c>
      <c r="C773" s="69" t="s">
        <v>33</v>
      </c>
      <c r="D773" s="215"/>
      <c r="E773" s="215"/>
      <c r="F773" s="215"/>
      <c r="G773" s="220"/>
      <c r="H773" s="220"/>
      <c r="I773" s="220"/>
      <c r="J773" s="23"/>
      <c r="K773" s="47">
        <v>0.3125</v>
      </c>
      <c r="L773" s="48">
        <v>0.6875</v>
      </c>
      <c r="M773" s="11">
        <f t="shared" si="12"/>
        <v>9</v>
      </c>
      <c r="N773" s="249"/>
      <c r="P773" s="4"/>
      <c r="Q773" s="4"/>
      <c r="R773" s="4"/>
      <c r="S773" s="4"/>
      <c r="T773" s="4"/>
      <c r="U773" s="4"/>
      <c r="V773" s="4"/>
      <c r="W773" s="4"/>
    </row>
    <row r="774" spans="1:23" s="32" customFormat="1" hidden="1" x14ac:dyDescent="0.3">
      <c r="A774" s="22" t="s">
        <v>20</v>
      </c>
      <c r="B774" s="21">
        <v>46018</v>
      </c>
      <c r="C774" s="69" t="s">
        <v>444</v>
      </c>
      <c r="D774" s="233" t="s">
        <v>44</v>
      </c>
      <c r="E774" s="214" t="s">
        <v>510</v>
      </c>
      <c r="F774" s="241" t="s">
        <v>544</v>
      </c>
      <c r="G774" s="219">
        <v>46018</v>
      </c>
      <c r="H774" s="223">
        <v>46021</v>
      </c>
      <c r="I774" s="223">
        <v>46021</v>
      </c>
      <c r="J774" s="21"/>
      <c r="K774" s="45">
        <v>0.33333333333333331</v>
      </c>
      <c r="L774" s="48">
        <v>0.70833333333333337</v>
      </c>
      <c r="M774" s="11">
        <f t="shared" si="12"/>
        <v>9.0000000000000018</v>
      </c>
      <c r="N774" s="231" t="s">
        <v>0</v>
      </c>
      <c r="P774" s="4"/>
      <c r="Q774" s="4"/>
      <c r="R774" s="4"/>
      <c r="S774" s="4"/>
      <c r="T774" s="4"/>
      <c r="U774" s="4"/>
      <c r="V774" s="4"/>
      <c r="W774" s="4"/>
    </row>
    <row r="775" spans="1:23" s="32" customFormat="1" hidden="1" x14ac:dyDescent="0.3">
      <c r="A775" s="22" t="s">
        <v>20</v>
      </c>
      <c r="B775" s="21">
        <v>46018</v>
      </c>
      <c r="C775" s="69" t="s">
        <v>421</v>
      </c>
      <c r="D775" s="233"/>
      <c r="E775" s="215"/>
      <c r="F775" s="248"/>
      <c r="G775" s="220"/>
      <c r="H775" s="223"/>
      <c r="I775" s="223"/>
      <c r="J775" s="21"/>
      <c r="K775" s="45">
        <v>0.33333333333333331</v>
      </c>
      <c r="L775" s="48">
        <v>0.70833333333333337</v>
      </c>
      <c r="M775" s="11">
        <f t="shared" si="12"/>
        <v>9.0000000000000018</v>
      </c>
      <c r="N775" s="225"/>
      <c r="P775" s="4"/>
      <c r="Q775" s="4"/>
      <c r="R775" s="4"/>
      <c r="S775" s="4"/>
      <c r="T775" s="4"/>
      <c r="U775" s="4"/>
      <c r="V775" s="4"/>
      <c r="W775" s="4"/>
    </row>
    <row r="776" spans="1:23" s="32" customFormat="1" hidden="1" x14ac:dyDescent="0.3">
      <c r="A776" s="22" t="s">
        <v>20</v>
      </c>
      <c r="B776" s="21">
        <v>46018</v>
      </c>
      <c r="C776" s="22" t="s">
        <v>28</v>
      </c>
      <c r="D776" s="13" t="s">
        <v>65</v>
      </c>
      <c r="E776" s="13" t="s">
        <v>278</v>
      </c>
      <c r="F776" s="26" t="s">
        <v>580</v>
      </c>
      <c r="G776" s="17">
        <v>46018</v>
      </c>
      <c r="H776" s="17">
        <v>46018</v>
      </c>
      <c r="I776" s="17">
        <v>46018</v>
      </c>
      <c r="J776" s="17"/>
      <c r="K776" s="45">
        <v>0.33333333333333331</v>
      </c>
      <c r="L776" s="48">
        <v>0.79166666666666663</v>
      </c>
      <c r="M776" s="11">
        <f t="shared" si="12"/>
        <v>11</v>
      </c>
      <c r="N776" s="22" t="s">
        <v>0</v>
      </c>
      <c r="P776" s="4"/>
      <c r="Q776" s="4"/>
      <c r="R776" s="4"/>
      <c r="S776" s="4"/>
      <c r="T776" s="4"/>
      <c r="U776" s="4"/>
      <c r="V776" s="4"/>
      <c r="W776" s="4"/>
    </row>
    <row r="777" spans="1:23" s="32" customFormat="1" hidden="1" x14ac:dyDescent="0.3">
      <c r="A777" s="22" t="s">
        <v>20</v>
      </c>
      <c r="B777" s="21">
        <v>46018</v>
      </c>
      <c r="C777" s="22" t="s">
        <v>47</v>
      </c>
      <c r="D777" s="216" t="s">
        <v>65</v>
      </c>
      <c r="E777" s="216" t="s">
        <v>451</v>
      </c>
      <c r="F777" s="243" t="s">
        <v>581</v>
      </c>
      <c r="G777" s="219">
        <v>46018</v>
      </c>
      <c r="H777" s="219">
        <v>46018</v>
      </c>
      <c r="I777" s="219">
        <v>46018</v>
      </c>
      <c r="J777" s="101"/>
      <c r="K777" s="44">
        <v>0.33333333333333331</v>
      </c>
      <c r="L777" s="45">
        <v>0.41666666666666669</v>
      </c>
      <c r="M777" s="11">
        <f t="shared" si="12"/>
        <v>2.0000000000000009</v>
      </c>
      <c r="N777" s="231" t="s">
        <v>0</v>
      </c>
      <c r="P777" s="4"/>
      <c r="Q777" s="4"/>
      <c r="R777" s="4"/>
      <c r="S777" s="4"/>
      <c r="T777" s="4"/>
      <c r="U777" s="4"/>
      <c r="V777" s="4"/>
      <c r="W777" s="4"/>
    </row>
    <row r="778" spans="1:23" s="32" customFormat="1" hidden="1" x14ac:dyDescent="0.3">
      <c r="A778" s="22" t="s">
        <v>20</v>
      </c>
      <c r="B778" s="21">
        <v>46018</v>
      </c>
      <c r="C778" s="22" t="s">
        <v>31</v>
      </c>
      <c r="D778" s="217"/>
      <c r="E778" s="217"/>
      <c r="F778" s="244"/>
      <c r="G778" s="220"/>
      <c r="H778" s="220"/>
      <c r="I778" s="220"/>
      <c r="J778" s="19"/>
      <c r="K778" s="45">
        <v>0.4375</v>
      </c>
      <c r="L778" s="45">
        <v>0.45833333333333331</v>
      </c>
      <c r="M778" s="11">
        <f t="shared" si="12"/>
        <v>0.49999999999999956</v>
      </c>
      <c r="N778" s="225"/>
      <c r="P778" s="4"/>
      <c r="Q778" s="4"/>
      <c r="R778" s="4"/>
      <c r="S778" s="4"/>
      <c r="T778" s="4"/>
      <c r="U778" s="4"/>
      <c r="V778" s="4"/>
      <c r="W778" s="4"/>
    </row>
    <row r="779" spans="1:23" s="32" customFormat="1" hidden="1" x14ac:dyDescent="0.3">
      <c r="A779" s="22" t="s">
        <v>20</v>
      </c>
      <c r="B779" s="21">
        <v>46018</v>
      </c>
      <c r="C779" s="22" t="s">
        <v>47</v>
      </c>
      <c r="D779" s="20" t="s">
        <v>65</v>
      </c>
      <c r="E779" s="20" t="s">
        <v>582</v>
      </c>
      <c r="F779" s="3" t="s">
        <v>581</v>
      </c>
      <c r="G779" s="17">
        <v>46018</v>
      </c>
      <c r="H779" s="17">
        <v>46018</v>
      </c>
      <c r="I779" s="17">
        <v>46018</v>
      </c>
      <c r="J779" s="17"/>
      <c r="K779" s="45">
        <v>0.41666666666666669</v>
      </c>
      <c r="L779" s="45">
        <v>0.5</v>
      </c>
      <c r="M779" s="11">
        <f t="shared" si="12"/>
        <v>1.9999999999999996</v>
      </c>
      <c r="N779" s="42" t="s">
        <v>0</v>
      </c>
      <c r="P779" s="4"/>
      <c r="Q779" s="4"/>
      <c r="R779" s="4"/>
      <c r="S779" s="4"/>
      <c r="T779" s="4"/>
      <c r="U779" s="4"/>
      <c r="V779" s="4"/>
      <c r="W779" s="4"/>
    </row>
    <row r="780" spans="1:23" s="32" customFormat="1" hidden="1" x14ac:dyDescent="0.3">
      <c r="A780" s="22" t="s">
        <v>20</v>
      </c>
      <c r="B780" s="21">
        <v>46018</v>
      </c>
      <c r="C780" s="22" t="s">
        <v>47</v>
      </c>
      <c r="D780" s="20" t="s">
        <v>65</v>
      </c>
      <c r="E780" s="20" t="s">
        <v>583</v>
      </c>
      <c r="F780" s="3" t="s">
        <v>584</v>
      </c>
      <c r="G780" s="17">
        <v>46018</v>
      </c>
      <c r="H780" s="17">
        <v>46018</v>
      </c>
      <c r="I780" s="17">
        <v>46018</v>
      </c>
      <c r="J780" s="101"/>
      <c r="K780" s="44">
        <v>0.54166666666666663</v>
      </c>
      <c r="L780" s="45">
        <v>0.79166666666666663</v>
      </c>
      <c r="M780" s="11">
        <f t="shared" si="12"/>
        <v>6</v>
      </c>
      <c r="N780" s="42" t="s">
        <v>0</v>
      </c>
      <c r="P780" s="4"/>
      <c r="Q780" s="4"/>
      <c r="R780" s="4"/>
      <c r="S780" s="4"/>
      <c r="T780" s="4"/>
      <c r="U780" s="4"/>
      <c r="V780" s="4"/>
      <c r="W780" s="4"/>
    </row>
    <row r="781" spans="1:23" s="32" customFormat="1" hidden="1" x14ac:dyDescent="0.3">
      <c r="A781" s="22" t="s">
        <v>20</v>
      </c>
      <c r="B781" s="21">
        <v>46018</v>
      </c>
      <c r="C781" s="22" t="s">
        <v>167</v>
      </c>
      <c r="D781" s="216" t="s">
        <v>65</v>
      </c>
      <c r="E781" s="216" t="s">
        <v>492</v>
      </c>
      <c r="F781" s="243" t="s">
        <v>164</v>
      </c>
      <c r="G781" s="219">
        <v>46011</v>
      </c>
      <c r="H781" s="219">
        <v>46018</v>
      </c>
      <c r="I781" s="219">
        <v>46018</v>
      </c>
      <c r="J781" s="101"/>
      <c r="K781" s="44">
        <v>0.3125</v>
      </c>
      <c r="L781" s="45">
        <v>0.77083333333333337</v>
      </c>
      <c r="M781" s="11">
        <f t="shared" si="12"/>
        <v>11</v>
      </c>
      <c r="N781" s="249" t="s">
        <v>0</v>
      </c>
      <c r="P781" s="4"/>
      <c r="Q781" s="4"/>
      <c r="R781" s="4"/>
      <c r="S781" s="4"/>
      <c r="T781" s="4"/>
      <c r="U781" s="4"/>
      <c r="V781" s="4"/>
      <c r="W781" s="4"/>
    </row>
    <row r="782" spans="1:23" s="32" customFormat="1" hidden="1" x14ac:dyDescent="0.3">
      <c r="A782" s="22" t="s">
        <v>20</v>
      </c>
      <c r="B782" s="21">
        <v>46018</v>
      </c>
      <c r="C782" s="22" t="s">
        <v>31</v>
      </c>
      <c r="D782" s="217"/>
      <c r="E782" s="217"/>
      <c r="F782" s="244"/>
      <c r="G782" s="220"/>
      <c r="H782" s="220"/>
      <c r="I782" s="220"/>
      <c r="J782" s="19"/>
      <c r="K782" s="45">
        <v>0.45833333333333331</v>
      </c>
      <c r="L782" s="45">
        <v>0.5</v>
      </c>
      <c r="M782" s="11">
        <f t="shared" si="12"/>
        <v>1.0000000000000004</v>
      </c>
      <c r="N782" s="249"/>
      <c r="P782" s="4"/>
      <c r="Q782" s="4"/>
      <c r="R782" s="4"/>
      <c r="S782" s="4"/>
      <c r="T782" s="4"/>
      <c r="U782" s="4"/>
      <c r="V782" s="4"/>
      <c r="W782" s="4"/>
    </row>
    <row r="783" spans="1:23" s="32" customFormat="1" hidden="1" x14ac:dyDescent="0.3">
      <c r="A783" s="22" t="s">
        <v>20</v>
      </c>
      <c r="B783" s="21">
        <v>46018</v>
      </c>
      <c r="C783" s="22" t="s">
        <v>15</v>
      </c>
      <c r="D783" s="13" t="s">
        <v>65</v>
      </c>
      <c r="E783" s="24" t="s">
        <v>556</v>
      </c>
      <c r="F783" s="3" t="s">
        <v>413</v>
      </c>
      <c r="G783" s="21">
        <v>46017</v>
      </c>
      <c r="H783" s="21">
        <v>46018</v>
      </c>
      <c r="I783" s="21">
        <v>46018</v>
      </c>
      <c r="J783" s="17"/>
      <c r="K783" s="47">
        <v>0.33333333333333331</v>
      </c>
      <c r="L783" s="47">
        <v>0.79166666666666663</v>
      </c>
      <c r="M783" s="11">
        <f t="shared" si="12"/>
        <v>11</v>
      </c>
      <c r="N783" s="22" t="s">
        <v>0</v>
      </c>
      <c r="P783" s="4"/>
      <c r="Q783" s="4"/>
      <c r="R783" s="4"/>
      <c r="S783" s="4"/>
      <c r="T783" s="4"/>
      <c r="U783" s="4"/>
      <c r="V783" s="4"/>
      <c r="W783" s="4"/>
    </row>
    <row r="784" spans="1:23" s="32" customFormat="1" hidden="1" x14ac:dyDescent="0.3">
      <c r="A784" s="22" t="s">
        <v>20</v>
      </c>
      <c r="B784" s="21">
        <v>46018</v>
      </c>
      <c r="C784" s="22" t="s">
        <v>31</v>
      </c>
      <c r="D784" s="11" t="s">
        <v>27</v>
      </c>
      <c r="E784" s="76" t="s">
        <v>82</v>
      </c>
      <c r="F784" s="3" t="s">
        <v>397</v>
      </c>
      <c r="G784" s="35">
        <v>46018</v>
      </c>
      <c r="H784" s="35">
        <v>46018</v>
      </c>
      <c r="I784" s="35">
        <v>46018</v>
      </c>
      <c r="J784" s="65"/>
      <c r="K784" s="47">
        <v>0.41666666666666669</v>
      </c>
      <c r="L784" s="47">
        <v>0.5</v>
      </c>
      <c r="M784" s="11">
        <f t="shared" si="12"/>
        <v>1.9999999999999996</v>
      </c>
      <c r="N784" s="22" t="s">
        <v>0</v>
      </c>
      <c r="P784" s="4"/>
      <c r="Q784" s="4"/>
      <c r="R784" s="4"/>
      <c r="S784" s="4"/>
      <c r="T784" s="4"/>
      <c r="U784" s="4"/>
      <c r="V784" s="4"/>
      <c r="W784" s="4"/>
    </row>
    <row r="785" spans="1:23" s="32" customFormat="1" hidden="1" x14ac:dyDescent="0.3">
      <c r="A785" s="22" t="s">
        <v>20</v>
      </c>
      <c r="B785" s="21">
        <v>46018</v>
      </c>
      <c r="C785" s="22" t="s">
        <v>17</v>
      </c>
      <c r="D785" s="24" t="s">
        <v>65</v>
      </c>
      <c r="E785" s="22" t="s">
        <v>555</v>
      </c>
      <c r="F785" s="25" t="s">
        <v>469</v>
      </c>
      <c r="G785" s="35">
        <v>46017</v>
      </c>
      <c r="H785" s="35">
        <v>46018</v>
      </c>
      <c r="I785" s="35">
        <v>46018</v>
      </c>
      <c r="J785" s="35"/>
      <c r="K785" s="45">
        <v>0.3125</v>
      </c>
      <c r="L785" s="45">
        <v>0.6875</v>
      </c>
      <c r="M785" s="11">
        <f t="shared" si="12"/>
        <v>9</v>
      </c>
      <c r="N785" s="22" t="s">
        <v>0</v>
      </c>
      <c r="P785" s="4"/>
      <c r="Q785" s="4"/>
      <c r="R785" s="4"/>
      <c r="S785" s="4"/>
      <c r="T785" s="4"/>
      <c r="U785" s="4"/>
      <c r="V785" s="4"/>
      <c r="W785" s="4"/>
    </row>
    <row r="786" spans="1:23" s="32" customFormat="1" hidden="1" x14ac:dyDescent="0.3">
      <c r="A786" s="22" t="s">
        <v>21</v>
      </c>
      <c r="B786" s="21">
        <v>46020</v>
      </c>
      <c r="C786" s="22" t="s">
        <v>26</v>
      </c>
      <c r="D786" s="24" t="s">
        <v>24</v>
      </c>
      <c r="E786" s="22" t="s">
        <v>604</v>
      </c>
      <c r="F786" s="25" t="s">
        <v>605</v>
      </c>
      <c r="G786" s="17">
        <v>46020</v>
      </c>
      <c r="H786" s="17">
        <v>46020</v>
      </c>
      <c r="I786" s="17">
        <v>46020</v>
      </c>
      <c r="J786" s="17"/>
      <c r="K786" s="48">
        <v>0.33333333333333331</v>
      </c>
      <c r="L786" s="48">
        <v>0.70833333333333337</v>
      </c>
      <c r="M786" s="11">
        <f t="shared" si="12"/>
        <v>9.0000000000000018</v>
      </c>
      <c r="N786" s="22" t="s">
        <v>0</v>
      </c>
      <c r="P786" s="4"/>
      <c r="Q786" s="4"/>
      <c r="R786" s="4"/>
      <c r="S786" s="4"/>
      <c r="T786" s="4"/>
      <c r="U786" s="4"/>
      <c r="V786" s="4"/>
      <c r="W786" s="4"/>
    </row>
    <row r="787" spans="1:23" s="32" customFormat="1" hidden="1" x14ac:dyDescent="0.3">
      <c r="A787" s="22" t="s">
        <v>21</v>
      </c>
      <c r="B787" s="21">
        <v>46020</v>
      </c>
      <c r="C787" s="22" t="s">
        <v>51</v>
      </c>
      <c r="D787" s="24" t="s">
        <v>24</v>
      </c>
      <c r="E787" s="22" t="s">
        <v>604</v>
      </c>
      <c r="F787" s="25" t="s">
        <v>605</v>
      </c>
      <c r="G787" s="17">
        <v>46020</v>
      </c>
      <c r="H787" s="17">
        <v>46020</v>
      </c>
      <c r="I787" s="17">
        <v>46020</v>
      </c>
      <c r="J787" s="17"/>
      <c r="K787" s="45">
        <v>0.3125</v>
      </c>
      <c r="L787" s="45">
        <v>0.6875</v>
      </c>
      <c r="M787" s="11">
        <f t="shared" si="12"/>
        <v>9</v>
      </c>
      <c r="N787" s="22" t="s">
        <v>0</v>
      </c>
      <c r="P787" s="4"/>
      <c r="Q787" s="4"/>
      <c r="R787" s="4"/>
      <c r="S787" s="4"/>
      <c r="T787" s="4"/>
      <c r="U787" s="4"/>
      <c r="V787" s="4"/>
      <c r="W787" s="4"/>
    </row>
    <row r="788" spans="1:23" s="32" customFormat="1" hidden="1" x14ac:dyDescent="0.3">
      <c r="A788" s="22" t="s">
        <v>21</v>
      </c>
      <c r="B788" s="21">
        <v>46020</v>
      </c>
      <c r="C788" s="22" t="s">
        <v>50</v>
      </c>
      <c r="D788" s="24" t="s">
        <v>24</v>
      </c>
      <c r="E788" s="22" t="s">
        <v>604</v>
      </c>
      <c r="F788" s="25" t="s">
        <v>605</v>
      </c>
      <c r="G788" s="17">
        <v>46020</v>
      </c>
      <c r="H788" s="17">
        <v>46020</v>
      </c>
      <c r="I788" s="17">
        <v>46020</v>
      </c>
      <c r="J788" s="17"/>
      <c r="K788" s="48">
        <v>0.33333333333333331</v>
      </c>
      <c r="L788" s="48">
        <v>0.70833333333333337</v>
      </c>
      <c r="M788" s="11">
        <f t="shared" si="12"/>
        <v>9.0000000000000018</v>
      </c>
      <c r="N788" s="22" t="s">
        <v>0</v>
      </c>
      <c r="P788" s="4"/>
      <c r="Q788" s="4"/>
      <c r="R788" s="4"/>
      <c r="S788" s="4"/>
      <c r="T788" s="4"/>
      <c r="U788" s="4"/>
      <c r="V788" s="4"/>
      <c r="W788" s="4"/>
    </row>
    <row r="789" spans="1:23" s="32" customFormat="1" hidden="1" x14ac:dyDescent="0.3">
      <c r="A789" s="22" t="s">
        <v>21</v>
      </c>
      <c r="B789" s="21">
        <v>46020</v>
      </c>
      <c r="C789" s="22" t="s">
        <v>274</v>
      </c>
      <c r="D789" s="214" t="s">
        <v>43</v>
      </c>
      <c r="E789" s="214" t="s">
        <v>424</v>
      </c>
      <c r="F789" s="241" t="s">
        <v>590</v>
      </c>
      <c r="G789" s="219">
        <v>46015</v>
      </c>
      <c r="H789" s="219">
        <v>46020</v>
      </c>
      <c r="I789" s="219"/>
      <c r="J789" s="17"/>
      <c r="K789" s="45">
        <v>0.3125</v>
      </c>
      <c r="L789" s="45">
        <v>0.70833333333333337</v>
      </c>
      <c r="M789" s="11">
        <f t="shared" si="12"/>
        <v>9.5</v>
      </c>
      <c r="N789" s="214" t="s">
        <v>1</v>
      </c>
      <c r="P789" s="4"/>
      <c r="Q789" s="4"/>
      <c r="R789" s="4"/>
      <c r="S789" s="4"/>
      <c r="T789" s="4"/>
      <c r="U789" s="4"/>
      <c r="V789" s="4"/>
      <c r="W789" s="4"/>
    </row>
    <row r="790" spans="1:23" s="32" customFormat="1" hidden="1" x14ac:dyDescent="0.3">
      <c r="A790" s="22" t="s">
        <v>21</v>
      </c>
      <c r="B790" s="21">
        <v>46020</v>
      </c>
      <c r="C790" s="22" t="s">
        <v>18</v>
      </c>
      <c r="D790" s="226"/>
      <c r="E790" s="226"/>
      <c r="F790" s="242"/>
      <c r="G790" s="229"/>
      <c r="H790" s="229"/>
      <c r="I790" s="229"/>
      <c r="J790" s="23"/>
      <c r="K790" s="47">
        <v>0.3125</v>
      </c>
      <c r="L790" s="45">
        <v>0.70833333333333337</v>
      </c>
      <c r="M790" s="11">
        <f t="shared" si="12"/>
        <v>9.5</v>
      </c>
      <c r="N790" s="226"/>
      <c r="P790" s="4"/>
      <c r="Q790" s="4"/>
      <c r="R790" s="4"/>
      <c r="S790" s="4"/>
      <c r="T790" s="4"/>
      <c r="U790" s="4"/>
      <c r="V790" s="4"/>
      <c r="W790" s="4"/>
    </row>
    <row r="791" spans="1:23" s="32" customFormat="1" hidden="1" x14ac:dyDescent="0.3">
      <c r="A791" s="22" t="s">
        <v>21</v>
      </c>
      <c r="B791" s="21">
        <v>46020</v>
      </c>
      <c r="C791" s="22" t="s">
        <v>320</v>
      </c>
      <c r="D791" s="24" t="s">
        <v>43</v>
      </c>
      <c r="E791" s="24" t="s">
        <v>592</v>
      </c>
      <c r="F791" s="25" t="s">
        <v>593</v>
      </c>
      <c r="G791" s="17">
        <v>46020</v>
      </c>
      <c r="H791" s="17">
        <v>46020</v>
      </c>
      <c r="I791" s="17">
        <v>46020</v>
      </c>
      <c r="J791" s="17"/>
      <c r="K791" s="45">
        <v>0.3125</v>
      </c>
      <c r="L791" s="45">
        <v>0.5</v>
      </c>
      <c r="M791" s="11">
        <f t="shared" si="12"/>
        <v>4.5</v>
      </c>
      <c r="N791" s="11" t="s">
        <v>0</v>
      </c>
      <c r="P791" s="4"/>
      <c r="Q791" s="4"/>
      <c r="R791" s="4"/>
      <c r="S791" s="4"/>
      <c r="T791" s="4"/>
      <c r="U791" s="4"/>
      <c r="V791" s="4"/>
      <c r="W791" s="4"/>
    </row>
    <row r="792" spans="1:23" s="32" customFormat="1" hidden="1" x14ac:dyDescent="0.3">
      <c r="A792" s="22" t="s">
        <v>21</v>
      </c>
      <c r="B792" s="21">
        <v>46020</v>
      </c>
      <c r="C792" s="22" t="s">
        <v>118</v>
      </c>
      <c r="D792" s="24" t="s">
        <v>54</v>
      </c>
      <c r="E792" s="22" t="s">
        <v>562</v>
      </c>
      <c r="F792" s="22" t="s">
        <v>563</v>
      </c>
      <c r="G792" s="17">
        <v>46020</v>
      </c>
      <c r="H792" s="17">
        <v>46020</v>
      </c>
      <c r="I792" s="17"/>
      <c r="J792" s="17"/>
      <c r="K792" s="45">
        <v>0.33333333333333331</v>
      </c>
      <c r="L792" s="45">
        <v>0.70833333333333337</v>
      </c>
      <c r="M792" s="11">
        <f t="shared" si="12"/>
        <v>9.0000000000000018</v>
      </c>
      <c r="N792" s="22" t="s">
        <v>1</v>
      </c>
      <c r="P792" s="4"/>
      <c r="Q792" s="4"/>
      <c r="R792" s="4"/>
      <c r="S792" s="4"/>
      <c r="T792" s="4"/>
      <c r="U792" s="4"/>
      <c r="V792" s="4"/>
      <c r="W792" s="4"/>
    </row>
    <row r="793" spans="1:23" s="32" customFormat="1" hidden="1" x14ac:dyDescent="0.3">
      <c r="A793" s="22" t="s">
        <v>21</v>
      </c>
      <c r="B793" s="21">
        <v>46020</v>
      </c>
      <c r="C793" s="22" t="s">
        <v>55</v>
      </c>
      <c r="D793" s="14" t="s">
        <v>43</v>
      </c>
      <c r="E793" s="12" t="s">
        <v>564</v>
      </c>
      <c r="F793" s="29" t="s">
        <v>501</v>
      </c>
      <c r="G793" s="17">
        <v>46018</v>
      </c>
      <c r="H793" s="21">
        <v>46020</v>
      </c>
      <c r="I793" s="21"/>
      <c r="J793" s="17"/>
      <c r="K793" s="47">
        <v>0.3125</v>
      </c>
      <c r="L793" s="45">
        <v>0.72916666666666663</v>
      </c>
      <c r="M793" s="11">
        <f t="shared" si="12"/>
        <v>10</v>
      </c>
      <c r="N793" s="22" t="s">
        <v>1</v>
      </c>
      <c r="P793" s="4"/>
      <c r="Q793" s="4"/>
      <c r="R793" s="4"/>
      <c r="S793" s="4"/>
      <c r="T793" s="4"/>
      <c r="U793" s="4"/>
      <c r="V793" s="4"/>
      <c r="W793" s="4"/>
    </row>
    <row r="794" spans="1:23" s="32" customFormat="1" hidden="1" x14ac:dyDescent="0.3">
      <c r="A794" s="22" t="s">
        <v>21</v>
      </c>
      <c r="B794" s="21">
        <v>46020</v>
      </c>
      <c r="C794" s="22" t="s">
        <v>22</v>
      </c>
      <c r="D794" s="24" t="s">
        <v>27</v>
      </c>
      <c r="E794" s="22" t="s">
        <v>591</v>
      </c>
      <c r="F794" s="22" t="s">
        <v>589</v>
      </c>
      <c r="G794" s="17">
        <v>46020</v>
      </c>
      <c r="H794" s="17">
        <v>46020</v>
      </c>
      <c r="I794" s="17">
        <v>46020</v>
      </c>
      <c r="J794" s="17"/>
      <c r="K794" s="45">
        <v>0.3125</v>
      </c>
      <c r="L794" s="45">
        <v>0.5</v>
      </c>
      <c r="M794" s="11">
        <f t="shared" si="12"/>
        <v>4.5</v>
      </c>
      <c r="N794" s="11" t="s">
        <v>0</v>
      </c>
      <c r="P794" s="4"/>
      <c r="Q794" s="4"/>
      <c r="R794" s="4"/>
      <c r="S794" s="4"/>
      <c r="T794" s="4"/>
      <c r="U794" s="4"/>
      <c r="V794" s="4"/>
      <c r="W794" s="4"/>
    </row>
    <row r="795" spans="1:23" s="32" customFormat="1" hidden="1" x14ac:dyDescent="0.3">
      <c r="A795" s="22" t="s">
        <v>21</v>
      </c>
      <c r="B795" s="21">
        <v>46020</v>
      </c>
      <c r="C795" s="22" t="s">
        <v>25</v>
      </c>
      <c r="D795" s="24" t="s">
        <v>43</v>
      </c>
      <c r="E795" s="22" t="s">
        <v>594</v>
      </c>
      <c r="F795" s="22" t="s">
        <v>593</v>
      </c>
      <c r="G795" s="17">
        <v>46020</v>
      </c>
      <c r="H795" s="17">
        <v>46020</v>
      </c>
      <c r="I795" s="17">
        <v>46020</v>
      </c>
      <c r="J795" s="17"/>
      <c r="K795" s="45">
        <v>0.3125</v>
      </c>
      <c r="L795" s="45">
        <v>0.5</v>
      </c>
      <c r="M795" s="11">
        <f t="shared" si="12"/>
        <v>4.5</v>
      </c>
      <c r="N795" s="11" t="s">
        <v>0</v>
      </c>
      <c r="P795" s="4"/>
      <c r="Q795" s="4"/>
      <c r="R795" s="4"/>
      <c r="S795" s="4"/>
      <c r="T795" s="4"/>
      <c r="U795" s="4"/>
      <c r="V795" s="4"/>
      <c r="W795" s="4"/>
    </row>
    <row r="796" spans="1:23" s="32" customFormat="1" hidden="1" x14ac:dyDescent="0.3">
      <c r="A796" s="22" t="s">
        <v>21</v>
      </c>
      <c r="B796" s="21">
        <v>46020</v>
      </c>
      <c r="C796" s="22" t="s">
        <v>25</v>
      </c>
      <c r="D796" s="216" t="s">
        <v>43</v>
      </c>
      <c r="E796" s="214" t="s">
        <v>600</v>
      </c>
      <c r="F796" s="214" t="s">
        <v>601</v>
      </c>
      <c r="G796" s="219">
        <v>46020</v>
      </c>
      <c r="H796" s="219">
        <v>46021</v>
      </c>
      <c r="I796" s="219">
        <v>46021</v>
      </c>
      <c r="J796" s="17"/>
      <c r="K796" s="45">
        <v>0.54166666666666663</v>
      </c>
      <c r="L796" s="45">
        <v>0.6875</v>
      </c>
      <c r="M796" s="11">
        <f t="shared" si="12"/>
        <v>3.5000000000000009</v>
      </c>
      <c r="N796" s="214" t="s">
        <v>0</v>
      </c>
      <c r="P796" s="4"/>
      <c r="Q796" s="4"/>
      <c r="R796" s="4"/>
      <c r="S796" s="4"/>
      <c r="T796" s="4"/>
      <c r="U796" s="4"/>
      <c r="V796" s="4"/>
      <c r="W796" s="4"/>
    </row>
    <row r="797" spans="1:23" s="32" customFormat="1" hidden="1" x14ac:dyDescent="0.3">
      <c r="A797" s="22" t="s">
        <v>21</v>
      </c>
      <c r="B797" s="21">
        <v>46020</v>
      </c>
      <c r="C797" s="22" t="s">
        <v>320</v>
      </c>
      <c r="D797" s="217"/>
      <c r="E797" s="215"/>
      <c r="F797" s="215"/>
      <c r="G797" s="215"/>
      <c r="H797" s="215"/>
      <c r="I797" s="215"/>
      <c r="J797" s="12"/>
      <c r="K797" s="45">
        <v>0.54166666666666663</v>
      </c>
      <c r="L797" s="45">
        <v>0.6875</v>
      </c>
      <c r="M797" s="11">
        <f t="shared" si="12"/>
        <v>3.5000000000000009</v>
      </c>
      <c r="N797" s="215"/>
      <c r="P797" s="4"/>
      <c r="Q797" s="4"/>
      <c r="R797" s="4"/>
      <c r="S797" s="4"/>
      <c r="T797" s="4"/>
      <c r="U797" s="4"/>
      <c r="V797" s="4"/>
      <c r="W797" s="4"/>
    </row>
    <row r="798" spans="1:23" s="32" customFormat="1" hidden="1" x14ac:dyDescent="0.3">
      <c r="A798" s="22" t="s">
        <v>21</v>
      </c>
      <c r="B798" s="21">
        <v>46020</v>
      </c>
      <c r="C798" s="22" t="s">
        <v>22</v>
      </c>
      <c r="D798" s="216" t="s">
        <v>43</v>
      </c>
      <c r="E798" s="216" t="s">
        <v>276</v>
      </c>
      <c r="F798" s="216" t="s">
        <v>38</v>
      </c>
      <c r="G798" s="219">
        <v>46020</v>
      </c>
      <c r="H798" s="219">
        <v>46021</v>
      </c>
      <c r="I798" s="219">
        <v>46021</v>
      </c>
      <c r="J798" s="17"/>
      <c r="K798" s="45">
        <v>0.54166666666666663</v>
      </c>
      <c r="L798" s="45">
        <v>0.72916666666666663</v>
      </c>
      <c r="M798" s="11">
        <f t="shared" si="12"/>
        <v>4.5</v>
      </c>
      <c r="N798" s="214" t="s">
        <v>0</v>
      </c>
      <c r="P798" s="4"/>
      <c r="Q798" s="4"/>
      <c r="R798" s="4"/>
      <c r="S798" s="4"/>
      <c r="T798" s="4"/>
      <c r="U798" s="4"/>
      <c r="V798" s="4"/>
      <c r="W798" s="4"/>
    </row>
    <row r="799" spans="1:23" s="32" customFormat="1" hidden="1" x14ac:dyDescent="0.3">
      <c r="A799" s="22" t="s">
        <v>21</v>
      </c>
      <c r="B799" s="21">
        <v>46020</v>
      </c>
      <c r="C799" s="22" t="s">
        <v>55</v>
      </c>
      <c r="D799" s="217"/>
      <c r="E799" s="217"/>
      <c r="F799" s="217"/>
      <c r="G799" s="215"/>
      <c r="H799" s="215"/>
      <c r="I799" s="215"/>
      <c r="J799" s="12"/>
      <c r="K799" s="45">
        <v>0.54166666666666663</v>
      </c>
      <c r="L799" s="45">
        <v>0.72916666666666663</v>
      </c>
      <c r="M799" s="11">
        <f t="shared" si="12"/>
        <v>4.5</v>
      </c>
      <c r="N799" s="215"/>
      <c r="P799" s="4"/>
      <c r="Q799" s="4"/>
      <c r="R799" s="4"/>
      <c r="S799" s="4"/>
      <c r="T799" s="4"/>
      <c r="U799" s="4"/>
      <c r="V799" s="4"/>
      <c r="W799" s="4"/>
    </row>
    <row r="800" spans="1:23" s="32" customFormat="1" hidden="1" x14ac:dyDescent="0.3">
      <c r="A800" s="22" t="s">
        <v>21</v>
      </c>
      <c r="B800" s="21">
        <v>46020</v>
      </c>
      <c r="C800" s="22" t="s">
        <v>320</v>
      </c>
      <c r="D800" s="14" t="s">
        <v>27</v>
      </c>
      <c r="E800" s="14" t="s">
        <v>602</v>
      </c>
      <c r="F800" s="14" t="s">
        <v>593</v>
      </c>
      <c r="G800" s="17">
        <v>46020</v>
      </c>
      <c r="H800" s="17">
        <v>46020</v>
      </c>
      <c r="I800" s="17"/>
      <c r="J800" s="17"/>
      <c r="K800" s="45">
        <v>0.66666666666666663</v>
      </c>
      <c r="L800" s="45">
        <v>0.77083333333333337</v>
      </c>
      <c r="M800" s="11">
        <f t="shared" si="12"/>
        <v>2.5000000000000018</v>
      </c>
      <c r="N800" s="66" t="s">
        <v>1</v>
      </c>
      <c r="P800" s="4"/>
      <c r="Q800" s="4"/>
      <c r="R800" s="4"/>
      <c r="S800" s="4"/>
      <c r="T800" s="4"/>
      <c r="U800" s="4"/>
      <c r="V800" s="4"/>
      <c r="W800" s="4"/>
    </row>
    <row r="801" spans="1:23" s="32" customFormat="1" hidden="1" x14ac:dyDescent="0.3">
      <c r="A801" s="22" t="s">
        <v>21</v>
      </c>
      <c r="B801" s="21">
        <v>46020</v>
      </c>
      <c r="C801" s="22" t="s">
        <v>25</v>
      </c>
      <c r="D801" s="14" t="s">
        <v>27</v>
      </c>
      <c r="E801" s="14" t="s">
        <v>603</v>
      </c>
      <c r="F801" s="14" t="s">
        <v>593</v>
      </c>
      <c r="G801" s="17">
        <v>46020</v>
      </c>
      <c r="H801" s="17">
        <v>46020</v>
      </c>
      <c r="I801" s="17"/>
      <c r="J801" s="17"/>
      <c r="K801" s="45">
        <v>0.66666666666666663</v>
      </c>
      <c r="L801" s="45">
        <v>0.77083333333333337</v>
      </c>
      <c r="M801" s="11">
        <f t="shared" si="12"/>
        <v>2.5000000000000018</v>
      </c>
      <c r="N801" s="66" t="s">
        <v>1</v>
      </c>
      <c r="P801" s="4"/>
      <c r="Q801" s="4"/>
      <c r="R801" s="4"/>
      <c r="S801" s="4"/>
      <c r="T801" s="4"/>
      <c r="U801" s="4"/>
      <c r="V801" s="4"/>
      <c r="W801" s="4"/>
    </row>
    <row r="802" spans="1:23" s="32" customFormat="1" hidden="1" x14ac:dyDescent="0.3">
      <c r="A802" s="22" t="s">
        <v>19</v>
      </c>
      <c r="B802" s="21">
        <v>46020</v>
      </c>
      <c r="C802" s="22" t="s">
        <v>9</v>
      </c>
      <c r="D802" s="221" t="s">
        <v>8</v>
      </c>
      <c r="E802" s="221" t="s">
        <v>481</v>
      </c>
      <c r="F802" s="221" t="s">
        <v>595</v>
      </c>
      <c r="G802" s="239">
        <v>46014</v>
      </c>
      <c r="H802" s="239">
        <v>46020</v>
      </c>
      <c r="I802" s="239">
        <v>46020</v>
      </c>
      <c r="J802" s="30"/>
      <c r="K802" s="45">
        <v>0.3125</v>
      </c>
      <c r="L802" s="45">
        <v>0.47916666666666669</v>
      </c>
      <c r="M802" s="11">
        <f t="shared" si="12"/>
        <v>4</v>
      </c>
      <c r="N802" s="252" t="s">
        <v>0</v>
      </c>
      <c r="P802" s="4"/>
      <c r="Q802" s="4"/>
      <c r="R802" s="4"/>
      <c r="S802" s="4"/>
      <c r="T802" s="4"/>
      <c r="U802" s="4"/>
      <c r="V802" s="4"/>
      <c r="W802" s="4"/>
    </row>
    <row r="803" spans="1:23" s="32" customFormat="1" hidden="1" x14ac:dyDescent="0.3">
      <c r="A803" s="22" t="s">
        <v>19</v>
      </c>
      <c r="B803" s="21">
        <v>46020</v>
      </c>
      <c r="C803" s="22" t="s">
        <v>208</v>
      </c>
      <c r="D803" s="221"/>
      <c r="E803" s="221"/>
      <c r="F803" s="221"/>
      <c r="G803" s="221"/>
      <c r="H803" s="221"/>
      <c r="I803" s="221"/>
      <c r="J803" s="24"/>
      <c r="K803" s="45">
        <v>0.3125</v>
      </c>
      <c r="L803" s="45">
        <v>0.47916666666666669</v>
      </c>
      <c r="M803" s="11">
        <f t="shared" si="12"/>
        <v>4</v>
      </c>
      <c r="N803" s="252"/>
      <c r="P803" s="4"/>
      <c r="Q803" s="4"/>
      <c r="R803" s="4"/>
      <c r="S803" s="4"/>
      <c r="T803" s="4"/>
      <c r="U803" s="4"/>
      <c r="V803" s="4"/>
      <c r="W803" s="4"/>
    </row>
    <row r="804" spans="1:23" s="32" customFormat="1" hidden="1" x14ac:dyDescent="0.3">
      <c r="A804" s="22" t="s">
        <v>19</v>
      </c>
      <c r="B804" s="21">
        <v>46020</v>
      </c>
      <c r="C804" s="22" t="s">
        <v>9</v>
      </c>
      <c r="D804" s="214" t="s">
        <v>32</v>
      </c>
      <c r="E804" s="214" t="s">
        <v>596</v>
      </c>
      <c r="F804" s="214" t="s">
        <v>597</v>
      </c>
      <c r="G804" s="219">
        <v>46011</v>
      </c>
      <c r="H804" s="219">
        <v>46020</v>
      </c>
      <c r="I804" s="219">
        <v>46020</v>
      </c>
      <c r="J804" s="17"/>
      <c r="K804" s="45">
        <v>0.3125</v>
      </c>
      <c r="L804" s="45">
        <v>0.6875</v>
      </c>
      <c r="M804" s="11">
        <f t="shared" si="12"/>
        <v>9</v>
      </c>
      <c r="N804" s="224" t="s">
        <v>0</v>
      </c>
      <c r="P804" s="4"/>
      <c r="Q804" s="4"/>
      <c r="R804" s="4"/>
      <c r="S804" s="4"/>
      <c r="T804" s="4"/>
      <c r="U804" s="4"/>
      <c r="V804" s="4"/>
      <c r="W804" s="4"/>
    </row>
    <row r="805" spans="1:23" s="32" customFormat="1" hidden="1" x14ac:dyDescent="0.3">
      <c r="A805" s="22" t="s">
        <v>19</v>
      </c>
      <c r="B805" s="21">
        <v>46020</v>
      </c>
      <c r="C805" s="22" t="s">
        <v>7</v>
      </c>
      <c r="D805" s="226"/>
      <c r="E805" s="226"/>
      <c r="F805" s="226"/>
      <c r="G805" s="229"/>
      <c r="H805" s="229"/>
      <c r="I805" s="229"/>
      <c r="J805" s="23"/>
      <c r="K805" s="45">
        <v>0.3125</v>
      </c>
      <c r="L805" s="45">
        <v>0.6875</v>
      </c>
      <c r="M805" s="11">
        <f t="shared" si="12"/>
        <v>9</v>
      </c>
      <c r="N805" s="231"/>
      <c r="P805" s="4"/>
      <c r="Q805" s="4"/>
      <c r="R805" s="4"/>
      <c r="S805" s="4"/>
      <c r="T805" s="4"/>
      <c r="U805" s="4"/>
      <c r="V805" s="4"/>
      <c r="W805" s="4"/>
    </row>
    <row r="806" spans="1:23" s="32" customFormat="1" hidden="1" x14ac:dyDescent="0.3">
      <c r="A806" s="22" t="s">
        <v>19</v>
      </c>
      <c r="B806" s="21">
        <v>46020</v>
      </c>
      <c r="C806" s="22" t="s">
        <v>208</v>
      </c>
      <c r="D806" s="226"/>
      <c r="E806" s="226"/>
      <c r="F806" s="226"/>
      <c r="G806" s="220"/>
      <c r="H806" s="220"/>
      <c r="I806" s="220"/>
      <c r="J806" s="19"/>
      <c r="K806" s="45">
        <v>0.47916666666666669</v>
      </c>
      <c r="L806" s="45">
        <v>0.6875</v>
      </c>
      <c r="M806" s="11">
        <f t="shared" si="12"/>
        <v>5</v>
      </c>
      <c r="N806" s="225"/>
      <c r="P806" s="4"/>
      <c r="Q806" s="4"/>
      <c r="R806" s="4"/>
      <c r="S806" s="4"/>
      <c r="T806" s="4"/>
      <c r="U806" s="4"/>
      <c r="V806" s="4"/>
      <c r="W806" s="4"/>
    </row>
    <row r="807" spans="1:23" s="32" customFormat="1" hidden="1" x14ac:dyDescent="0.3">
      <c r="A807" s="22" t="s">
        <v>20</v>
      </c>
      <c r="B807" s="21">
        <v>46020</v>
      </c>
      <c r="C807" s="69" t="s">
        <v>12</v>
      </c>
      <c r="D807" s="214" t="s">
        <v>44</v>
      </c>
      <c r="E807" s="214" t="s">
        <v>578</v>
      </c>
      <c r="F807" s="214" t="s">
        <v>598</v>
      </c>
      <c r="G807" s="219">
        <v>46018</v>
      </c>
      <c r="H807" s="219">
        <v>46020</v>
      </c>
      <c r="I807" s="219">
        <v>46020</v>
      </c>
      <c r="J807" s="17"/>
      <c r="K807" s="47">
        <v>0.3125</v>
      </c>
      <c r="L807" s="48">
        <v>0.4375</v>
      </c>
      <c r="M807" s="11">
        <f t="shared" si="12"/>
        <v>3</v>
      </c>
      <c r="N807" s="249" t="s">
        <v>0</v>
      </c>
      <c r="P807" s="4"/>
      <c r="Q807" s="4"/>
      <c r="R807" s="4"/>
      <c r="S807" s="4"/>
      <c r="T807" s="4"/>
      <c r="U807" s="4"/>
      <c r="V807" s="4"/>
      <c r="W807" s="4"/>
    </row>
    <row r="808" spans="1:23" s="32" customFormat="1" hidden="1" x14ac:dyDescent="0.3">
      <c r="A808" s="22" t="s">
        <v>20</v>
      </c>
      <c r="B808" s="21">
        <v>46020</v>
      </c>
      <c r="C808" s="69" t="s">
        <v>33</v>
      </c>
      <c r="D808" s="215"/>
      <c r="E808" s="215"/>
      <c r="F808" s="215"/>
      <c r="G808" s="220"/>
      <c r="H808" s="220"/>
      <c r="I808" s="220"/>
      <c r="J808" s="23"/>
      <c r="K808" s="47">
        <v>0.3125</v>
      </c>
      <c r="L808" s="48">
        <v>0.4375</v>
      </c>
      <c r="M808" s="11">
        <f t="shared" si="12"/>
        <v>3</v>
      </c>
      <c r="N808" s="249"/>
      <c r="P808" s="4"/>
      <c r="Q808" s="4"/>
      <c r="R808" s="4"/>
      <c r="S808" s="4"/>
      <c r="T808" s="4"/>
      <c r="U808" s="4"/>
      <c r="V808" s="4"/>
      <c r="W808" s="4"/>
    </row>
    <row r="809" spans="1:23" s="32" customFormat="1" hidden="1" x14ac:dyDescent="0.3">
      <c r="A809" s="22" t="s">
        <v>20</v>
      </c>
      <c r="B809" s="21">
        <v>46020</v>
      </c>
      <c r="C809" s="69" t="s">
        <v>444</v>
      </c>
      <c r="D809" s="233" t="s">
        <v>44</v>
      </c>
      <c r="E809" s="214" t="s">
        <v>510</v>
      </c>
      <c r="F809" s="241" t="s">
        <v>599</v>
      </c>
      <c r="G809" s="219">
        <v>46018</v>
      </c>
      <c r="H809" s="223">
        <v>46021</v>
      </c>
      <c r="I809" s="219">
        <v>46020</v>
      </c>
      <c r="J809" s="17"/>
      <c r="K809" s="45">
        <v>0.33333333333333331</v>
      </c>
      <c r="L809" s="48">
        <v>0.70833333333333337</v>
      </c>
      <c r="M809" s="11">
        <f t="shared" si="12"/>
        <v>9.0000000000000018</v>
      </c>
      <c r="N809" s="231" t="s">
        <v>0</v>
      </c>
      <c r="P809" s="4"/>
      <c r="Q809" s="4"/>
      <c r="R809" s="4"/>
      <c r="S809" s="4"/>
      <c r="T809" s="4"/>
      <c r="U809" s="4"/>
      <c r="V809" s="4"/>
      <c r="W809" s="4"/>
    </row>
    <row r="810" spans="1:23" s="32" customFormat="1" hidden="1" x14ac:dyDescent="0.3">
      <c r="A810" s="22" t="s">
        <v>20</v>
      </c>
      <c r="B810" s="21">
        <v>46020</v>
      </c>
      <c r="C810" s="69" t="s">
        <v>421</v>
      </c>
      <c r="D810" s="233"/>
      <c r="E810" s="215"/>
      <c r="F810" s="248"/>
      <c r="G810" s="220"/>
      <c r="H810" s="223"/>
      <c r="I810" s="220"/>
      <c r="J810" s="19"/>
      <c r="K810" s="45">
        <v>0.33333333333333331</v>
      </c>
      <c r="L810" s="48">
        <v>0.70833333333333337</v>
      </c>
      <c r="M810" s="11">
        <f t="shared" si="12"/>
        <v>9.0000000000000018</v>
      </c>
      <c r="N810" s="225"/>
      <c r="P810" s="4"/>
      <c r="Q810" s="4"/>
      <c r="R810" s="4"/>
      <c r="S810" s="4"/>
      <c r="T810" s="4"/>
      <c r="U810" s="4"/>
      <c r="V810" s="4"/>
      <c r="W810" s="4"/>
    </row>
    <row r="811" spans="1:23" s="32" customFormat="1" hidden="1" x14ac:dyDescent="0.3">
      <c r="A811" s="22" t="s">
        <v>20</v>
      </c>
      <c r="B811" s="21">
        <v>46020</v>
      </c>
      <c r="C811" s="22" t="s">
        <v>28</v>
      </c>
      <c r="D811" s="13" t="s">
        <v>65</v>
      </c>
      <c r="E811" s="13" t="s">
        <v>278</v>
      </c>
      <c r="F811" s="26" t="s">
        <v>580</v>
      </c>
      <c r="G811" s="17">
        <v>46018</v>
      </c>
      <c r="H811" s="17">
        <v>46018</v>
      </c>
      <c r="I811" s="17"/>
      <c r="J811" s="17"/>
      <c r="K811" s="45">
        <v>0.33333333333333331</v>
      </c>
      <c r="L811" s="48">
        <v>0.79166666666666663</v>
      </c>
      <c r="M811" s="11">
        <f t="shared" si="12"/>
        <v>11</v>
      </c>
      <c r="N811" s="22" t="s">
        <v>0</v>
      </c>
      <c r="P811" s="4"/>
      <c r="Q811" s="4"/>
      <c r="R811" s="4"/>
      <c r="S811" s="4"/>
      <c r="T811" s="4"/>
      <c r="U811" s="4"/>
      <c r="V811" s="4"/>
      <c r="W811" s="4"/>
    </row>
    <row r="812" spans="1:23" s="32" customFormat="1" hidden="1" x14ac:dyDescent="0.3">
      <c r="A812" s="22" t="s">
        <v>20</v>
      </c>
      <c r="B812" s="21">
        <v>46020</v>
      </c>
      <c r="C812" s="22" t="s">
        <v>47</v>
      </c>
      <c r="D812" s="216" t="s">
        <v>65</v>
      </c>
      <c r="E812" s="216" t="s">
        <v>451</v>
      </c>
      <c r="F812" s="243" t="s">
        <v>581</v>
      </c>
      <c r="G812" s="219">
        <v>46018</v>
      </c>
      <c r="H812" s="219">
        <v>46018</v>
      </c>
      <c r="I812" s="219"/>
      <c r="J812" s="101"/>
      <c r="K812" s="44">
        <v>0.33333333333333331</v>
      </c>
      <c r="L812" s="45">
        <v>0.41666666666666669</v>
      </c>
      <c r="M812" s="11">
        <f t="shared" si="12"/>
        <v>2.0000000000000009</v>
      </c>
      <c r="N812" s="230" t="s">
        <v>1</v>
      </c>
      <c r="P812" s="4"/>
      <c r="Q812" s="4"/>
      <c r="R812" s="4"/>
      <c r="S812" s="4"/>
      <c r="T812" s="4"/>
      <c r="U812" s="4"/>
      <c r="V812" s="4"/>
      <c r="W812" s="4"/>
    </row>
    <row r="813" spans="1:23" s="32" customFormat="1" hidden="1" x14ac:dyDescent="0.3">
      <c r="A813" s="22" t="s">
        <v>20</v>
      </c>
      <c r="B813" s="21">
        <v>46020</v>
      </c>
      <c r="C813" s="22" t="s">
        <v>31</v>
      </c>
      <c r="D813" s="217"/>
      <c r="E813" s="217"/>
      <c r="F813" s="244"/>
      <c r="G813" s="220"/>
      <c r="H813" s="220"/>
      <c r="I813" s="220"/>
      <c r="J813" s="19"/>
      <c r="K813" s="45">
        <v>0.4375</v>
      </c>
      <c r="L813" s="45">
        <v>0.45833333333333331</v>
      </c>
      <c r="M813" s="11">
        <f t="shared" si="12"/>
        <v>0.49999999999999956</v>
      </c>
      <c r="N813" s="228"/>
      <c r="P813" s="4"/>
      <c r="Q813" s="4"/>
      <c r="R813" s="4"/>
      <c r="S813" s="4"/>
      <c r="T813" s="4"/>
      <c r="U813" s="4"/>
      <c r="V813" s="4"/>
      <c r="W813" s="4"/>
    </row>
    <row r="814" spans="1:23" s="32" customFormat="1" hidden="1" x14ac:dyDescent="0.3">
      <c r="A814" s="22" t="s">
        <v>20</v>
      </c>
      <c r="B814" s="21">
        <v>46020</v>
      </c>
      <c r="C814" s="22" t="s">
        <v>47</v>
      </c>
      <c r="D814" s="20" t="s">
        <v>65</v>
      </c>
      <c r="E814" s="20" t="s">
        <v>582</v>
      </c>
      <c r="F814" s="3" t="s">
        <v>581</v>
      </c>
      <c r="G814" s="17">
        <v>46018</v>
      </c>
      <c r="H814" s="17">
        <v>46018</v>
      </c>
      <c r="I814" s="23"/>
      <c r="J814" s="23"/>
      <c r="K814" s="45">
        <v>0.41666666666666669</v>
      </c>
      <c r="L814" s="45">
        <v>0.5</v>
      </c>
      <c r="M814" s="11">
        <f t="shared" si="12"/>
        <v>1.9999999999999996</v>
      </c>
      <c r="N814" s="67" t="s">
        <v>1</v>
      </c>
      <c r="P814" s="4"/>
      <c r="Q814" s="4"/>
      <c r="R814" s="4"/>
      <c r="S814" s="4"/>
      <c r="T814" s="4"/>
      <c r="U814" s="4"/>
      <c r="V814" s="4"/>
      <c r="W814" s="4"/>
    </row>
    <row r="815" spans="1:23" s="32" customFormat="1" hidden="1" x14ac:dyDescent="0.3">
      <c r="A815" s="22" t="s">
        <v>20</v>
      </c>
      <c r="B815" s="21">
        <v>46020</v>
      </c>
      <c r="C815" s="22" t="s">
        <v>47</v>
      </c>
      <c r="D815" s="20" t="s">
        <v>65</v>
      </c>
      <c r="E815" s="20" t="s">
        <v>583</v>
      </c>
      <c r="F815" s="3" t="s">
        <v>584</v>
      </c>
      <c r="G815" s="17">
        <v>46018</v>
      </c>
      <c r="H815" s="17">
        <v>46018</v>
      </c>
      <c r="I815" s="23"/>
      <c r="J815" s="103"/>
      <c r="K815" s="44">
        <v>0.54166666666666663</v>
      </c>
      <c r="L815" s="45">
        <v>0.79166666666666663</v>
      </c>
      <c r="M815" s="11">
        <f t="shared" si="12"/>
        <v>6</v>
      </c>
      <c r="N815" s="67" t="s">
        <v>1</v>
      </c>
      <c r="P815" s="4"/>
      <c r="Q815" s="4"/>
      <c r="R815" s="4"/>
      <c r="S815" s="4"/>
      <c r="T815" s="4"/>
      <c r="U815" s="4"/>
      <c r="V815" s="4"/>
      <c r="W815" s="4"/>
    </row>
    <row r="816" spans="1:23" s="32" customFormat="1" hidden="1" x14ac:dyDescent="0.3">
      <c r="A816" s="22" t="s">
        <v>20</v>
      </c>
      <c r="B816" s="21">
        <v>46020</v>
      </c>
      <c r="C816" s="22" t="s">
        <v>167</v>
      </c>
      <c r="D816" s="216" t="s">
        <v>65</v>
      </c>
      <c r="E816" s="216" t="s">
        <v>492</v>
      </c>
      <c r="F816" s="243" t="s">
        <v>164</v>
      </c>
      <c r="G816" s="219">
        <v>46011</v>
      </c>
      <c r="H816" s="219">
        <v>46018</v>
      </c>
      <c r="I816" s="219"/>
      <c r="J816" s="101"/>
      <c r="K816" s="44">
        <v>0.3125</v>
      </c>
      <c r="L816" s="45">
        <v>0.77083333333333337</v>
      </c>
      <c r="M816" s="11">
        <f t="shared" si="12"/>
        <v>11</v>
      </c>
      <c r="N816" s="254" t="s">
        <v>1</v>
      </c>
      <c r="P816" s="4"/>
      <c r="Q816" s="4"/>
      <c r="R816" s="4"/>
      <c r="S816" s="4"/>
      <c r="T816" s="4"/>
      <c r="U816" s="4"/>
      <c r="V816" s="4"/>
      <c r="W816" s="4"/>
    </row>
    <row r="817" spans="1:23" s="32" customFormat="1" hidden="1" x14ac:dyDescent="0.3">
      <c r="A817" s="22" t="s">
        <v>20</v>
      </c>
      <c r="B817" s="21">
        <v>46020</v>
      </c>
      <c r="C817" s="22" t="s">
        <v>31</v>
      </c>
      <c r="D817" s="217"/>
      <c r="E817" s="217"/>
      <c r="F817" s="244"/>
      <c r="G817" s="220"/>
      <c r="H817" s="220"/>
      <c r="I817" s="220"/>
      <c r="J817" s="19"/>
      <c r="K817" s="45">
        <v>0.45833333333333331</v>
      </c>
      <c r="L817" s="45">
        <v>0.5</v>
      </c>
      <c r="M817" s="11">
        <f t="shared" si="12"/>
        <v>1.0000000000000004</v>
      </c>
      <c r="N817" s="254"/>
      <c r="P817" s="4"/>
      <c r="Q817" s="4"/>
      <c r="R817" s="4"/>
      <c r="S817" s="4"/>
      <c r="T817" s="4"/>
      <c r="U817" s="4"/>
      <c r="V817" s="4"/>
      <c r="W817" s="4"/>
    </row>
    <row r="818" spans="1:23" s="32" customFormat="1" hidden="1" x14ac:dyDescent="0.3">
      <c r="A818" s="22" t="s">
        <v>20</v>
      </c>
      <c r="B818" s="21">
        <v>46020</v>
      </c>
      <c r="C818" s="22" t="s">
        <v>15</v>
      </c>
      <c r="D818" s="13" t="s">
        <v>65</v>
      </c>
      <c r="E818" s="24" t="s">
        <v>556</v>
      </c>
      <c r="F818" s="3" t="s">
        <v>413</v>
      </c>
      <c r="G818" s="21">
        <v>46017</v>
      </c>
      <c r="H818" s="21">
        <v>46018</v>
      </c>
      <c r="I818" s="21"/>
      <c r="J818" s="17"/>
      <c r="K818" s="47">
        <v>0.33333333333333331</v>
      </c>
      <c r="L818" s="47">
        <v>0.79166666666666663</v>
      </c>
      <c r="M818" s="11">
        <f t="shared" si="12"/>
        <v>11</v>
      </c>
      <c r="N818" s="22" t="s">
        <v>1</v>
      </c>
      <c r="P818" s="4"/>
      <c r="Q818" s="4"/>
      <c r="R818" s="4"/>
      <c r="S818" s="4"/>
      <c r="T818" s="4"/>
      <c r="U818" s="4"/>
      <c r="V818" s="4"/>
      <c r="W818" s="4"/>
    </row>
    <row r="819" spans="1:23" s="32" customFormat="1" hidden="1" x14ac:dyDescent="0.3">
      <c r="A819" s="22" t="s">
        <v>20</v>
      </c>
      <c r="B819" s="21">
        <v>46020</v>
      </c>
      <c r="C819" s="22" t="s">
        <v>31</v>
      </c>
      <c r="D819" s="11" t="s">
        <v>27</v>
      </c>
      <c r="E819" s="76" t="s">
        <v>82</v>
      </c>
      <c r="F819" s="3" t="s">
        <v>397</v>
      </c>
      <c r="G819" s="35">
        <v>46018</v>
      </c>
      <c r="H819" s="35">
        <v>46018</v>
      </c>
      <c r="I819" s="21"/>
      <c r="J819" s="17"/>
      <c r="K819" s="47">
        <v>0.41666666666666669</v>
      </c>
      <c r="L819" s="47">
        <v>0.5</v>
      </c>
      <c r="M819" s="11">
        <f t="shared" si="12"/>
        <v>1.9999999999999996</v>
      </c>
      <c r="N819" s="22" t="s">
        <v>1</v>
      </c>
      <c r="P819" s="4"/>
      <c r="Q819" s="4"/>
      <c r="R819" s="4"/>
      <c r="S819" s="4"/>
      <c r="T819" s="4"/>
      <c r="U819" s="4"/>
      <c r="V819" s="4"/>
      <c r="W819" s="4"/>
    </row>
    <row r="820" spans="1:23" s="32" customFormat="1" hidden="1" x14ac:dyDescent="0.3">
      <c r="A820" s="22" t="s">
        <v>20</v>
      </c>
      <c r="B820" s="21">
        <v>46020</v>
      </c>
      <c r="C820" s="22" t="s">
        <v>17</v>
      </c>
      <c r="D820" s="24" t="s">
        <v>65</v>
      </c>
      <c r="E820" s="22" t="s">
        <v>555</v>
      </c>
      <c r="F820" s="25" t="s">
        <v>469</v>
      </c>
      <c r="G820" s="35">
        <v>46017</v>
      </c>
      <c r="H820" s="35">
        <v>46018</v>
      </c>
      <c r="I820" s="30"/>
      <c r="J820" s="30"/>
      <c r="K820" s="45">
        <v>0.3125</v>
      </c>
      <c r="L820" s="45">
        <v>0.6875</v>
      </c>
      <c r="M820" s="11">
        <f t="shared" si="12"/>
        <v>9</v>
      </c>
      <c r="N820" s="22" t="s">
        <v>1</v>
      </c>
      <c r="P820" s="4"/>
      <c r="Q820" s="4"/>
      <c r="R820" s="4"/>
      <c r="S820" s="4"/>
      <c r="T820" s="4"/>
      <c r="U820" s="4"/>
      <c r="V820" s="4"/>
      <c r="W820" s="4"/>
    </row>
    <row r="821" spans="1:23" s="32" customFormat="1" hidden="1" x14ac:dyDescent="0.3">
      <c r="A821" s="22" t="s">
        <v>21</v>
      </c>
      <c r="B821" s="21">
        <v>46021</v>
      </c>
      <c r="C821" s="22" t="s">
        <v>26</v>
      </c>
      <c r="D821" s="24" t="s">
        <v>24</v>
      </c>
      <c r="E821" s="22" t="s">
        <v>604</v>
      </c>
      <c r="F821" s="25" t="s">
        <v>605</v>
      </c>
      <c r="G821" s="17">
        <v>46020</v>
      </c>
      <c r="H821" s="17">
        <v>46020</v>
      </c>
      <c r="I821" s="17"/>
      <c r="J821" s="17"/>
      <c r="K821" s="47">
        <v>0.25</v>
      </c>
      <c r="L821" s="48">
        <v>0.41666666666666669</v>
      </c>
      <c r="M821" s="11">
        <f t="shared" si="12"/>
        <v>4</v>
      </c>
      <c r="N821" s="22" t="s">
        <v>0</v>
      </c>
      <c r="P821" s="4"/>
      <c r="Q821" s="4"/>
      <c r="R821" s="4"/>
      <c r="S821" s="4"/>
      <c r="T821" s="4"/>
      <c r="U821" s="4"/>
      <c r="V821" s="4"/>
      <c r="W821" s="4"/>
    </row>
    <row r="822" spans="1:23" s="32" customFormat="1" hidden="1" x14ac:dyDescent="0.3">
      <c r="A822" s="22" t="s">
        <v>21</v>
      </c>
      <c r="B822" s="21">
        <v>46021</v>
      </c>
      <c r="C822" s="22" t="s">
        <v>51</v>
      </c>
      <c r="D822" s="24" t="s">
        <v>24</v>
      </c>
      <c r="E822" s="22" t="s">
        <v>604</v>
      </c>
      <c r="F822" s="25" t="s">
        <v>605</v>
      </c>
      <c r="G822" s="17">
        <v>46020</v>
      </c>
      <c r="H822" s="17">
        <v>46020</v>
      </c>
      <c r="I822" s="17"/>
      <c r="J822" s="17"/>
      <c r="K822" s="47">
        <v>0.25</v>
      </c>
      <c r="L822" s="48">
        <v>0.41666666666666669</v>
      </c>
      <c r="M822" s="11">
        <f t="shared" si="12"/>
        <v>4</v>
      </c>
      <c r="N822" s="22" t="s">
        <v>0</v>
      </c>
      <c r="P822" s="4"/>
      <c r="Q822" s="4"/>
      <c r="R822" s="4"/>
      <c r="S822" s="4"/>
      <c r="T822" s="4"/>
      <c r="U822" s="4"/>
      <c r="V822" s="4"/>
      <c r="W822" s="4"/>
    </row>
    <row r="823" spans="1:23" s="32" customFormat="1" hidden="1" x14ac:dyDescent="0.3">
      <c r="A823" s="22" t="s">
        <v>21</v>
      </c>
      <c r="B823" s="21">
        <v>46021</v>
      </c>
      <c r="C823" s="22" t="s">
        <v>50</v>
      </c>
      <c r="D823" s="24" t="s">
        <v>24</v>
      </c>
      <c r="E823" s="22" t="s">
        <v>604</v>
      </c>
      <c r="F823" s="25" t="s">
        <v>605</v>
      </c>
      <c r="G823" s="17">
        <v>46020</v>
      </c>
      <c r="H823" s="17">
        <v>46020</v>
      </c>
      <c r="I823" s="17"/>
      <c r="J823" s="17"/>
      <c r="K823" s="47">
        <v>0.25</v>
      </c>
      <c r="L823" s="48">
        <v>0.41666666666666669</v>
      </c>
      <c r="M823" s="11">
        <f t="shared" si="12"/>
        <v>4</v>
      </c>
      <c r="N823" s="22" t="s">
        <v>0</v>
      </c>
      <c r="P823" s="4"/>
      <c r="Q823" s="4"/>
      <c r="R823" s="4"/>
      <c r="S823" s="4"/>
      <c r="T823" s="4"/>
      <c r="U823" s="4"/>
      <c r="V823" s="4"/>
      <c r="W823" s="4"/>
    </row>
    <row r="824" spans="1:23" s="32" customFormat="1" hidden="1" x14ac:dyDescent="0.3">
      <c r="A824" s="22" t="s">
        <v>21</v>
      </c>
      <c r="B824" s="21">
        <v>46021</v>
      </c>
      <c r="C824" s="22" t="s">
        <v>274</v>
      </c>
      <c r="D824" s="214" t="s">
        <v>43</v>
      </c>
      <c r="E824" s="214" t="s">
        <v>424</v>
      </c>
      <c r="F824" s="241" t="s">
        <v>590</v>
      </c>
      <c r="G824" s="219">
        <v>46015</v>
      </c>
      <c r="H824" s="219">
        <v>46021</v>
      </c>
      <c r="I824" s="219"/>
      <c r="J824" s="17"/>
      <c r="K824" s="47">
        <v>0.25</v>
      </c>
      <c r="L824" s="48">
        <v>0.41666666666666669</v>
      </c>
      <c r="M824" s="11">
        <f t="shared" si="12"/>
        <v>4</v>
      </c>
      <c r="N824" s="214" t="s">
        <v>0</v>
      </c>
      <c r="P824" s="4"/>
      <c r="Q824" s="4"/>
      <c r="R824" s="4"/>
      <c r="S824" s="4"/>
      <c r="T824" s="4"/>
      <c r="U824" s="4"/>
      <c r="V824" s="4"/>
      <c r="W824" s="4"/>
    </row>
    <row r="825" spans="1:23" s="32" customFormat="1" hidden="1" x14ac:dyDescent="0.3">
      <c r="A825" s="22" t="s">
        <v>21</v>
      </c>
      <c r="B825" s="21">
        <v>46021</v>
      </c>
      <c r="C825" s="22" t="s">
        <v>18</v>
      </c>
      <c r="D825" s="226"/>
      <c r="E825" s="226"/>
      <c r="F825" s="242"/>
      <c r="G825" s="229"/>
      <c r="H825" s="229"/>
      <c r="I825" s="229"/>
      <c r="J825" s="23"/>
      <c r="K825" s="47">
        <v>0.25</v>
      </c>
      <c r="L825" s="48">
        <v>0.41666666666666669</v>
      </c>
      <c r="M825" s="11">
        <f t="shared" si="12"/>
        <v>4</v>
      </c>
      <c r="N825" s="226"/>
      <c r="P825" s="4"/>
      <c r="Q825" s="4"/>
      <c r="R825" s="4"/>
      <c r="S825" s="4"/>
      <c r="T825" s="4"/>
      <c r="U825" s="4"/>
      <c r="V825" s="4"/>
      <c r="W825" s="4"/>
    </row>
    <row r="826" spans="1:23" s="32" customFormat="1" hidden="1" x14ac:dyDescent="0.3">
      <c r="A826" s="22" t="s">
        <v>21</v>
      </c>
      <c r="B826" s="21">
        <v>46021</v>
      </c>
      <c r="C826" s="22" t="s">
        <v>320</v>
      </c>
      <c r="D826" s="24" t="s">
        <v>27</v>
      </c>
      <c r="E826" s="24" t="s">
        <v>618</v>
      </c>
      <c r="F826" s="25" t="s">
        <v>263</v>
      </c>
      <c r="G826" s="17">
        <v>46020</v>
      </c>
      <c r="H826" s="17">
        <v>46021</v>
      </c>
      <c r="I826" s="17"/>
      <c r="J826" s="17"/>
      <c r="K826" s="47">
        <v>0.25</v>
      </c>
      <c r="L826" s="48">
        <v>0.41666666666666669</v>
      </c>
      <c r="M826" s="11">
        <f t="shared" si="12"/>
        <v>4</v>
      </c>
      <c r="N826" s="11" t="s">
        <v>0</v>
      </c>
      <c r="P826" s="4"/>
      <c r="Q826" s="4"/>
      <c r="R826" s="4"/>
      <c r="S826" s="4"/>
      <c r="T826" s="4"/>
      <c r="U826" s="4"/>
      <c r="V826" s="4"/>
      <c r="W826" s="4"/>
    </row>
    <row r="827" spans="1:23" s="32" customFormat="1" hidden="1" x14ac:dyDescent="0.3">
      <c r="A827" s="22" t="s">
        <v>21</v>
      </c>
      <c r="B827" s="21">
        <v>46021</v>
      </c>
      <c r="C827" s="22" t="s">
        <v>118</v>
      </c>
      <c r="D827" s="24" t="s">
        <v>54</v>
      </c>
      <c r="E827" s="22" t="s">
        <v>562</v>
      </c>
      <c r="F827" s="22" t="s">
        <v>617</v>
      </c>
      <c r="G827" s="17">
        <v>46020</v>
      </c>
      <c r="H827" s="17">
        <v>46021</v>
      </c>
      <c r="I827" s="17"/>
      <c r="J827" s="17"/>
      <c r="K827" s="47">
        <v>0.25</v>
      </c>
      <c r="L827" s="48">
        <v>0.41666666666666669</v>
      </c>
      <c r="M827" s="11">
        <f t="shared" si="12"/>
        <v>4</v>
      </c>
      <c r="N827" s="22" t="s">
        <v>0</v>
      </c>
      <c r="P827" s="4"/>
      <c r="Q827" s="4"/>
      <c r="R827" s="4"/>
      <c r="S827" s="4"/>
      <c r="T827" s="4"/>
      <c r="U827" s="4"/>
      <c r="V827" s="4"/>
      <c r="W827" s="4"/>
    </row>
    <row r="828" spans="1:23" s="32" customFormat="1" hidden="1" x14ac:dyDescent="0.3">
      <c r="A828" s="22" t="s">
        <v>21</v>
      </c>
      <c r="B828" s="21">
        <v>46021</v>
      </c>
      <c r="C828" s="22" t="s">
        <v>55</v>
      </c>
      <c r="D828" s="216" t="s">
        <v>43</v>
      </c>
      <c r="E828" s="214" t="s">
        <v>276</v>
      </c>
      <c r="F828" s="241" t="s">
        <v>38</v>
      </c>
      <c r="G828" s="219">
        <v>46020</v>
      </c>
      <c r="H828" s="219">
        <v>46021</v>
      </c>
      <c r="I828" s="21"/>
      <c r="J828" s="17"/>
      <c r="K828" s="47">
        <v>0.25</v>
      </c>
      <c r="L828" s="48">
        <v>0.41666666666666669</v>
      </c>
      <c r="M828" s="11">
        <f t="shared" si="12"/>
        <v>4</v>
      </c>
      <c r="N828" s="214" t="s">
        <v>0</v>
      </c>
      <c r="P828" s="4"/>
      <c r="Q828" s="4"/>
      <c r="R828" s="4"/>
      <c r="S828" s="4"/>
      <c r="T828" s="4"/>
      <c r="U828" s="4"/>
      <c r="V828" s="4"/>
      <c r="W828" s="4"/>
    </row>
    <row r="829" spans="1:23" s="32" customFormat="1" hidden="1" x14ac:dyDescent="0.3">
      <c r="A829" s="22" t="s">
        <v>21</v>
      </c>
      <c r="B829" s="21">
        <v>46021</v>
      </c>
      <c r="C829" s="22" t="s">
        <v>22</v>
      </c>
      <c r="D829" s="217"/>
      <c r="E829" s="215"/>
      <c r="F829" s="248"/>
      <c r="G829" s="220"/>
      <c r="H829" s="220"/>
      <c r="I829" s="17"/>
      <c r="J829" s="17"/>
      <c r="K829" s="47">
        <v>0.25</v>
      </c>
      <c r="L829" s="48">
        <v>0.41666666666666669</v>
      </c>
      <c r="M829" s="11">
        <f t="shared" si="12"/>
        <v>4</v>
      </c>
      <c r="N829" s="215"/>
      <c r="P829" s="4"/>
      <c r="Q829" s="4"/>
      <c r="R829" s="4"/>
      <c r="S829" s="4"/>
      <c r="T829" s="4"/>
      <c r="U829" s="4"/>
      <c r="V829" s="4"/>
      <c r="W829" s="4"/>
    </row>
    <row r="830" spans="1:23" s="32" customFormat="1" hidden="1" x14ac:dyDescent="0.3">
      <c r="A830" s="22" t="s">
        <v>21</v>
      </c>
      <c r="B830" s="21">
        <v>46021</v>
      </c>
      <c r="C830" s="22" t="s">
        <v>25</v>
      </c>
      <c r="D830" s="24" t="s">
        <v>27</v>
      </c>
      <c r="E830" s="24" t="s">
        <v>618</v>
      </c>
      <c r="F830" s="25" t="s">
        <v>263</v>
      </c>
      <c r="G830" s="17">
        <v>46020</v>
      </c>
      <c r="H830" s="17">
        <v>46021</v>
      </c>
      <c r="I830" s="17"/>
      <c r="J830" s="17"/>
      <c r="K830" s="47">
        <v>0.25</v>
      </c>
      <c r="L830" s="48">
        <v>0.41666666666666669</v>
      </c>
      <c r="M830" s="11">
        <f t="shared" si="12"/>
        <v>4</v>
      </c>
      <c r="N830" s="11" t="s">
        <v>0</v>
      </c>
      <c r="P830" s="4"/>
      <c r="Q830" s="4"/>
      <c r="R830" s="4"/>
      <c r="S830" s="4"/>
      <c r="T830" s="4"/>
      <c r="U830" s="4"/>
      <c r="V830" s="4"/>
      <c r="W830" s="4"/>
    </row>
    <row r="831" spans="1:23" s="32" customFormat="1" hidden="1" x14ac:dyDescent="0.3">
      <c r="A831" s="22" t="s">
        <v>19</v>
      </c>
      <c r="B831" s="21">
        <v>46021</v>
      </c>
      <c r="C831" s="22" t="s">
        <v>9</v>
      </c>
      <c r="D831" s="214" t="s">
        <v>32</v>
      </c>
      <c r="E831" s="214" t="s">
        <v>616</v>
      </c>
      <c r="F831" s="214" t="s">
        <v>597</v>
      </c>
      <c r="G831" s="219">
        <v>46011</v>
      </c>
      <c r="H831" s="219">
        <v>46021</v>
      </c>
      <c r="I831" s="219"/>
      <c r="J831" s="17"/>
      <c r="K831" s="47">
        <v>0.25</v>
      </c>
      <c r="L831" s="48">
        <v>0.41666666666666669</v>
      </c>
      <c r="M831" s="11">
        <f t="shared" si="12"/>
        <v>4</v>
      </c>
      <c r="N831" s="224" t="s">
        <v>0</v>
      </c>
      <c r="P831" s="4"/>
      <c r="Q831" s="4"/>
      <c r="R831" s="4"/>
      <c r="S831" s="4"/>
      <c r="T831" s="4"/>
      <c r="U831" s="4"/>
      <c r="V831" s="4"/>
      <c r="W831" s="4"/>
    </row>
    <row r="832" spans="1:23" s="32" customFormat="1" hidden="1" x14ac:dyDescent="0.3">
      <c r="A832" s="22" t="s">
        <v>19</v>
      </c>
      <c r="B832" s="21">
        <v>46021</v>
      </c>
      <c r="C832" s="22" t="s">
        <v>7</v>
      </c>
      <c r="D832" s="226"/>
      <c r="E832" s="226"/>
      <c r="F832" s="226"/>
      <c r="G832" s="229"/>
      <c r="H832" s="229"/>
      <c r="I832" s="229"/>
      <c r="J832" s="23"/>
      <c r="K832" s="47">
        <v>0.25</v>
      </c>
      <c r="L832" s="48">
        <v>0.41666666666666669</v>
      </c>
      <c r="M832" s="11">
        <f t="shared" si="12"/>
        <v>4</v>
      </c>
      <c r="N832" s="231"/>
      <c r="P832" s="4"/>
      <c r="Q832" s="4"/>
      <c r="R832" s="4"/>
      <c r="S832" s="4"/>
      <c r="T832" s="4"/>
      <c r="U832" s="4"/>
      <c r="V832" s="4"/>
      <c r="W832" s="4"/>
    </row>
    <row r="833" spans="1:23" s="32" customFormat="1" hidden="1" x14ac:dyDescent="0.3">
      <c r="A833" s="22" t="s">
        <v>19</v>
      </c>
      <c r="B833" s="21">
        <v>46021</v>
      </c>
      <c r="C833" s="22" t="s">
        <v>208</v>
      </c>
      <c r="D833" s="226"/>
      <c r="E833" s="226"/>
      <c r="F833" s="226"/>
      <c r="G833" s="220"/>
      <c r="H833" s="220"/>
      <c r="I833" s="220"/>
      <c r="J833" s="23"/>
      <c r="K833" s="47">
        <v>0.25</v>
      </c>
      <c r="L833" s="48">
        <v>0.41666666666666669</v>
      </c>
      <c r="M833" s="11">
        <f t="shared" si="12"/>
        <v>4</v>
      </c>
      <c r="N833" s="225"/>
      <c r="P833" s="4"/>
      <c r="Q833" s="4"/>
      <c r="R833" s="4"/>
      <c r="S833" s="4"/>
      <c r="T833" s="4"/>
      <c r="U833" s="4"/>
      <c r="V833" s="4"/>
      <c r="W833" s="4"/>
    </row>
    <row r="834" spans="1:23" s="32" customFormat="1" hidden="1" x14ac:dyDescent="0.3">
      <c r="A834" s="22" t="s">
        <v>20</v>
      </c>
      <c r="B834" s="21">
        <v>46021</v>
      </c>
      <c r="C834" s="69" t="s">
        <v>12</v>
      </c>
      <c r="D834" s="214" t="s">
        <v>44</v>
      </c>
      <c r="E834" s="214" t="s">
        <v>606</v>
      </c>
      <c r="F834" s="214" t="s">
        <v>607</v>
      </c>
      <c r="G834" s="219">
        <v>46021</v>
      </c>
      <c r="H834" s="219">
        <v>46027</v>
      </c>
      <c r="I834" s="219"/>
      <c r="J834" s="17"/>
      <c r="K834" s="47">
        <v>0.25</v>
      </c>
      <c r="L834" s="48">
        <v>0.41666666666666669</v>
      </c>
      <c r="M834" s="11">
        <f t="shared" ref="M834:M897" si="13">MOD(L834-K834,1)*24</f>
        <v>4</v>
      </c>
      <c r="N834" s="249" t="s">
        <v>0</v>
      </c>
      <c r="P834" s="4"/>
      <c r="Q834" s="4"/>
      <c r="R834" s="4"/>
      <c r="S834" s="4"/>
      <c r="T834" s="4"/>
      <c r="U834" s="4"/>
      <c r="V834" s="4"/>
      <c r="W834" s="4"/>
    </row>
    <row r="835" spans="1:23" s="32" customFormat="1" hidden="1" x14ac:dyDescent="0.3">
      <c r="A835" s="22" t="s">
        <v>20</v>
      </c>
      <c r="B835" s="21">
        <v>46021</v>
      </c>
      <c r="C835" s="69" t="s">
        <v>33</v>
      </c>
      <c r="D835" s="215"/>
      <c r="E835" s="215"/>
      <c r="F835" s="215"/>
      <c r="G835" s="220"/>
      <c r="H835" s="220"/>
      <c r="I835" s="220"/>
      <c r="J835" s="23"/>
      <c r="K835" s="47">
        <v>0.25</v>
      </c>
      <c r="L835" s="48">
        <v>0.41666666666666669</v>
      </c>
      <c r="M835" s="11">
        <f t="shared" si="13"/>
        <v>4</v>
      </c>
      <c r="N835" s="249"/>
      <c r="P835" s="4"/>
      <c r="Q835" s="4"/>
      <c r="R835" s="4"/>
      <c r="S835" s="4"/>
      <c r="T835" s="4"/>
      <c r="U835" s="4"/>
      <c r="V835" s="4"/>
      <c r="W835" s="4"/>
    </row>
    <row r="836" spans="1:23" s="32" customFormat="1" hidden="1" x14ac:dyDescent="0.3">
      <c r="A836" s="22" t="s">
        <v>20</v>
      </c>
      <c r="B836" s="21">
        <v>46021</v>
      </c>
      <c r="C836" s="69" t="s">
        <v>444</v>
      </c>
      <c r="D836" s="233" t="s">
        <v>44</v>
      </c>
      <c r="E836" s="214" t="s">
        <v>510</v>
      </c>
      <c r="F836" s="241" t="s">
        <v>608</v>
      </c>
      <c r="G836" s="223">
        <v>46021</v>
      </c>
      <c r="H836" s="223">
        <v>46021</v>
      </c>
      <c r="I836" s="223"/>
      <c r="J836" s="17"/>
      <c r="K836" s="47">
        <v>0.25</v>
      </c>
      <c r="L836" s="48">
        <v>0.41666666666666669</v>
      </c>
      <c r="M836" s="11">
        <f t="shared" si="13"/>
        <v>4</v>
      </c>
      <c r="N836" s="231" t="s">
        <v>0</v>
      </c>
      <c r="P836" s="4"/>
      <c r="Q836" s="4"/>
      <c r="R836" s="4"/>
      <c r="S836" s="4"/>
      <c r="T836" s="4"/>
      <c r="U836" s="4"/>
      <c r="V836" s="4"/>
      <c r="W836" s="4"/>
    </row>
    <row r="837" spans="1:23" s="32" customFormat="1" hidden="1" x14ac:dyDescent="0.3">
      <c r="A837" s="22" t="s">
        <v>20</v>
      </c>
      <c r="B837" s="21">
        <v>46021</v>
      </c>
      <c r="C837" s="69" t="s">
        <v>421</v>
      </c>
      <c r="D837" s="233"/>
      <c r="E837" s="215"/>
      <c r="F837" s="248"/>
      <c r="G837" s="223"/>
      <c r="H837" s="223"/>
      <c r="I837" s="223"/>
      <c r="J837" s="17"/>
      <c r="K837" s="47">
        <v>0.25</v>
      </c>
      <c r="L837" s="48">
        <v>0.41666666666666669</v>
      </c>
      <c r="M837" s="11">
        <f t="shared" si="13"/>
        <v>4</v>
      </c>
      <c r="N837" s="225"/>
      <c r="P837" s="4"/>
      <c r="Q837" s="4"/>
      <c r="R837" s="4"/>
      <c r="S837" s="4"/>
      <c r="T837" s="4"/>
      <c r="U837" s="4"/>
      <c r="V837" s="4"/>
      <c r="W837" s="4"/>
    </row>
    <row r="838" spans="1:23" s="32" customFormat="1" hidden="1" x14ac:dyDescent="0.3">
      <c r="A838" s="22" t="s">
        <v>20</v>
      </c>
      <c r="B838" s="21">
        <v>46021</v>
      </c>
      <c r="C838" s="22" t="s">
        <v>28</v>
      </c>
      <c r="D838" s="13" t="s">
        <v>65</v>
      </c>
      <c r="E838" s="13" t="s">
        <v>492</v>
      </c>
      <c r="F838" s="26" t="s">
        <v>610</v>
      </c>
      <c r="G838" s="17">
        <v>46021</v>
      </c>
      <c r="H838" s="17">
        <v>46021</v>
      </c>
      <c r="I838" s="17"/>
      <c r="J838" s="17"/>
      <c r="K838" s="47">
        <v>0.25</v>
      </c>
      <c r="L838" s="48">
        <v>0.41666666666666669</v>
      </c>
      <c r="M838" s="11">
        <f t="shared" si="13"/>
        <v>4</v>
      </c>
      <c r="N838" s="22" t="s">
        <v>0</v>
      </c>
      <c r="P838" s="4"/>
      <c r="Q838" s="4"/>
      <c r="R838" s="4"/>
      <c r="S838" s="4"/>
      <c r="T838" s="4"/>
      <c r="U838" s="4"/>
      <c r="V838" s="4"/>
      <c r="W838" s="4"/>
    </row>
    <row r="839" spans="1:23" s="32" customFormat="1" hidden="1" x14ac:dyDescent="0.3">
      <c r="A839" s="22" t="s">
        <v>20</v>
      </c>
      <c r="B839" s="21">
        <v>46021</v>
      </c>
      <c r="C839" s="22" t="s">
        <v>47</v>
      </c>
      <c r="D839" s="216" t="s">
        <v>65</v>
      </c>
      <c r="E839" s="216" t="s">
        <v>611</v>
      </c>
      <c r="F839" s="243" t="s">
        <v>612</v>
      </c>
      <c r="G839" s="219">
        <v>46021</v>
      </c>
      <c r="H839" s="219">
        <v>46021</v>
      </c>
      <c r="I839" s="219"/>
      <c r="J839" s="17"/>
      <c r="K839" s="47">
        <v>0.25</v>
      </c>
      <c r="L839" s="48">
        <v>0.41666666666666669</v>
      </c>
      <c r="M839" s="11">
        <f t="shared" si="13"/>
        <v>4</v>
      </c>
      <c r="N839" s="231" t="s">
        <v>0</v>
      </c>
      <c r="P839" s="4"/>
      <c r="Q839" s="4"/>
      <c r="R839" s="4"/>
      <c r="S839" s="4"/>
      <c r="T839" s="4"/>
      <c r="U839" s="4"/>
      <c r="V839" s="4"/>
      <c r="W839" s="4"/>
    </row>
    <row r="840" spans="1:23" s="32" customFormat="1" hidden="1" x14ac:dyDescent="0.3">
      <c r="A840" s="22" t="s">
        <v>20</v>
      </c>
      <c r="B840" s="21">
        <v>46021</v>
      </c>
      <c r="C840" s="22" t="s">
        <v>31</v>
      </c>
      <c r="D840" s="217"/>
      <c r="E840" s="217"/>
      <c r="F840" s="244"/>
      <c r="G840" s="220"/>
      <c r="H840" s="220"/>
      <c r="I840" s="220"/>
      <c r="J840" s="23"/>
      <c r="K840" s="47">
        <v>0.29166666666666669</v>
      </c>
      <c r="L840" s="48">
        <v>0.33333333333333331</v>
      </c>
      <c r="M840" s="11">
        <f t="shared" si="13"/>
        <v>0.99999999999999911</v>
      </c>
      <c r="N840" s="225"/>
      <c r="P840" s="4"/>
      <c r="Q840" s="4"/>
      <c r="R840" s="4"/>
      <c r="S840" s="4"/>
      <c r="T840" s="4"/>
      <c r="U840" s="4"/>
      <c r="V840" s="4"/>
      <c r="W840" s="4"/>
    </row>
    <row r="841" spans="1:23" s="32" customFormat="1" hidden="1" x14ac:dyDescent="0.3">
      <c r="A841" s="22" t="s">
        <v>20</v>
      </c>
      <c r="B841" s="21">
        <v>46021</v>
      </c>
      <c r="C841" s="22" t="s">
        <v>167</v>
      </c>
      <c r="D841" s="216" t="s">
        <v>65</v>
      </c>
      <c r="E841" s="216" t="s">
        <v>492</v>
      </c>
      <c r="F841" s="243" t="s">
        <v>609</v>
      </c>
      <c r="G841" s="219">
        <v>46011</v>
      </c>
      <c r="H841" s="219">
        <v>46021</v>
      </c>
      <c r="I841" s="219"/>
      <c r="J841" s="17"/>
      <c r="K841" s="47">
        <v>0.25</v>
      </c>
      <c r="L841" s="48">
        <v>0.41666666666666669</v>
      </c>
      <c r="M841" s="11">
        <f t="shared" si="13"/>
        <v>4</v>
      </c>
      <c r="N841" s="249" t="s">
        <v>0</v>
      </c>
      <c r="P841" s="4"/>
      <c r="Q841" s="4"/>
      <c r="R841" s="4"/>
      <c r="S841" s="4"/>
      <c r="T841" s="4"/>
      <c r="U841" s="4"/>
      <c r="V841" s="4"/>
      <c r="W841" s="4"/>
    </row>
    <row r="842" spans="1:23" s="32" customFormat="1" hidden="1" x14ac:dyDescent="0.3">
      <c r="A842" s="22" t="s">
        <v>20</v>
      </c>
      <c r="B842" s="21">
        <v>46021</v>
      </c>
      <c r="C842" s="22" t="s">
        <v>31</v>
      </c>
      <c r="D842" s="217"/>
      <c r="E842" s="217"/>
      <c r="F842" s="244"/>
      <c r="G842" s="220"/>
      <c r="H842" s="220"/>
      <c r="I842" s="220"/>
      <c r="J842" s="23"/>
      <c r="K842" s="47">
        <v>0.25</v>
      </c>
      <c r="L842" s="45">
        <v>0.29166666666666669</v>
      </c>
      <c r="M842" s="11">
        <f t="shared" si="13"/>
        <v>1.0000000000000004</v>
      </c>
      <c r="N842" s="249"/>
      <c r="P842" s="4"/>
      <c r="Q842" s="4"/>
      <c r="R842" s="4"/>
      <c r="S842" s="4"/>
      <c r="T842" s="4"/>
      <c r="U842" s="4"/>
      <c r="V842" s="4"/>
      <c r="W842" s="4"/>
    </row>
    <row r="843" spans="1:23" s="32" customFormat="1" hidden="1" x14ac:dyDescent="0.3">
      <c r="A843" s="22" t="s">
        <v>20</v>
      </c>
      <c r="B843" s="21">
        <v>46021</v>
      </c>
      <c r="C843" s="22" t="s">
        <v>15</v>
      </c>
      <c r="D843" s="13" t="s">
        <v>65</v>
      </c>
      <c r="E843" s="24" t="s">
        <v>615</v>
      </c>
      <c r="F843" s="3" t="s">
        <v>413</v>
      </c>
      <c r="G843" s="21">
        <v>46021</v>
      </c>
      <c r="H843" s="21">
        <v>46021</v>
      </c>
      <c r="I843" s="21"/>
      <c r="J843" s="17"/>
      <c r="K843" s="47">
        <v>0.25</v>
      </c>
      <c r="L843" s="48">
        <v>0.41666666666666669</v>
      </c>
      <c r="M843" s="11">
        <f t="shared" si="13"/>
        <v>4</v>
      </c>
      <c r="N843" s="22" t="s">
        <v>0</v>
      </c>
      <c r="P843" s="4"/>
      <c r="Q843" s="4"/>
      <c r="R843" s="4"/>
      <c r="S843" s="4"/>
      <c r="T843" s="4"/>
      <c r="U843" s="4"/>
      <c r="V843" s="4"/>
      <c r="W843" s="4"/>
    </row>
    <row r="844" spans="1:23" s="32" customFormat="1" hidden="1" x14ac:dyDescent="0.3">
      <c r="A844" s="22" t="s">
        <v>20</v>
      </c>
      <c r="B844" s="21">
        <v>46021</v>
      </c>
      <c r="C844" s="22" t="s">
        <v>17</v>
      </c>
      <c r="D844" s="24" t="s">
        <v>65</v>
      </c>
      <c r="E844" s="22" t="s">
        <v>613</v>
      </c>
      <c r="F844" s="25" t="s">
        <v>614</v>
      </c>
      <c r="G844" s="35">
        <v>46021</v>
      </c>
      <c r="H844" s="35">
        <v>46021</v>
      </c>
      <c r="I844" s="30"/>
      <c r="J844" s="16"/>
      <c r="K844" s="47">
        <v>0.25</v>
      </c>
      <c r="L844" s="48">
        <v>0.41666666666666669</v>
      </c>
      <c r="M844" s="11">
        <f t="shared" si="13"/>
        <v>4</v>
      </c>
      <c r="N844" s="22" t="s">
        <v>0</v>
      </c>
      <c r="P844" s="4"/>
      <c r="Q844" s="4"/>
      <c r="R844" s="4"/>
      <c r="S844" s="4"/>
      <c r="T844" s="4"/>
      <c r="U844" s="4"/>
      <c r="V844" s="4"/>
      <c r="W844" s="4"/>
    </row>
    <row r="845" spans="1:23" s="32" customFormat="1" hidden="1" x14ac:dyDescent="0.3">
      <c r="A845" s="22" t="s">
        <v>20</v>
      </c>
      <c r="B845" s="21">
        <v>46021</v>
      </c>
      <c r="C845" s="22" t="s">
        <v>16</v>
      </c>
      <c r="D845" s="24" t="s">
        <v>65</v>
      </c>
      <c r="E845" s="22" t="s">
        <v>611</v>
      </c>
      <c r="F845" s="25" t="s">
        <v>614</v>
      </c>
      <c r="G845" s="30">
        <v>46021</v>
      </c>
      <c r="H845" s="30">
        <v>46021</v>
      </c>
      <c r="I845" s="30"/>
      <c r="J845" s="30"/>
      <c r="K845" s="45">
        <v>0.25</v>
      </c>
      <c r="L845" s="48">
        <v>0.41666666666666669</v>
      </c>
      <c r="M845" s="11">
        <f t="shared" si="13"/>
        <v>4</v>
      </c>
      <c r="N845" s="22" t="s">
        <v>0</v>
      </c>
      <c r="P845" s="4"/>
      <c r="Q845" s="4"/>
      <c r="R845" s="4"/>
      <c r="S845" s="4"/>
      <c r="T845" s="4"/>
      <c r="U845" s="4"/>
      <c r="V845" s="4"/>
      <c r="W845" s="4"/>
    </row>
    <row r="846" spans="1:23" s="32" customFormat="1" hidden="1" x14ac:dyDescent="0.3">
      <c r="A846" s="22" t="s">
        <v>21</v>
      </c>
      <c r="B846" s="21">
        <v>46022</v>
      </c>
      <c r="C846" s="22" t="s">
        <v>26</v>
      </c>
      <c r="D846" s="216" t="s">
        <v>27</v>
      </c>
      <c r="E846" s="214" t="s">
        <v>625</v>
      </c>
      <c r="F846" s="243" t="s">
        <v>626</v>
      </c>
      <c r="G846" s="219">
        <v>46022</v>
      </c>
      <c r="H846" s="219">
        <v>46022</v>
      </c>
      <c r="I846" s="219">
        <v>46022</v>
      </c>
      <c r="J846" s="17"/>
      <c r="K846" s="47">
        <v>0.33333333333333331</v>
      </c>
      <c r="L846" s="48">
        <v>0.6875</v>
      </c>
      <c r="M846" s="11">
        <f t="shared" si="13"/>
        <v>8.5</v>
      </c>
      <c r="N846" s="214" t="s">
        <v>0</v>
      </c>
      <c r="P846" s="4"/>
      <c r="Q846" s="4"/>
      <c r="R846" s="4"/>
      <c r="S846" s="4"/>
      <c r="T846" s="4"/>
      <c r="U846" s="4"/>
      <c r="V846" s="4"/>
      <c r="W846" s="4"/>
    </row>
    <row r="847" spans="1:23" s="32" customFormat="1" hidden="1" x14ac:dyDescent="0.3">
      <c r="A847" s="22" t="s">
        <v>21</v>
      </c>
      <c r="B847" s="21">
        <v>46022</v>
      </c>
      <c r="C847" s="22" t="s">
        <v>37</v>
      </c>
      <c r="D847" s="217"/>
      <c r="E847" s="215"/>
      <c r="F847" s="244"/>
      <c r="G847" s="220"/>
      <c r="H847" s="220"/>
      <c r="I847" s="220"/>
      <c r="J847" s="23"/>
      <c r="K847" s="47">
        <v>0.33333333333333331</v>
      </c>
      <c r="L847" s="48">
        <v>0.6875</v>
      </c>
      <c r="M847" s="11">
        <f t="shared" si="13"/>
        <v>8.5</v>
      </c>
      <c r="N847" s="215"/>
      <c r="P847" s="4"/>
      <c r="Q847" s="4"/>
      <c r="R847" s="4"/>
      <c r="S847" s="4"/>
      <c r="T847" s="4"/>
      <c r="U847" s="4"/>
      <c r="V847" s="4"/>
      <c r="W847" s="4"/>
    </row>
    <row r="848" spans="1:23" s="32" customFormat="1" hidden="1" x14ac:dyDescent="0.3">
      <c r="A848" s="22" t="s">
        <v>21</v>
      </c>
      <c r="B848" s="21">
        <v>46022</v>
      </c>
      <c r="C848" s="22" t="s">
        <v>51</v>
      </c>
      <c r="D848" s="24" t="s">
        <v>24</v>
      </c>
      <c r="E848" s="22" t="s">
        <v>627</v>
      </c>
      <c r="F848" s="25" t="s">
        <v>628</v>
      </c>
      <c r="G848" s="17">
        <v>46022</v>
      </c>
      <c r="H848" s="17">
        <v>46022</v>
      </c>
      <c r="I848" s="17"/>
      <c r="J848" s="17"/>
      <c r="K848" s="47">
        <v>0.3125</v>
      </c>
      <c r="L848" s="48">
        <v>0.6875</v>
      </c>
      <c r="M848" s="11">
        <f t="shared" si="13"/>
        <v>9</v>
      </c>
      <c r="N848" s="22" t="s">
        <v>30</v>
      </c>
      <c r="P848" s="4"/>
      <c r="Q848" s="4"/>
      <c r="R848" s="4"/>
      <c r="S848" s="4"/>
      <c r="T848" s="4"/>
      <c r="U848" s="4"/>
      <c r="V848" s="4"/>
      <c r="W848" s="4"/>
    </row>
    <row r="849" spans="1:23" s="32" customFormat="1" hidden="1" x14ac:dyDescent="0.3">
      <c r="A849" s="22" t="s">
        <v>21</v>
      </c>
      <c r="B849" s="21">
        <v>46022</v>
      </c>
      <c r="C849" s="22" t="s">
        <v>50</v>
      </c>
      <c r="D849" s="24" t="s">
        <v>24</v>
      </c>
      <c r="E849" s="22" t="s">
        <v>629</v>
      </c>
      <c r="F849" s="25" t="s">
        <v>630</v>
      </c>
      <c r="G849" s="17">
        <v>46022</v>
      </c>
      <c r="H849" s="17">
        <v>46022</v>
      </c>
      <c r="I849" s="17"/>
      <c r="J849" s="17"/>
      <c r="K849" s="47">
        <v>0.33333333333333331</v>
      </c>
      <c r="L849" s="48">
        <v>0.6875</v>
      </c>
      <c r="M849" s="11">
        <f t="shared" si="13"/>
        <v>8.5</v>
      </c>
      <c r="N849" s="22" t="s">
        <v>1</v>
      </c>
      <c r="P849" s="4"/>
      <c r="Q849" s="4"/>
      <c r="R849" s="4"/>
      <c r="S849" s="4"/>
      <c r="T849" s="4"/>
      <c r="U849" s="4"/>
      <c r="V849" s="4"/>
      <c r="W849" s="4"/>
    </row>
    <row r="850" spans="1:23" s="32" customFormat="1" hidden="1" x14ac:dyDescent="0.3">
      <c r="A850" s="22" t="s">
        <v>21</v>
      </c>
      <c r="B850" s="21">
        <v>46022</v>
      </c>
      <c r="C850" s="22" t="s">
        <v>274</v>
      </c>
      <c r="D850" s="214" t="s">
        <v>43</v>
      </c>
      <c r="E850" s="214" t="s">
        <v>424</v>
      </c>
      <c r="F850" s="241" t="s">
        <v>619</v>
      </c>
      <c r="G850" s="219">
        <v>46018</v>
      </c>
      <c r="H850" s="219">
        <v>46022</v>
      </c>
      <c r="I850" s="219">
        <v>46022</v>
      </c>
      <c r="J850" s="17"/>
      <c r="K850" s="47">
        <v>0.3125</v>
      </c>
      <c r="L850" s="48">
        <v>0.6875</v>
      </c>
      <c r="M850" s="11">
        <f t="shared" si="13"/>
        <v>9</v>
      </c>
      <c r="N850" s="214" t="s">
        <v>0</v>
      </c>
      <c r="P850" s="4"/>
      <c r="Q850" s="4"/>
      <c r="R850" s="4"/>
      <c r="S850" s="4"/>
      <c r="T850" s="4"/>
      <c r="U850" s="4"/>
      <c r="V850" s="4"/>
      <c r="W850" s="4"/>
    </row>
    <row r="851" spans="1:23" s="32" customFormat="1" hidden="1" x14ac:dyDescent="0.3">
      <c r="A851" s="22" t="s">
        <v>21</v>
      </c>
      <c r="B851" s="21">
        <v>46022</v>
      </c>
      <c r="C851" s="22" t="s">
        <v>18</v>
      </c>
      <c r="D851" s="226"/>
      <c r="E851" s="226"/>
      <c r="F851" s="242"/>
      <c r="G851" s="229"/>
      <c r="H851" s="229"/>
      <c r="I851" s="229"/>
      <c r="J851" s="23"/>
      <c r="K851" s="47">
        <v>0.3125</v>
      </c>
      <c r="L851" s="48">
        <v>0.6875</v>
      </c>
      <c r="M851" s="11">
        <f t="shared" si="13"/>
        <v>9</v>
      </c>
      <c r="N851" s="226"/>
      <c r="P851" s="4"/>
      <c r="Q851" s="4"/>
      <c r="R851" s="4"/>
      <c r="S851" s="4"/>
      <c r="T851" s="4"/>
      <c r="U851" s="4"/>
      <c r="V851" s="4"/>
      <c r="W851" s="4"/>
    </row>
    <row r="852" spans="1:23" s="32" customFormat="1" hidden="1" x14ac:dyDescent="0.3">
      <c r="A852" s="22" t="s">
        <v>21</v>
      </c>
      <c r="B852" s="21">
        <v>46022</v>
      </c>
      <c r="C852" s="22" t="s">
        <v>320</v>
      </c>
      <c r="D852" s="215"/>
      <c r="E852" s="215"/>
      <c r="F852" s="248"/>
      <c r="G852" s="220"/>
      <c r="H852" s="220"/>
      <c r="I852" s="220"/>
      <c r="J852" s="23"/>
      <c r="K852" s="47">
        <v>0.3125</v>
      </c>
      <c r="L852" s="48">
        <v>0.6875</v>
      </c>
      <c r="M852" s="11">
        <f t="shared" si="13"/>
        <v>9</v>
      </c>
      <c r="N852" s="215"/>
      <c r="P852" s="4"/>
      <c r="Q852" s="4"/>
      <c r="R852" s="4"/>
      <c r="S852" s="4"/>
      <c r="T852" s="4"/>
      <c r="U852" s="4"/>
      <c r="V852" s="4"/>
      <c r="W852" s="4"/>
    </row>
    <row r="853" spans="1:23" s="32" customFormat="1" hidden="1" x14ac:dyDescent="0.3">
      <c r="A853" s="22" t="s">
        <v>21</v>
      </c>
      <c r="B853" s="21">
        <v>46022</v>
      </c>
      <c r="C853" s="22" t="s">
        <v>118</v>
      </c>
      <c r="D853" s="24" t="s">
        <v>54</v>
      </c>
      <c r="E853" s="22" t="s">
        <v>562</v>
      </c>
      <c r="F853" s="22" t="s">
        <v>617</v>
      </c>
      <c r="G853" s="17">
        <v>46020</v>
      </c>
      <c r="H853" s="17">
        <v>46022</v>
      </c>
      <c r="I853" s="17">
        <v>46022</v>
      </c>
      <c r="J853" s="17"/>
      <c r="K853" s="47">
        <v>0.33333333333333331</v>
      </c>
      <c r="L853" s="48">
        <v>0.6875</v>
      </c>
      <c r="M853" s="11">
        <f t="shared" si="13"/>
        <v>8.5</v>
      </c>
      <c r="N853" s="22" t="s">
        <v>0</v>
      </c>
      <c r="P853" s="4"/>
      <c r="Q853" s="4"/>
      <c r="R853" s="4"/>
      <c r="S853" s="4"/>
      <c r="T853" s="4"/>
      <c r="U853" s="4"/>
      <c r="V853" s="4"/>
      <c r="W853" s="4"/>
    </row>
    <row r="854" spans="1:23" s="32" customFormat="1" hidden="1" x14ac:dyDescent="0.3">
      <c r="A854" s="22" t="s">
        <v>21</v>
      </c>
      <c r="B854" s="21">
        <v>46022</v>
      </c>
      <c r="C854" s="22" t="s">
        <v>55</v>
      </c>
      <c r="D854" s="13" t="s">
        <v>43</v>
      </c>
      <c r="E854" s="11" t="s">
        <v>620</v>
      </c>
      <c r="F854" s="28" t="s">
        <v>38</v>
      </c>
      <c r="G854" s="17">
        <v>46020</v>
      </c>
      <c r="H854" s="17">
        <v>46022</v>
      </c>
      <c r="I854" s="17">
        <v>46022</v>
      </c>
      <c r="J854" s="17"/>
      <c r="K854" s="47">
        <v>0.3125</v>
      </c>
      <c r="L854" s="48">
        <v>0.6875</v>
      </c>
      <c r="M854" s="11">
        <f t="shared" si="13"/>
        <v>9</v>
      </c>
      <c r="N854" s="11" t="s">
        <v>0</v>
      </c>
      <c r="P854" s="4"/>
      <c r="Q854" s="4"/>
      <c r="R854" s="4"/>
      <c r="S854" s="4"/>
      <c r="T854" s="4"/>
      <c r="U854" s="4"/>
      <c r="V854" s="4"/>
      <c r="W854" s="4"/>
    </row>
    <row r="855" spans="1:23" s="32" customFormat="1" hidden="1" x14ac:dyDescent="0.3">
      <c r="A855" s="22" t="s">
        <v>21</v>
      </c>
      <c r="B855" s="21">
        <v>46022</v>
      </c>
      <c r="C855" s="22" t="s">
        <v>25</v>
      </c>
      <c r="D855" s="24" t="s">
        <v>27</v>
      </c>
      <c r="E855" s="24" t="s">
        <v>621</v>
      </c>
      <c r="F855" s="25" t="s">
        <v>263</v>
      </c>
      <c r="G855" s="17">
        <v>46020</v>
      </c>
      <c r="H855" s="30">
        <v>46022</v>
      </c>
      <c r="I855" s="30">
        <v>46022</v>
      </c>
      <c r="J855" s="16"/>
      <c r="K855" s="47">
        <v>0.3125</v>
      </c>
      <c r="L855" s="48">
        <v>0.6875</v>
      </c>
      <c r="M855" s="11">
        <f t="shared" si="13"/>
        <v>9</v>
      </c>
      <c r="N855" s="11" t="s">
        <v>0</v>
      </c>
      <c r="P855" s="4"/>
      <c r="Q855" s="4"/>
      <c r="R855" s="4"/>
      <c r="S855" s="4"/>
      <c r="T855" s="4"/>
      <c r="U855" s="4"/>
      <c r="V855" s="4"/>
      <c r="W855" s="4"/>
    </row>
    <row r="856" spans="1:23" s="32" customFormat="1" hidden="1" x14ac:dyDescent="0.3">
      <c r="A856" s="22" t="s">
        <v>19</v>
      </c>
      <c r="B856" s="21">
        <v>46022</v>
      </c>
      <c r="C856" s="22" t="s">
        <v>9</v>
      </c>
      <c r="D856" s="214" t="s">
        <v>8</v>
      </c>
      <c r="E856" s="214" t="s">
        <v>316</v>
      </c>
      <c r="F856" s="214" t="s">
        <v>622</v>
      </c>
      <c r="G856" s="219">
        <v>46017</v>
      </c>
      <c r="H856" s="219">
        <v>46022</v>
      </c>
      <c r="I856" s="219">
        <v>46022</v>
      </c>
      <c r="J856" s="17"/>
      <c r="K856" s="47">
        <v>0.3125</v>
      </c>
      <c r="L856" s="48">
        <v>0.47916666666666669</v>
      </c>
      <c r="M856" s="11">
        <f t="shared" si="13"/>
        <v>4</v>
      </c>
      <c r="N856" s="224" t="s">
        <v>0</v>
      </c>
      <c r="P856" s="4"/>
      <c r="Q856" s="4"/>
      <c r="R856" s="4"/>
      <c r="S856" s="4"/>
      <c r="T856" s="4"/>
      <c r="U856" s="4"/>
      <c r="V856" s="4"/>
      <c r="W856" s="4"/>
    </row>
    <row r="857" spans="1:23" s="32" customFormat="1" hidden="1" x14ac:dyDescent="0.3">
      <c r="A857" s="22" t="s">
        <v>19</v>
      </c>
      <c r="B857" s="21">
        <v>46022</v>
      </c>
      <c r="C857" s="22" t="s">
        <v>208</v>
      </c>
      <c r="D857" s="215"/>
      <c r="E857" s="215"/>
      <c r="F857" s="215"/>
      <c r="G857" s="220"/>
      <c r="H857" s="220"/>
      <c r="I857" s="220"/>
      <c r="J857" s="23"/>
      <c r="K857" s="47">
        <v>0.3125</v>
      </c>
      <c r="L857" s="48">
        <v>0.47916666666666669</v>
      </c>
      <c r="M857" s="11">
        <f t="shared" si="13"/>
        <v>4</v>
      </c>
      <c r="N857" s="225"/>
      <c r="P857" s="4"/>
      <c r="Q857" s="4"/>
      <c r="R857" s="4"/>
      <c r="S857" s="4"/>
      <c r="T857" s="4"/>
      <c r="U857" s="4"/>
      <c r="V857" s="4"/>
      <c r="W857" s="4"/>
    </row>
    <row r="858" spans="1:23" s="32" customFormat="1" hidden="1" x14ac:dyDescent="0.3">
      <c r="A858" s="22" t="s">
        <v>19</v>
      </c>
      <c r="B858" s="21">
        <v>46022</v>
      </c>
      <c r="C858" s="22" t="s">
        <v>9</v>
      </c>
      <c r="D858" s="214" t="s">
        <v>8</v>
      </c>
      <c r="E858" s="214" t="s">
        <v>623</v>
      </c>
      <c r="F858" s="214" t="s">
        <v>624</v>
      </c>
      <c r="G858" s="219">
        <v>46022</v>
      </c>
      <c r="H858" s="219">
        <v>46022</v>
      </c>
      <c r="I858" s="219">
        <v>46022</v>
      </c>
      <c r="J858" s="17"/>
      <c r="K858" s="48">
        <v>0.47916666666666669</v>
      </c>
      <c r="L858" s="48">
        <v>0.6875</v>
      </c>
      <c r="M858" s="11">
        <f t="shared" si="13"/>
        <v>5</v>
      </c>
      <c r="N858" s="224" t="s">
        <v>0</v>
      </c>
      <c r="P858" s="4"/>
      <c r="Q858" s="4"/>
      <c r="R858" s="4"/>
      <c r="S858" s="4"/>
      <c r="T858" s="4"/>
      <c r="U858" s="4"/>
      <c r="V858" s="4"/>
      <c r="W858" s="4"/>
    </row>
    <row r="859" spans="1:23" s="32" customFormat="1" hidden="1" x14ac:dyDescent="0.3">
      <c r="A859" s="22" t="s">
        <v>19</v>
      </c>
      <c r="B859" s="21">
        <v>46022</v>
      </c>
      <c r="C859" s="22" t="s">
        <v>208</v>
      </c>
      <c r="D859" s="215"/>
      <c r="E859" s="215"/>
      <c r="F859" s="215"/>
      <c r="G859" s="220"/>
      <c r="H859" s="220"/>
      <c r="I859" s="220"/>
      <c r="J859" s="19"/>
      <c r="K859" s="48">
        <v>0.47916666666666669</v>
      </c>
      <c r="L859" s="48">
        <v>0.6875</v>
      </c>
      <c r="M859" s="11">
        <f t="shared" si="13"/>
        <v>5</v>
      </c>
      <c r="N859" s="225"/>
      <c r="P859" s="4"/>
      <c r="Q859" s="4"/>
      <c r="R859" s="4"/>
      <c r="S859" s="4"/>
      <c r="T859" s="4"/>
      <c r="U859" s="4"/>
      <c r="V859" s="4"/>
      <c r="W859" s="4"/>
    </row>
    <row r="860" spans="1:23" s="32" customFormat="1" hidden="1" x14ac:dyDescent="0.3">
      <c r="A860" s="22" t="s">
        <v>20</v>
      </c>
      <c r="B860" s="21">
        <v>46022</v>
      </c>
      <c r="C860" s="69" t="s">
        <v>12</v>
      </c>
      <c r="D860" s="11" t="s">
        <v>44</v>
      </c>
      <c r="E860" s="11" t="s">
        <v>632</v>
      </c>
      <c r="F860" s="11" t="s">
        <v>633</v>
      </c>
      <c r="G860" s="17">
        <v>46022</v>
      </c>
      <c r="H860" s="17">
        <v>46022</v>
      </c>
      <c r="I860" s="17">
        <v>46022</v>
      </c>
      <c r="J860" s="17"/>
      <c r="K860" s="47">
        <v>0.3125</v>
      </c>
      <c r="L860" s="48">
        <v>0.6875</v>
      </c>
      <c r="M860" s="11">
        <f t="shared" si="13"/>
        <v>9</v>
      </c>
      <c r="N860" s="42" t="s">
        <v>0</v>
      </c>
      <c r="P860" s="4"/>
      <c r="Q860" s="4"/>
      <c r="R860" s="4"/>
      <c r="S860" s="4"/>
      <c r="T860" s="4"/>
      <c r="U860" s="4"/>
      <c r="V860" s="4"/>
      <c r="W860" s="4"/>
    </row>
    <row r="861" spans="1:23" s="32" customFormat="1" hidden="1" x14ac:dyDescent="0.3">
      <c r="A861" s="22" t="s">
        <v>20</v>
      </c>
      <c r="B861" s="21">
        <v>46022</v>
      </c>
      <c r="C861" s="69" t="s">
        <v>444</v>
      </c>
      <c r="D861" s="233" t="s">
        <v>44</v>
      </c>
      <c r="E861" s="214" t="s">
        <v>151</v>
      </c>
      <c r="F861" s="241" t="s">
        <v>631</v>
      </c>
      <c r="G861" s="223">
        <v>46022</v>
      </c>
      <c r="H861" s="223">
        <v>46022</v>
      </c>
      <c r="I861" s="223">
        <v>46022</v>
      </c>
      <c r="J861" s="17"/>
      <c r="K861" s="47">
        <v>0.33333333333333331</v>
      </c>
      <c r="L861" s="48">
        <v>0.5</v>
      </c>
      <c r="M861" s="11">
        <f t="shared" si="13"/>
        <v>4</v>
      </c>
      <c r="N861" s="231" t="s">
        <v>0</v>
      </c>
      <c r="P861" s="4"/>
      <c r="Q861" s="4"/>
      <c r="R861" s="4"/>
      <c r="S861" s="4"/>
      <c r="T861" s="4"/>
      <c r="U861" s="4"/>
      <c r="V861" s="4"/>
      <c r="W861" s="4"/>
    </row>
    <row r="862" spans="1:23" s="32" customFormat="1" hidden="1" x14ac:dyDescent="0.3">
      <c r="A862" s="22" t="s">
        <v>20</v>
      </c>
      <c r="B862" s="21">
        <v>46022</v>
      </c>
      <c r="C862" s="69" t="s">
        <v>421</v>
      </c>
      <c r="D862" s="233"/>
      <c r="E862" s="215"/>
      <c r="F862" s="248"/>
      <c r="G862" s="223"/>
      <c r="H862" s="223"/>
      <c r="I862" s="223"/>
      <c r="J862" s="17"/>
      <c r="K862" s="47">
        <v>0.33333333333333331</v>
      </c>
      <c r="L862" s="48">
        <v>0.5</v>
      </c>
      <c r="M862" s="11">
        <f t="shared" si="13"/>
        <v>4</v>
      </c>
      <c r="N862" s="225"/>
      <c r="P862" s="4"/>
      <c r="Q862" s="4"/>
      <c r="R862" s="4"/>
      <c r="S862" s="4"/>
      <c r="T862" s="4"/>
      <c r="U862" s="4"/>
      <c r="V862" s="4"/>
      <c r="W862" s="4"/>
    </row>
    <row r="863" spans="1:23" s="32" customFormat="1" hidden="1" x14ac:dyDescent="0.3">
      <c r="A863" s="22" t="s">
        <v>20</v>
      </c>
      <c r="B863" s="21">
        <v>46022</v>
      </c>
      <c r="C863" s="69" t="s">
        <v>33</v>
      </c>
      <c r="D863" s="11" t="s">
        <v>44</v>
      </c>
      <c r="E863" s="18" t="s">
        <v>606</v>
      </c>
      <c r="F863" s="73" t="s">
        <v>607</v>
      </c>
      <c r="G863" s="17">
        <v>46022</v>
      </c>
      <c r="H863" s="17">
        <v>46022</v>
      </c>
      <c r="I863" s="17">
        <v>46022</v>
      </c>
      <c r="J863" s="17"/>
      <c r="K863" s="47">
        <v>0.3125</v>
      </c>
      <c r="L863" s="48">
        <v>0.6875</v>
      </c>
      <c r="M863" s="11">
        <f t="shared" si="13"/>
        <v>9</v>
      </c>
      <c r="N863" s="42" t="s">
        <v>0</v>
      </c>
      <c r="P863" s="4"/>
      <c r="Q863" s="4"/>
      <c r="R863" s="4"/>
      <c r="S863" s="4"/>
      <c r="T863" s="4"/>
      <c r="U863" s="4"/>
      <c r="V863" s="4"/>
      <c r="W863" s="4"/>
    </row>
    <row r="864" spans="1:23" s="32" customFormat="1" hidden="1" x14ac:dyDescent="0.3">
      <c r="A864" s="22" t="s">
        <v>20</v>
      </c>
      <c r="B864" s="21">
        <v>46022</v>
      </c>
      <c r="C864" s="22" t="s">
        <v>28</v>
      </c>
      <c r="D864" s="13" t="s">
        <v>65</v>
      </c>
      <c r="E864" s="13" t="s">
        <v>634</v>
      </c>
      <c r="F864" s="26" t="s">
        <v>610</v>
      </c>
      <c r="G864" s="17">
        <v>46022</v>
      </c>
      <c r="H864" s="30">
        <v>46022</v>
      </c>
      <c r="I864" s="17"/>
      <c r="J864" s="17"/>
      <c r="K864" s="47">
        <v>0.33333333333333331</v>
      </c>
      <c r="L864" s="48">
        <v>0.6875</v>
      </c>
      <c r="M864" s="11">
        <f t="shared" si="13"/>
        <v>8.5</v>
      </c>
      <c r="N864" s="22" t="s">
        <v>30</v>
      </c>
      <c r="P864" s="4"/>
      <c r="Q864" s="4"/>
      <c r="R864" s="4"/>
      <c r="S864" s="4"/>
      <c r="T864" s="4"/>
      <c r="U864" s="4"/>
      <c r="V864" s="4"/>
      <c r="W864" s="4"/>
    </row>
    <row r="865" spans="1:23" s="32" customFormat="1" hidden="1" x14ac:dyDescent="0.3">
      <c r="A865" s="22" t="s">
        <v>20</v>
      </c>
      <c r="B865" s="21">
        <v>46022</v>
      </c>
      <c r="C865" s="22" t="s">
        <v>47</v>
      </c>
      <c r="D865" s="216" t="s">
        <v>65</v>
      </c>
      <c r="E865" s="216" t="s">
        <v>635</v>
      </c>
      <c r="F865" s="243" t="s">
        <v>636</v>
      </c>
      <c r="G865" s="219">
        <v>46021</v>
      </c>
      <c r="H865" s="219">
        <v>46022</v>
      </c>
      <c r="I865" s="219"/>
      <c r="J865" s="17"/>
      <c r="K865" s="47">
        <v>0.3125</v>
      </c>
      <c r="L865" s="48">
        <v>0.6875</v>
      </c>
      <c r="M865" s="11">
        <f t="shared" si="13"/>
        <v>9</v>
      </c>
      <c r="N865" s="230" t="s">
        <v>1</v>
      </c>
      <c r="P865" s="4"/>
      <c r="Q865" s="4"/>
      <c r="R865" s="4"/>
      <c r="S865" s="4"/>
      <c r="T865" s="4"/>
      <c r="U865" s="4"/>
      <c r="V865" s="4"/>
      <c r="W865" s="4"/>
    </row>
    <row r="866" spans="1:23" s="32" customFormat="1" hidden="1" x14ac:dyDescent="0.3">
      <c r="A866" s="22" t="s">
        <v>20</v>
      </c>
      <c r="B866" s="21">
        <v>46022</v>
      </c>
      <c r="C866" s="22" t="s">
        <v>31</v>
      </c>
      <c r="D866" s="217"/>
      <c r="E866" s="217"/>
      <c r="F866" s="244"/>
      <c r="G866" s="220"/>
      <c r="H866" s="220"/>
      <c r="I866" s="220"/>
      <c r="J866" s="23"/>
      <c r="K866" s="47">
        <v>0.33333333333333331</v>
      </c>
      <c r="L866" s="48">
        <v>0.41666666666666669</v>
      </c>
      <c r="M866" s="11">
        <f t="shared" si="13"/>
        <v>2.0000000000000009</v>
      </c>
      <c r="N866" s="228"/>
      <c r="P866" s="4"/>
      <c r="Q866" s="4"/>
      <c r="R866" s="4"/>
      <c r="S866" s="4"/>
      <c r="T866" s="4"/>
      <c r="U866" s="4"/>
      <c r="V866" s="4"/>
      <c r="W866" s="4"/>
    </row>
    <row r="867" spans="1:23" s="32" customFormat="1" hidden="1" x14ac:dyDescent="0.3">
      <c r="A867" s="22" t="s">
        <v>20</v>
      </c>
      <c r="B867" s="21">
        <v>46022</v>
      </c>
      <c r="C867" s="22" t="s">
        <v>167</v>
      </c>
      <c r="D867" s="216" t="s">
        <v>65</v>
      </c>
      <c r="E867" s="216" t="s">
        <v>492</v>
      </c>
      <c r="F867" s="243" t="s">
        <v>609</v>
      </c>
      <c r="G867" s="219">
        <v>46011</v>
      </c>
      <c r="H867" s="219">
        <v>46022</v>
      </c>
      <c r="I867" s="219"/>
      <c r="J867" s="17"/>
      <c r="K867" s="47">
        <v>0.3125</v>
      </c>
      <c r="L867" s="48">
        <v>0.6875</v>
      </c>
      <c r="M867" s="11">
        <f t="shared" si="13"/>
        <v>9</v>
      </c>
      <c r="N867" s="254" t="s">
        <v>1</v>
      </c>
      <c r="P867" s="4"/>
      <c r="Q867" s="4"/>
      <c r="R867" s="4"/>
      <c r="S867" s="4"/>
      <c r="T867" s="4"/>
      <c r="U867" s="4"/>
      <c r="V867" s="4"/>
      <c r="W867" s="4"/>
    </row>
    <row r="868" spans="1:23" s="32" customFormat="1" hidden="1" x14ac:dyDescent="0.3">
      <c r="A868" s="22" t="s">
        <v>20</v>
      </c>
      <c r="B868" s="21">
        <v>46022</v>
      </c>
      <c r="C868" s="22" t="s">
        <v>31</v>
      </c>
      <c r="D868" s="217"/>
      <c r="E868" s="217"/>
      <c r="F868" s="244"/>
      <c r="G868" s="220"/>
      <c r="H868" s="220"/>
      <c r="I868" s="220"/>
      <c r="J868" s="23"/>
      <c r="K868" s="47">
        <v>0.29166666666666669</v>
      </c>
      <c r="L868" s="45">
        <v>0.33333333333333331</v>
      </c>
      <c r="M868" s="11">
        <f t="shared" si="13"/>
        <v>0.99999999999999911</v>
      </c>
      <c r="N868" s="254"/>
      <c r="P868" s="4"/>
      <c r="Q868" s="4"/>
      <c r="R868" s="4"/>
      <c r="S868" s="4"/>
      <c r="T868" s="4"/>
      <c r="U868" s="4"/>
      <c r="V868" s="4"/>
      <c r="W868" s="4"/>
    </row>
    <row r="869" spans="1:23" s="32" customFormat="1" hidden="1" x14ac:dyDescent="0.3">
      <c r="A869" s="22" t="s">
        <v>20</v>
      </c>
      <c r="B869" s="21">
        <v>46022</v>
      </c>
      <c r="C869" s="22" t="s">
        <v>15</v>
      </c>
      <c r="D869" s="13" t="s">
        <v>65</v>
      </c>
      <c r="E869" s="24" t="s">
        <v>615</v>
      </c>
      <c r="F869" s="3" t="s">
        <v>413</v>
      </c>
      <c r="G869" s="21">
        <v>46021</v>
      </c>
      <c r="H869" s="30">
        <v>46022</v>
      </c>
      <c r="I869" s="21"/>
      <c r="J869" s="17"/>
      <c r="K869" s="47">
        <v>0.33333333333333331</v>
      </c>
      <c r="L869" s="48">
        <v>0.6875</v>
      </c>
      <c r="M869" s="11">
        <f t="shared" si="13"/>
        <v>8.5</v>
      </c>
      <c r="N869" s="22" t="s">
        <v>1</v>
      </c>
      <c r="P869" s="4"/>
      <c r="Q869" s="4"/>
      <c r="R869" s="4"/>
      <c r="S869" s="4"/>
      <c r="T869" s="4"/>
      <c r="U869" s="4"/>
      <c r="V869" s="4"/>
      <c r="W869" s="4"/>
    </row>
    <row r="870" spans="1:23" s="32" customFormat="1" hidden="1" x14ac:dyDescent="0.3">
      <c r="A870" s="22" t="s">
        <v>20</v>
      </c>
      <c r="B870" s="21">
        <v>46022</v>
      </c>
      <c r="C870" s="22" t="s">
        <v>17</v>
      </c>
      <c r="D870" s="24" t="s">
        <v>65</v>
      </c>
      <c r="E870" s="22" t="s">
        <v>613</v>
      </c>
      <c r="F870" s="25" t="s">
        <v>614</v>
      </c>
      <c r="G870" s="35">
        <v>46021</v>
      </c>
      <c r="H870" s="30">
        <v>46022</v>
      </c>
      <c r="I870" s="30"/>
      <c r="J870" s="16"/>
      <c r="K870" s="47">
        <v>0.3125</v>
      </c>
      <c r="L870" s="48">
        <v>0.6875</v>
      </c>
      <c r="M870" s="11">
        <f t="shared" si="13"/>
        <v>9</v>
      </c>
      <c r="N870" s="22" t="s">
        <v>1</v>
      </c>
      <c r="P870" s="4"/>
      <c r="Q870" s="4"/>
      <c r="R870" s="4"/>
      <c r="S870" s="4"/>
      <c r="T870" s="4"/>
      <c r="U870" s="4"/>
      <c r="V870" s="4"/>
      <c r="W870" s="4"/>
    </row>
    <row r="871" spans="1:23" s="32" customFormat="1" hidden="1" x14ac:dyDescent="0.3">
      <c r="A871" s="22" t="s">
        <v>20</v>
      </c>
      <c r="B871" s="21">
        <v>46022</v>
      </c>
      <c r="C871" s="22" t="s">
        <v>16</v>
      </c>
      <c r="D871" s="24" t="s">
        <v>65</v>
      </c>
      <c r="E871" s="22" t="s">
        <v>611</v>
      </c>
      <c r="F871" s="25" t="s">
        <v>614</v>
      </c>
      <c r="G871" s="30">
        <v>46021</v>
      </c>
      <c r="H871" s="30">
        <v>46022</v>
      </c>
      <c r="I871" s="30"/>
      <c r="J871" s="30"/>
      <c r="K871" s="45">
        <v>0.3125</v>
      </c>
      <c r="L871" s="48">
        <v>0.6875</v>
      </c>
      <c r="M871" s="11">
        <f t="shared" si="13"/>
        <v>9</v>
      </c>
      <c r="N871" s="22" t="s">
        <v>1</v>
      </c>
      <c r="P871" s="4"/>
      <c r="Q871" s="4"/>
      <c r="R871" s="4"/>
      <c r="S871" s="4"/>
      <c r="T871" s="4"/>
      <c r="U871" s="4"/>
      <c r="V871" s="4"/>
      <c r="W871" s="4"/>
    </row>
    <row r="872" spans="1:23" s="32" customFormat="1" hidden="1" x14ac:dyDescent="0.3">
      <c r="A872" s="22" t="s">
        <v>21</v>
      </c>
      <c r="B872" s="21">
        <v>46024</v>
      </c>
      <c r="C872" s="22" t="s">
        <v>26</v>
      </c>
      <c r="D872" s="24" t="s">
        <v>24</v>
      </c>
      <c r="E872" s="22" t="s">
        <v>653</v>
      </c>
      <c r="F872" s="25" t="s">
        <v>626</v>
      </c>
      <c r="G872" s="23">
        <v>46024</v>
      </c>
      <c r="H872" s="23">
        <v>46024</v>
      </c>
      <c r="I872" s="21"/>
      <c r="J872" s="21"/>
      <c r="K872" s="45">
        <v>0.33333333333333331</v>
      </c>
      <c r="L872" s="48">
        <v>0.70833333333333337</v>
      </c>
      <c r="M872" s="11">
        <f t="shared" si="13"/>
        <v>9.0000000000000018</v>
      </c>
      <c r="N872" s="22" t="s">
        <v>1</v>
      </c>
      <c r="P872" s="4"/>
      <c r="Q872" s="4"/>
      <c r="R872" s="4"/>
      <c r="S872" s="4"/>
      <c r="T872" s="4"/>
      <c r="U872" s="4"/>
      <c r="V872" s="4"/>
      <c r="W872" s="4"/>
    </row>
    <row r="873" spans="1:23" s="32" customFormat="1" hidden="1" x14ac:dyDescent="0.3">
      <c r="A873" s="22" t="s">
        <v>21</v>
      </c>
      <c r="B873" s="21">
        <v>46024</v>
      </c>
      <c r="C873" s="22" t="s">
        <v>37</v>
      </c>
      <c r="D873" s="216" t="s">
        <v>27</v>
      </c>
      <c r="E873" s="214" t="s">
        <v>654</v>
      </c>
      <c r="F873" s="243" t="s">
        <v>655</v>
      </c>
      <c r="G873" s="229">
        <v>46024</v>
      </c>
      <c r="H873" s="229">
        <v>46024</v>
      </c>
      <c r="I873" s="21"/>
      <c r="J873" s="17"/>
      <c r="K873" s="47">
        <v>0.3125</v>
      </c>
      <c r="L873" s="48">
        <v>0.6875</v>
      </c>
      <c r="M873" s="11">
        <f t="shared" si="13"/>
        <v>9</v>
      </c>
      <c r="N873" s="214" t="s">
        <v>1</v>
      </c>
      <c r="P873" s="4"/>
      <c r="Q873" s="4"/>
      <c r="R873" s="4"/>
      <c r="S873" s="4"/>
      <c r="T873" s="4"/>
      <c r="U873" s="4"/>
      <c r="V873" s="4"/>
      <c r="W873" s="4"/>
    </row>
    <row r="874" spans="1:23" s="32" customFormat="1" hidden="1" x14ac:dyDescent="0.3">
      <c r="A874" s="22" t="s">
        <v>21</v>
      </c>
      <c r="B874" s="21">
        <v>46024</v>
      </c>
      <c r="C874" s="22" t="s">
        <v>51</v>
      </c>
      <c r="D874" s="217"/>
      <c r="E874" s="215"/>
      <c r="F874" s="244"/>
      <c r="G874" s="220"/>
      <c r="H874" s="220"/>
      <c r="I874" s="17"/>
      <c r="J874" s="17"/>
      <c r="K874" s="47">
        <v>0.3125</v>
      </c>
      <c r="L874" s="48">
        <v>0.6875</v>
      </c>
      <c r="M874" s="11">
        <f t="shared" si="13"/>
        <v>9</v>
      </c>
      <c r="N874" s="215"/>
      <c r="P874" s="4"/>
      <c r="Q874" s="4"/>
      <c r="R874" s="4"/>
      <c r="S874" s="4"/>
      <c r="T874" s="4"/>
      <c r="U874" s="4"/>
      <c r="V874" s="4"/>
      <c r="W874" s="4"/>
    </row>
    <row r="875" spans="1:23" s="32" customFormat="1" hidden="1" x14ac:dyDescent="0.3">
      <c r="A875" s="22" t="s">
        <v>21</v>
      </c>
      <c r="B875" s="21">
        <v>46024</v>
      </c>
      <c r="C875" s="22" t="s">
        <v>274</v>
      </c>
      <c r="D875" s="214" t="s">
        <v>43</v>
      </c>
      <c r="E875" s="214" t="s">
        <v>424</v>
      </c>
      <c r="F875" s="241" t="s">
        <v>619</v>
      </c>
      <c r="G875" s="219">
        <v>46018</v>
      </c>
      <c r="H875" s="219">
        <v>46024</v>
      </c>
      <c r="I875" s="219"/>
      <c r="J875" s="17"/>
      <c r="K875" s="47">
        <v>0.3125</v>
      </c>
      <c r="L875" s="48">
        <v>0.5</v>
      </c>
      <c r="M875" s="11">
        <f t="shared" si="13"/>
        <v>4.5</v>
      </c>
      <c r="N875" s="214" t="s">
        <v>0</v>
      </c>
      <c r="P875" s="4"/>
      <c r="Q875" s="4"/>
      <c r="R875" s="4"/>
      <c r="S875" s="4"/>
      <c r="T875" s="4"/>
      <c r="U875" s="4"/>
      <c r="V875" s="4"/>
      <c r="W875" s="4"/>
    </row>
    <row r="876" spans="1:23" s="32" customFormat="1" hidden="1" x14ac:dyDescent="0.3">
      <c r="A876" s="22" t="s">
        <v>21</v>
      </c>
      <c r="B876" s="21">
        <v>46024</v>
      </c>
      <c r="C876" s="22" t="s">
        <v>18</v>
      </c>
      <c r="D876" s="226"/>
      <c r="E876" s="226"/>
      <c r="F876" s="242"/>
      <c r="G876" s="229"/>
      <c r="H876" s="229"/>
      <c r="I876" s="229"/>
      <c r="J876" s="23"/>
      <c r="K876" s="47">
        <v>0.3125</v>
      </c>
      <c r="L876" s="48">
        <v>0.5</v>
      </c>
      <c r="M876" s="11">
        <f t="shared" si="13"/>
        <v>4.5</v>
      </c>
      <c r="N876" s="226"/>
      <c r="P876" s="4"/>
      <c r="Q876" s="4"/>
      <c r="R876" s="4"/>
      <c r="S876" s="4"/>
      <c r="T876" s="4"/>
      <c r="U876" s="4"/>
      <c r="V876" s="4"/>
      <c r="W876" s="4"/>
    </row>
    <row r="877" spans="1:23" s="32" customFormat="1" hidden="1" x14ac:dyDescent="0.3">
      <c r="A877" s="22" t="s">
        <v>21</v>
      </c>
      <c r="B877" s="21">
        <v>46024</v>
      </c>
      <c r="C877" s="22" t="s">
        <v>320</v>
      </c>
      <c r="D877" s="215"/>
      <c r="E877" s="215"/>
      <c r="F877" s="248"/>
      <c r="G877" s="220"/>
      <c r="H877" s="220"/>
      <c r="I877" s="220"/>
      <c r="J877" s="23"/>
      <c r="K877" s="47">
        <v>0.3125</v>
      </c>
      <c r="L877" s="48">
        <v>0.5</v>
      </c>
      <c r="M877" s="11">
        <f t="shared" si="13"/>
        <v>4.5</v>
      </c>
      <c r="N877" s="215"/>
      <c r="P877" s="4"/>
      <c r="Q877" s="4"/>
      <c r="R877" s="4"/>
      <c r="S877" s="4"/>
      <c r="T877" s="4"/>
      <c r="U877" s="4"/>
      <c r="V877" s="4"/>
      <c r="W877" s="4"/>
    </row>
    <row r="878" spans="1:23" s="32" customFormat="1" hidden="1" x14ac:dyDescent="0.3">
      <c r="A878" s="22" t="s">
        <v>21</v>
      </c>
      <c r="B878" s="21">
        <v>46024</v>
      </c>
      <c r="C878" s="22" t="s">
        <v>56</v>
      </c>
      <c r="D878" s="12" t="s">
        <v>8</v>
      </c>
      <c r="E878" s="12" t="s">
        <v>73</v>
      </c>
      <c r="F878" s="29" t="s">
        <v>637</v>
      </c>
      <c r="G878" s="23">
        <v>46024</v>
      </c>
      <c r="H878" s="23">
        <v>46024</v>
      </c>
      <c r="I878" s="23"/>
      <c r="J878" s="23"/>
      <c r="K878" s="47">
        <v>0.3125</v>
      </c>
      <c r="L878" s="48">
        <v>0.6875</v>
      </c>
      <c r="M878" s="11">
        <f t="shared" si="13"/>
        <v>9</v>
      </c>
      <c r="N878" s="66" t="s">
        <v>1</v>
      </c>
      <c r="P878" s="4"/>
      <c r="Q878" s="4"/>
      <c r="R878" s="4"/>
      <c r="S878" s="4"/>
      <c r="T878" s="4"/>
      <c r="U878" s="4"/>
      <c r="V878" s="4"/>
      <c r="W878" s="4"/>
    </row>
    <row r="879" spans="1:23" s="32" customFormat="1" hidden="1" x14ac:dyDescent="0.3">
      <c r="A879" s="22" t="s">
        <v>21</v>
      </c>
      <c r="B879" s="21">
        <v>46024</v>
      </c>
      <c r="C879" s="22" t="s">
        <v>118</v>
      </c>
      <c r="D879" s="24" t="s">
        <v>54</v>
      </c>
      <c r="E879" s="22" t="s">
        <v>562</v>
      </c>
      <c r="F879" s="22" t="s">
        <v>617</v>
      </c>
      <c r="G879" s="23">
        <v>46024</v>
      </c>
      <c r="H879" s="23">
        <v>46024</v>
      </c>
      <c r="I879" s="17"/>
      <c r="J879" s="17"/>
      <c r="K879" s="47">
        <v>0.33333333333333331</v>
      </c>
      <c r="L879" s="48">
        <v>0.70833333333333337</v>
      </c>
      <c r="M879" s="11">
        <f t="shared" si="13"/>
        <v>9.0000000000000018</v>
      </c>
      <c r="N879" s="22" t="s">
        <v>1</v>
      </c>
      <c r="P879" s="4"/>
      <c r="Q879" s="4"/>
      <c r="R879" s="4"/>
      <c r="S879" s="4"/>
      <c r="T879" s="4"/>
      <c r="U879" s="4"/>
      <c r="V879" s="4"/>
      <c r="W879" s="4"/>
    </row>
    <row r="880" spans="1:23" s="32" customFormat="1" hidden="1" x14ac:dyDescent="0.3">
      <c r="A880" s="22" t="s">
        <v>21</v>
      </c>
      <c r="B880" s="21">
        <v>46024</v>
      </c>
      <c r="C880" s="22" t="s">
        <v>55</v>
      </c>
      <c r="D880" s="13" t="s">
        <v>27</v>
      </c>
      <c r="E880" s="24" t="s">
        <v>640</v>
      </c>
      <c r="F880" s="28" t="s">
        <v>641</v>
      </c>
      <c r="G880" s="23">
        <v>46024</v>
      </c>
      <c r="H880" s="23">
        <v>46024</v>
      </c>
      <c r="I880" s="21"/>
      <c r="J880" s="17"/>
      <c r="K880" s="47">
        <v>0.3125</v>
      </c>
      <c r="L880" s="48">
        <v>0.6875</v>
      </c>
      <c r="M880" s="11">
        <f t="shared" si="13"/>
        <v>9</v>
      </c>
      <c r="N880" s="11" t="s">
        <v>1</v>
      </c>
      <c r="P880" s="4"/>
      <c r="Q880" s="4"/>
      <c r="R880" s="4"/>
      <c r="S880" s="4"/>
      <c r="T880" s="4"/>
      <c r="U880" s="4"/>
      <c r="V880" s="4"/>
      <c r="W880" s="4"/>
    </row>
    <row r="881" spans="1:23" s="32" customFormat="1" hidden="1" x14ac:dyDescent="0.3">
      <c r="A881" s="22" t="s">
        <v>21</v>
      </c>
      <c r="B881" s="21">
        <v>46024</v>
      </c>
      <c r="C881" s="22" t="s">
        <v>25</v>
      </c>
      <c r="D881" s="24" t="s">
        <v>27</v>
      </c>
      <c r="E881" s="24" t="s">
        <v>638</v>
      </c>
      <c r="F881" s="25" t="s">
        <v>639</v>
      </c>
      <c r="G881" s="23">
        <v>46024</v>
      </c>
      <c r="H881" s="23">
        <v>46024</v>
      </c>
      <c r="I881" s="17"/>
      <c r="J881" s="17"/>
      <c r="K881" s="47">
        <v>0.3125</v>
      </c>
      <c r="L881" s="48">
        <v>0.5</v>
      </c>
      <c r="M881" s="11">
        <f t="shared" si="13"/>
        <v>4.5</v>
      </c>
      <c r="N881" s="11" t="s">
        <v>1</v>
      </c>
      <c r="P881" s="4"/>
      <c r="Q881" s="4"/>
      <c r="R881" s="4"/>
      <c r="S881" s="4"/>
      <c r="T881" s="4"/>
      <c r="U881" s="4"/>
      <c r="V881" s="4"/>
      <c r="W881" s="4"/>
    </row>
    <row r="882" spans="1:23" s="32" customFormat="1" hidden="1" x14ac:dyDescent="0.3">
      <c r="A882" s="22" t="s">
        <v>19</v>
      </c>
      <c r="B882" s="21">
        <v>46024</v>
      </c>
      <c r="C882" s="22" t="s">
        <v>7</v>
      </c>
      <c r="D882" s="214" t="s">
        <v>65</v>
      </c>
      <c r="E882" s="214" t="s">
        <v>331</v>
      </c>
      <c r="F882" s="214" t="s">
        <v>656</v>
      </c>
      <c r="G882" s="219">
        <v>46024</v>
      </c>
      <c r="H882" s="219">
        <v>46024</v>
      </c>
      <c r="I882" s="17"/>
      <c r="J882" s="17"/>
      <c r="K882" s="47">
        <v>0.3125</v>
      </c>
      <c r="L882" s="48">
        <v>0.6875</v>
      </c>
      <c r="M882" s="11">
        <f t="shared" si="13"/>
        <v>9</v>
      </c>
      <c r="N882" s="224" t="s">
        <v>0</v>
      </c>
      <c r="P882" s="4"/>
      <c r="Q882" s="4"/>
      <c r="R882" s="4"/>
      <c r="S882" s="4"/>
      <c r="T882" s="4"/>
      <c r="U882" s="4"/>
      <c r="V882" s="4"/>
      <c r="W882" s="4"/>
    </row>
    <row r="883" spans="1:23" s="32" customFormat="1" hidden="1" x14ac:dyDescent="0.3">
      <c r="A883" s="22" t="s">
        <v>19</v>
      </c>
      <c r="B883" s="21">
        <v>46024</v>
      </c>
      <c r="C883" s="22" t="s">
        <v>208</v>
      </c>
      <c r="D883" s="215"/>
      <c r="E883" s="215"/>
      <c r="F883" s="215"/>
      <c r="G883" s="220"/>
      <c r="H883" s="220"/>
      <c r="I883" s="19"/>
      <c r="J883" s="23"/>
      <c r="K883" s="47">
        <v>0.3125</v>
      </c>
      <c r="L883" s="48">
        <v>0.6875</v>
      </c>
      <c r="M883" s="11">
        <f t="shared" si="13"/>
        <v>9</v>
      </c>
      <c r="N883" s="225"/>
      <c r="P883" s="4"/>
      <c r="Q883" s="4"/>
      <c r="R883" s="4"/>
      <c r="S883" s="4"/>
      <c r="T883" s="4"/>
      <c r="U883" s="4"/>
      <c r="V883" s="4"/>
      <c r="W883" s="4"/>
    </row>
    <row r="884" spans="1:23" s="32" customFormat="1" hidden="1" x14ac:dyDescent="0.3">
      <c r="A884" s="22" t="s">
        <v>19</v>
      </c>
      <c r="B884" s="21">
        <v>46024</v>
      </c>
      <c r="C884" s="22" t="s">
        <v>9</v>
      </c>
      <c r="D884" s="22" t="s">
        <v>8</v>
      </c>
      <c r="E884" s="22" t="s">
        <v>623</v>
      </c>
      <c r="F884" s="22" t="s">
        <v>642</v>
      </c>
      <c r="G884" s="21">
        <v>46024</v>
      </c>
      <c r="H884" s="21">
        <v>46024</v>
      </c>
      <c r="I884" s="21"/>
      <c r="J884" s="21"/>
      <c r="K884" s="45">
        <v>0.3125</v>
      </c>
      <c r="L884" s="48">
        <v>0.4375</v>
      </c>
      <c r="M884" s="11">
        <f t="shared" si="13"/>
        <v>3</v>
      </c>
      <c r="N884" s="42" t="s">
        <v>0</v>
      </c>
      <c r="P884" s="4"/>
      <c r="Q884" s="4"/>
      <c r="R884" s="4"/>
      <c r="S884" s="4"/>
      <c r="T884" s="4"/>
      <c r="U884" s="4"/>
      <c r="V884" s="4"/>
      <c r="W884" s="4"/>
    </row>
    <row r="885" spans="1:23" s="32" customFormat="1" hidden="1" x14ac:dyDescent="0.3">
      <c r="A885" s="22" t="s">
        <v>19</v>
      </c>
      <c r="B885" s="21">
        <v>46024</v>
      </c>
      <c r="C885" s="22" t="s">
        <v>9</v>
      </c>
      <c r="D885" s="12" t="s">
        <v>8</v>
      </c>
      <c r="E885" s="12" t="s">
        <v>643</v>
      </c>
      <c r="F885" s="12" t="s">
        <v>657</v>
      </c>
      <c r="G885" s="21">
        <v>46024</v>
      </c>
      <c r="H885" s="21">
        <v>46024</v>
      </c>
      <c r="I885" s="23"/>
      <c r="J885" s="23"/>
      <c r="K885" s="48">
        <v>0.4375</v>
      </c>
      <c r="L885" s="53">
        <v>0.60416666666666663</v>
      </c>
      <c r="M885" s="11">
        <f t="shared" si="13"/>
        <v>3.9999999999999991</v>
      </c>
      <c r="N885" s="80" t="s">
        <v>30</v>
      </c>
      <c r="P885" s="4"/>
      <c r="Q885" s="4"/>
      <c r="R885" s="4"/>
      <c r="S885" s="4"/>
      <c r="T885" s="4"/>
      <c r="U885" s="4"/>
      <c r="V885" s="4"/>
      <c r="W885" s="4"/>
    </row>
    <row r="886" spans="1:23" s="32" customFormat="1" hidden="1" x14ac:dyDescent="0.3">
      <c r="A886" s="22" t="s">
        <v>19</v>
      </c>
      <c r="B886" s="21">
        <v>46024</v>
      </c>
      <c r="C886" s="22" t="s">
        <v>9</v>
      </c>
      <c r="D886" s="12" t="s">
        <v>32</v>
      </c>
      <c r="E886" s="18" t="s">
        <v>658</v>
      </c>
      <c r="F886" s="18" t="s">
        <v>244</v>
      </c>
      <c r="G886" s="21">
        <v>46024</v>
      </c>
      <c r="H886" s="21">
        <v>46024</v>
      </c>
      <c r="I886" s="23"/>
      <c r="J886" s="23"/>
      <c r="K886" s="49">
        <v>0.60416666666666663</v>
      </c>
      <c r="L886" s="48">
        <v>0.6875</v>
      </c>
      <c r="M886" s="11">
        <f t="shared" si="13"/>
        <v>2.0000000000000009</v>
      </c>
      <c r="N886" s="42" t="s">
        <v>0</v>
      </c>
      <c r="P886" s="4"/>
      <c r="Q886" s="4"/>
      <c r="R886" s="4"/>
      <c r="S886" s="4"/>
      <c r="T886" s="4"/>
      <c r="U886" s="4"/>
      <c r="V886" s="4"/>
      <c r="W886" s="4"/>
    </row>
    <row r="887" spans="1:23" s="32" customFormat="1" hidden="1" x14ac:dyDescent="0.3">
      <c r="A887" s="22" t="s">
        <v>20</v>
      </c>
      <c r="B887" s="21">
        <v>46024</v>
      </c>
      <c r="C887" s="69" t="s">
        <v>33</v>
      </c>
      <c r="D887" s="11" t="s">
        <v>44</v>
      </c>
      <c r="E887" s="11" t="s">
        <v>606</v>
      </c>
      <c r="F887" s="11" t="s">
        <v>607</v>
      </c>
      <c r="G887" s="21">
        <v>46024</v>
      </c>
      <c r="H887" s="21">
        <v>46024</v>
      </c>
      <c r="I887" s="17"/>
      <c r="J887" s="17"/>
      <c r="K887" s="47">
        <v>0.3125</v>
      </c>
      <c r="L887" s="48">
        <v>0.6875</v>
      </c>
      <c r="M887" s="11">
        <f t="shared" si="13"/>
        <v>9</v>
      </c>
      <c r="N887" s="42" t="s">
        <v>0</v>
      </c>
      <c r="P887" s="4"/>
      <c r="Q887" s="4"/>
      <c r="R887" s="4"/>
      <c r="S887" s="4"/>
      <c r="T887" s="4"/>
      <c r="U887" s="4"/>
      <c r="V887" s="4"/>
      <c r="W887" s="4"/>
    </row>
    <row r="888" spans="1:23" s="32" customFormat="1" hidden="1" x14ac:dyDescent="0.3">
      <c r="A888" s="22" t="s">
        <v>20</v>
      </c>
      <c r="B888" s="21">
        <v>46024</v>
      </c>
      <c r="C888" s="69" t="s">
        <v>444</v>
      </c>
      <c r="D888" s="233" t="s">
        <v>44</v>
      </c>
      <c r="E888" s="214" t="s">
        <v>422</v>
      </c>
      <c r="F888" s="241" t="s">
        <v>644</v>
      </c>
      <c r="G888" s="219">
        <v>46024</v>
      </c>
      <c r="H888" s="219">
        <v>46024</v>
      </c>
      <c r="I888" s="223"/>
      <c r="J888" s="17"/>
      <c r="K888" s="47">
        <v>0.33333333333333331</v>
      </c>
      <c r="L888" s="48">
        <v>0.70833333333333337</v>
      </c>
      <c r="M888" s="11">
        <f t="shared" si="13"/>
        <v>9.0000000000000018</v>
      </c>
      <c r="N888" s="231" t="s">
        <v>0</v>
      </c>
      <c r="P888" s="4"/>
      <c r="Q888" s="4"/>
      <c r="R888" s="4"/>
      <c r="S888" s="4"/>
      <c r="T888" s="4"/>
      <c r="U888" s="4"/>
      <c r="V888" s="4"/>
      <c r="W888" s="4"/>
    </row>
    <row r="889" spans="1:23" s="32" customFormat="1" hidden="1" x14ac:dyDescent="0.3">
      <c r="A889" s="22" t="s">
        <v>20</v>
      </c>
      <c r="B889" s="21">
        <v>46024</v>
      </c>
      <c r="C889" s="69" t="s">
        <v>421</v>
      </c>
      <c r="D889" s="233"/>
      <c r="E889" s="215"/>
      <c r="F889" s="248"/>
      <c r="G889" s="220"/>
      <c r="H889" s="220"/>
      <c r="I889" s="223"/>
      <c r="J889" s="17"/>
      <c r="K889" s="47">
        <v>0.33333333333333331</v>
      </c>
      <c r="L889" s="48">
        <v>0.70833333333333337</v>
      </c>
      <c r="M889" s="11">
        <f t="shared" si="13"/>
        <v>9.0000000000000018</v>
      </c>
      <c r="N889" s="225"/>
      <c r="P889" s="4"/>
      <c r="Q889" s="4"/>
      <c r="R889" s="4"/>
      <c r="S889" s="4"/>
      <c r="T889" s="4"/>
      <c r="U889" s="4"/>
      <c r="V889" s="4"/>
      <c r="W889" s="4"/>
    </row>
    <row r="890" spans="1:23" s="32" customFormat="1" hidden="1" x14ac:dyDescent="0.3">
      <c r="A890" s="22" t="s">
        <v>20</v>
      </c>
      <c r="B890" s="21">
        <v>46024</v>
      </c>
      <c r="C890" s="69" t="s">
        <v>12</v>
      </c>
      <c r="D890" s="11" t="s">
        <v>27</v>
      </c>
      <c r="E890" s="18" t="s">
        <v>82</v>
      </c>
      <c r="F890" s="73" t="s">
        <v>82</v>
      </c>
      <c r="G890" s="21">
        <v>46024</v>
      </c>
      <c r="H890" s="21">
        <v>46024</v>
      </c>
      <c r="I890" s="17"/>
      <c r="J890" s="17"/>
      <c r="K890" s="47">
        <v>0.3125</v>
      </c>
      <c r="L890" s="48">
        <v>0.5</v>
      </c>
      <c r="M890" s="11">
        <f t="shared" si="13"/>
        <v>4.5</v>
      </c>
      <c r="N890" s="42" t="s">
        <v>0</v>
      </c>
      <c r="P890" s="4"/>
      <c r="Q890" s="4"/>
      <c r="R890" s="4"/>
      <c r="S890" s="4"/>
      <c r="T890" s="4"/>
      <c r="U890" s="4"/>
      <c r="V890" s="4"/>
      <c r="W890" s="4"/>
    </row>
    <row r="891" spans="1:23" s="32" customFormat="1" hidden="1" x14ac:dyDescent="0.3">
      <c r="A891" s="22" t="s">
        <v>20</v>
      </c>
      <c r="B891" s="21">
        <v>46024</v>
      </c>
      <c r="C891" s="69" t="s">
        <v>12</v>
      </c>
      <c r="D891" s="11" t="s">
        <v>44</v>
      </c>
      <c r="E891" s="18" t="s">
        <v>660</v>
      </c>
      <c r="F891" s="73" t="s">
        <v>661</v>
      </c>
      <c r="G891" s="21">
        <v>46024</v>
      </c>
      <c r="H891" s="21">
        <v>46024</v>
      </c>
      <c r="I891" s="17"/>
      <c r="J891" s="17"/>
      <c r="K891" s="47">
        <v>0.58333333333333337</v>
      </c>
      <c r="L891" s="48">
        <v>0.6875</v>
      </c>
      <c r="M891" s="11">
        <f t="shared" si="13"/>
        <v>2.4999999999999991</v>
      </c>
      <c r="N891" s="42" t="s">
        <v>0</v>
      </c>
      <c r="P891" s="4"/>
      <c r="Q891" s="4"/>
      <c r="R891" s="4"/>
      <c r="S891" s="4"/>
      <c r="T891" s="4"/>
      <c r="U891" s="4"/>
      <c r="V891" s="4"/>
      <c r="W891" s="4"/>
    </row>
    <row r="892" spans="1:23" s="32" customFormat="1" hidden="1" x14ac:dyDescent="0.3">
      <c r="A892" s="22" t="s">
        <v>20</v>
      </c>
      <c r="B892" s="21">
        <v>46024</v>
      </c>
      <c r="C892" s="22" t="s">
        <v>28</v>
      </c>
      <c r="D892" s="13" t="s">
        <v>65</v>
      </c>
      <c r="E892" s="13" t="s">
        <v>645</v>
      </c>
      <c r="F892" s="26" t="s">
        <v>646</v>
      </c>
      <c r="G892" s="21">
        <v>46024</v>
      </c>
      <c r="H892" s="21">
        <v>46024</v>
      </c>
      <c r="I892" s="17"/>
      <c r="J892" s="17"/>
      <c r="K892" s="47">
        <v>0.33333333333333331</v>
      </c>
      <c r="L892" s="48">
        <v>0.79166666666666663</v>
      </c>
      <c r="M892" s="11">
        <f t="shared" si="13"/>
        <v>11</v>
      </c>
      <c r="N892" s="22" t="s">
        <v>1</v>
      </c>
      <c r="P892" s="4"/>
      <c r="Q892" s="4"/>
      <c r="R892" s="4"/>
      <c r="S892" s="4"/>
      <c r="T892" s="4"/>
      <c r="U892" s="4"/>
      <c r="V892" s="4"/>
      <c r="W892" s="4"/>
    </row>
    <row r="893" spans="1:23" s="32" customFormat="1" hidden="1" x14ac:dyDescent="0.3">
      <c r="A893" s="22" t="s">
        <v>20</v>
      </c>
      <c r="B893" s="21">
        <v>46024</v>
      </c>
      <c r="C893" s="22" t="s">
        <v>47</v>
      </c>
      <c r="D893" s="216" t="s">
        <v>65</v>
      </c>
      <c r="E893" s="216" t="s">
        <v>647</v>
      </c>
      <c r="F893" s="243" t="s">
        <v>648</v>
      </c>
      <c r="G893" s="219">
        <v>46024</v>
      </c>
      <c r="H893" s="219">
        <v>46024</v>
      </c>
      <c r="I893" s="219"/>
      <c r="J893" s="17"/>
      <c r="K893" s="47">
        <v>0.3125</v>
      </c>
      <c r="L893" s="48">
        <v>0.79166666666666663</v>
      </c>
      <c r="M893" s="11">
        <f t="shared" si="13"/>
        <v>11.5</v>
      </c>
      <c r="N893" s="251" t="s">
        <v>30</v>
      </c>
      <c r="P893" s="4"/>
      <c r="Q893" s="4"/>
      <c r="R893" s="4"/>
      <c r="S893" s="4"/>
      <c r="T893" s="4"/>
      <c r="U893" s="4"/>
      <c r="V893" s="4"/>
      <c r="W893" s="4"/>
    </row>
    <row r="894" spans="1:23" s="32" customFormat="1" hidden="1" x14ac:dyDescent="0.3">
      <c r="A894" s="22" t="s">
        <v>20</v>
      </c>
      <c r="B894" s="21">
        <v>46024</v>
      </c>
      <c r="C894" s="22" t="s">
        <v>31</v>
      </c>
      <c r="D894" s="217"/>
      <c r="E894" s="217"/>
      <c r="F894" s="244"/>
      <c r="G894" s="220"/>
      <c r="H894" s="220"/>
      <c r="I894" s="220"/>
      <c r="J894" s="23"/>
      <c r="K894" s="47">
        <v>0.33333333333333331</v>
      </c>
      <c r="L894" s="48">
        <v>0.41666666666666669</v>
      </c>
      <c r="M894" s="11">
        <f t="shared" si="13"/>
        <v>2.0000000000000009</v>
      </c>
      <c r="N894" s="247"/>
      <c r="P894" s="4"/>
      <c r="Q894" s="4"/>
      <c r="R894" s="4"/>
      <c r="S894" s="4"/>
      <c r="T894" s="4"/>
      <c r="U894" s="4"/>
      <c r="V894" s="4"/>
      <c r="W894" s="4"/>
    </row>
    <row r="895" spans="1:23" s="32" customFormat="1" hidden="1" x14ac:dyDescent="0.3">
      <c r="A895" s="22" t="s">
        <v>20</v>
      </c>
      <c r="B895" s="21">
        <v>46024</v>
      </c>
      <c r="C895" s="22" t="s">
        <v>47</v>
      </c>
      <c r="D895" s="20" t="s">
        <v>65</v>
      </c>
      <c r="E895" s="20" t="s">
        <v>635</v>
      </c>
      <c r="F895" s="3" t="s">
        <v>651</v>
      </c>
      <c r="G895" s="21">
        <v>46024</v>
      </c>
      <c r="H895" s="21">
        <v>46024</v>
      </c>
      <c r="I895" s="23"/>
      <c r="J895" s="23"/>
      <c r="K895" s="47">
        <v>0.33333333333333331</v>
      </c>
      <c r="L895" s="48">
        <v>0.70833333333333337</v>
      </c>
      <c r="M895" s="11">
        <f t="shared" si="13"/>
        <v>9.0000000000000018</v>
      </c>
      <c r="N895" s="43" t="s">
        <v>0</v>
      </c>
      <c r="P895" s="4"/>
      <c r="Q895" s="4"/>
      <c r="R895" s="4"/>
      <c r="S895" s="4"/>
      <c r="T895" s="4"/>
      <c r="U895" s="4"/>
      <c r="V895" s="4"/>
      <c r="W895" s="4"/>
    </row>
    <row r="896" spans="1:23" s="32" customFormat="1" hidden="1" x14ac:dyDescent="0.3">
      <c r="A896" s="22" t="s">
        <v>20</v>
      </c>
      <c r="B896" s="21">
        <v>46024</v>
      </c>
      <c r="C896" s="22" t="s">
        <v>167</v>
      </c>
      <c r="D896" s="216" t="s">
        <v>65</v>
      </c>
      <c r="E896" s="216" t="s">
        <v>583</v>
      </c>
      <c r="F896" s="243" t="s">
        <v>649</v>
      </c>
      <c r="G896" s="219">
        <v>46024</v>
      </c>
      <c r="H896" s="219">
        <v>46024</v>
      </c>
      <c r="I896" s="219"/>
      <c r="J896" s="17"/>
      <c r="K896" s="47">
        <v>0.3125</v>
      </c>
      <c r="L896" s="48">
        <v>0.6875</v>
      </c>
      <c r="M896" s="11">
        <f t="shared" si="13"/>
        <v>9</v>
      </c>
      <c r="N896" s="249" t="s">
        <v>0</v>
      </c>
      <c r="P896" s="4"/>
      <c r="Q896" s="4"/>
      <c r="R896" s="4"/>
      <c r="S896" s="4"/>
      <c r="T896" s="4"/>
      <c r="U896" s="4"/>
      <c r="V896" s="4"/>
      <c r="W896" s="4"/>
    </row>
    <row r="897" spans="1:23" s="32" customFormat="1" hidden="1" x14ac:dyDescent="0.3">
      <c r="A897" s="22" t="s">
        <v>20</v>
      </c>
      <c r="B897" s="21">
        <v>46024</v>
      </c>
      <c r="C897" s="22" t="s">
        <v>31</v>
      </c>
      <c r="D897" s="217"/>
      <c r="E897" s="217"/>
      <c r="F897" s="244"/>
      <c r="G897" s="220"/>
      <c r="H897" s="220"/>
      <c r="I897" s="220"/>
      <c r="J897" s="23"/>
      <c r="K897" s="47">
        <v>0.29166666666666669</v>
      </c>
      <c r="L897" s="45">
        <v>0.375</v>
      </c>
      <c r="M897" s="11">
        <f t="shared" si="13"/>
        <v>1.9999999999999996</v>
      </c>
      <c r="N897" s="249"/>
      <c r="P897" s="4"/>
      <c r="Q897" s="4"/>
      <c r="R897" s="4"/>
      <c r="S897" s="4"/>
      <c r="T897" s="4"/>
      <c r="U897" s="4"/>
      <c r="V897" s="4"/>
      <c r="W897" s="4"/>
    </row>
    <row r="898" spans="1:23" s="32" customFormat="1" hidden="1" x14ac:dyDescent="0.3">
      <c r="A898" s="22" t="s">
        <v>20</v>
      </c>
      <c r="B898" s="21">
        <v>46024</v>
      </c>
      <c r="C898" s="22" t="s">
        <v>167</v>
      </c>
      <c r="D898" s="13" t="s">
        <v>65</v>
      </c>
      <c r="E898" s="14" t="s">
        <v>659</v>
      </c>
      <c r="F898" s="25" t="s">
        <v>166</v>
      </c>
      <c r="G898" s="21">
        <v>46024</v>
      </c>
      <c r="H898" s="21">
        <v>46024</v>
      </c>
      <c r="I898" s="19"/>
      <c r="J898" s="23"/>
      <c r="K898" s="47">
        <v>0.60416666666666663</v>
      </c>
      <c r="L898" s="45">
        <v>0.77083333333333337</v>
      </c>
      <c r="M898" s="11">
        <f t="shared" ref="M898:M961" si="14">MOD(L898-K898,1)*24</f>
        <v>4.0000000000000018</v>
      </c>
      <c r="N898" s="42" t="s">
        <v>0</v>
      </c>
      <c r="P898" s="4"/>
      <c r="Q898" s="4"/>
      <c r="R898" s="4"/>
      <c r="S898" s="4"/>
      <c r="T898" s="4"/>
      <c r="U898" s="4"/>
      <c r="V898" s="4"/>
      <c r="W898" s="4"/>
    </row>
    <row r="899" spans="1:23" s="32" customFormat="1" hidden="1" x14ac:dyDescent="0.3">
      <c r="A899" s="22" t="s">
        <v>20</v>
      </c>
      <c r="B899" s="21">
        <v>46024</v>
      </c>
      <c r="C899" s="22" t="s">
        <v>15</v>
      </c>
      <c r="D899" s="13" t="s">
        <v>65</v>
      </c>
      <c r="E899" s="24" t="s">
        <v>615</v>
      </c>
      <c r="F899" s="3" t="s">
        <v>413</v>
      </c>
      <c r="G899" s="21">
        <v>46024</v>
      </c>
      <c r="H899" s="21">
        <v>46024</v>
      </c>
      <c r="I899" s="21"/>
      <c r="J899" s="17"/>
      <c r="K899" s="47">
        <v>0.33333333333333331</v>
      </c>
      <c r="L899" s="48">
        <v>0.6875</v>
      </c>
      <c r="M899" s="11">
        <f t="shared" si="14"/>
        <v>8.5</v>
      </c>
      <c r="N899" s="22" t="s">
        <v>30</v>
      </c>
      <c r="P899" s="4"/>
      <c r="Q899" s="4"/>
      <c r="R899" s="4"/>
      <c r="S899" s="4"/>
      <c r="T899" s="4"/>
      <c r="U899" s="4"/>
      <c r="V899" s="4"/>
      <c r="W899" s="4"/>
    </row>
    <row r="900" spans="1:23" s="32" customFormat="1" hidden="1" x14ac:dyDescent="0.3">
      <c r="A900" s="22" t="s">
        <v>20</v>
      </c>
      <c r="B900" s="21">
        <v>46024</v>
      </c>
      <c r="C900" s="22" t="s">
        <v>17</v>
      </c>
      <c r="D900" s="24" t="s">
        <v>65</v>
      </c>
      <c r="E900" s="22" t="s">
        <v>613</v>
      </c>
      <c r="F900" s="25" t="s">
        <v>650</v>
      </c>
      <c r="G900" s="21">
        <v>46024</v>
      </c>
      <c r="H900" s="21">
        <v>46024</v>
      </c>
      <c r="I900" s="30"/>
      <c r="J900" s="16"/>
      <c r="K900" s="47">
        <v>0.3125</v>
      </c>
      <c r="L900" s="48">
        <v>0.77083333333333337</v>
      </c>
      <c r="M900" s="11">
        <f t="shared" si="14"/>
        <v>11</v>
      </c>
      <c r="N900" s="22" t="s">
        <v>0</v>
      </c>
      <c r="P900" s="4"/>
      <c r="Q900" s="4"/>
      <c r="R900" s="4"/>
      <c r="S900" s="4"/>
      <c r="T900" s="4"/>
      <c r="U900" s="4"/>
      <c r="V900" s="4"/>
      <c r="W900" s="4"/>
    </row>
    <row r="901" spans="1:23" s="32" customFormat="1" hidden="1" x14ac:dyDescent="0.3">
      <c r="A901" s="22" t="s">
        <v>20</v>
      </c>
      <c r="B901" s="21">
        <v>46024</v>
      </c>
      <c r="C901" s="22" t="s">
        <v>16</v>
      </c>
      <c r="D901" s="24" t="s">
        <v>65</v>
      </c>
      <c r="E901" s="22" t="s">
        <v>611</v>
      </c>
      <c r="F901" s="25" t="s">
        <v>652</v>
      </c>
      <c r="G901" s="21">
        <v>46024</v>
      </c>
      <c r="H901" s="21">
        <v>46024</v>
      </c>
      <c r="I901" s="30"/>
      <c r="J901" s="30"/>
      <c r="K901" s="45">
        <v>0.3125</v>
      </c>
      <c r="L901" s="48">
        <v>0.77083333333333337</v>
      </c>
      <c r="M901" s="11">
        <f t="shared" si="14"/>
        <v>11</v>
      </c>
      <c r="N901" s="22" t="s">
        <v>0</v>
      </c>
      <c r="P901" s="4"/>
      <c r="Q901" s="4"/>
      <c r="R901" s="4"/>
      <c r="S901" s="4"/>
      <c r="T901" s="4"/>
      <c r="U901" s="4"/>
      <c r="V901" s="4"/>
      <c r="W901" s="4"/>
    </row>
    <row r="902" spans="1:23" s="32" customFormat="1" hidden="1" x14ac:dyDescent="0.3">
      <c r="A902" s="22" t="s">
        <v>21</v>
      </c>
      <c r="B902" s="21">
        <v>46025</v>
      </c>
      <c r="C902" s="22" t="s">
        <v>26</v>
      </c>
      <c r="D902" s="24" t="s">
        <v>24</v>
      </c>
      <c r="E902" s="22" t="s">
        <v>674</v>
      </c>
      <c r="F902" s="26" t="s">
        <v>675</v>
      </c>
      <c r="G902" s="23">
        <v>46024</v>
      </c>
      <c r="H902" s="23">
        <v>46025</v>
      </c>
      <c r="I902" s="23">
        <v>46025</v>
      </c>
      <c r="J902" s="23"/>
      <c r="K902" s="45">
        <v>0.33333333333333331</v>
      </c>
      <c r="L902" s="48">
        <v>0.70833333333333337</v>
      </c>
      <c r="M902" s="11">
        <f t="shared" si="14"/>
        <v>9.0000000000000018</v>
      </c>
      <c r="N902" s="22" t="s">
        <v>0</v>
      </c>
      <c r="P902" s="4"/>
      <c r="Q902" s="4"/>
      <c r="R902" s="4"/>
      <c r="S902" s="4"/>
      <c r="T902" s="4"/>
      <c r="U902" s="4"/>
      <c r="V902" s="4"/>
      <c r="W902" s="4"/>
    </row>
    <row r="903" spans="1:23" s="32" customFormat="1" hidden="1" x14ac:dyDescent="0.3">
      <c r="A903" s="22" t="s">
        <v>21</v>
      </c>
      <c r="B903" s="21">
        <v>46025</v>
      </c>
      <c r="C903" s="22" t="s">
        <v>37</v>
      </c>
      <c r="D903" s="24" t="s">
        <v>24</v>
      </c>
      <c r="E903" s="22" t="s">
        <v>677</v>
      </c>
      <c r="F903" s="25" t="s">
        <v>676</v>
      </c>
      <c r="G903" s="21">
        <v>46025</v>
      </c>
      <c r="H903" s="21">
        <v>46025</v>
      </c>
      <c r="I903" s="21"/>
      <c r="J903" s="17"/>
      <c r="K903" s="47">
        <v>0.3125</v>
      </c>
      <c r="L903" s="48">
        <v>0.6875</v>
      </c>
      <c r="M903" s="11">
        <f t="shared" si="14"/>
        <v>9</v>
      </c>
      <c r="N903" s="11" t="s">
        <v>1</v>
      </c>
      <c r="P903" s="4"/>
      <c r="Q903" s="4"/>
      <c r="R903" s="4"/>
      <c r="S903" s="4"/>
      <c r="T903" s="4"/>
      <c r="U903" s="4"/>
      <c r="V903" s="4"/>
      <c r="W903" s="4"/>
    </row>
    <row r="904" spans="1:23" s="32" customFormat="1" hidden="1" x14ac:dyDescent="0.3">
      <c r="A904" s="22" t="s">
        <v>21</v>
      </c>
      <c r="B904" s="21">
        <v>46025</v>
      </c>
      <c r="C904" s="22" t="s">
        <v>50</v>
      </c>
      <c r="D904" s="24" t="s">
        <v>24</v>
      </c>
      <c r="E904" s="22" t="s">
        <v>678</v>
      </c>
      <c r="F904" s="25" t="s">
        <v>676</v>
      </c>
      <c r="G904" s="21">
        <v>46025</v>
      </c>
      <c r="H904" s="21">
        <v>46025</v>
      </c>
      <c r="I904" s="17"/>
      <c r="J904" s="23"/>
      <c r="K904" s="50">
        <v>0.33333333333333331</v>
      </c>
      <c r="L904" s="48">
        <v>0.70833333333333337</v>
      </c>
      <c r="M904" s="11">
        <f t="shared" si="14"/>
        <v>9.0000000000000018</v>
      </c>
      <c r="N904" s="11" t="s">
        <v>1</v>
      </c>
      <c r="P904" s="4"/>
      <c r="Q904" s="4"/>
      <c r="R904" s="4"/>
      <c r="S904" s="4"/>
      <c r="T904" s="4"/>
      <c r="U904" s="4"/>
      <c r="V904" s="4"/>
      <c r="W904" s="4"/>
    </row>
    <row r="905" spans="1:23" s="32" customFormat="1" hidden="1" x14ac:dyDescent="0.3">
      <c r="A905" s="22" t="s">
        <v>21</v>
      </c>
      <c r="B905" s="21">
        <v>46025</v>
      </c>
      <c r="C905" s="22" t="s">
        <v>274</v>
      </c>
      <c r="D905" s="233" t="s">
        <v>43</v>
      </c>
      <c r="E905" s="233" t="s">
        <v>662</v>
      </c>
      <c r="F905" s="238" t="s">
        <v>663</v>
      </c>
      <c r="G905" s="223">
        <v>46025</v>
      </c>
      <c r="H905" s="223">
        <v>46025</v>
      </c>
      <c r="I905" s="223">
        <v>46025</v>
      </c>
      <c r="J905" s="21"/>
      <c r="K905" s="45">
        <v>0.29166666666666669</v>
      </c>
      <c r="L905" s="48">
        <v>0.5</v>
      </c>
      <c r="M905" s="11">
        <f t="shared" si="14"/>
        <v>5</v>
      </c>
      <c r="N905" s="233" t="s">
        <v>0</v>
      </c>
      <c r="P905" s="4"/>
      <c r="Q905" s="4"/>
      <c r="R905" s="4"/>
      <c r="S905" s="4"/>
      <c r="T905" s="4"/>
      <c r="U905" s="4"/>
      <c r="V905" s="4"/>
      <c r="W905" s="4"/>
    </row>
    <row r="906" spans="1:23" s="32" customFormat="1" hidden="1" x14ac:dyDescent="0.3">
      <c r="A906" s="22" t="s">
        <v>21</v>
      </c>
      <c r="B906" s="21">
        <v>46025</v>
      </c>
      <c r="C906" s="22" t="s">
        <v>18</v>
      </c>
      <c r="D906" s="233"/>
      <c r="E906" s="233"/>
      <c r="F906" s="238"/>
      <c r="G906" s="223"/>
      <c r="H906" s="223"/>
      <c r="I906" s="223"/>
      <c r="J906" s="21"/>
      <c r="K906" s="45">
        <v>0.29166666666666669</v>
      </c>
      <c r="L906" s="48">
        <v>0.5</v>
      </c>
      <c r="M906" s="11">
        <f t="shared" si="14"/>
        <v>5</v>
      </c>
      <c r="N906" s="233"/>
      <c r="P906" s="4"/>
      <c r="Q906" s="4"/>
      <c r="R906" s="4"/>
      <c r="S906" s="4"/>
      <c r="T906" s="4"/>
      <c r="U906" s="4"/>
      <c r="V906" s="4"/>
      <c r="W906" s="4"/>
    </row>
    <row r="907" spans="1:23" s="32" customFormat="1" hidden="1" x14ac:dyDescent="0.3">
      <c r="A907" s="22" t="s">
        <v>21</v>
      </c>
      <c r="B907" s="21">
        <v>46025</v>
      </c>
      <c r="C907" s="22" t="s">
        <v>320</v>
      </c>
      <c r="D907" s="214" t="s">
        <v>8</v>
      </c>
      <c r="E907" s="214" t="s">
        <v>73</v>
      </c>
      <c r="F907" s="241" t="s">
        <v>664</v>
      </c>
      <c r="G907" s="223">
        <v>46025</v>
      </c>
      <c r="H907" s="223">
        <v>46025</v>
      </c>
      <c r="I907" s="223">
        <v>46025</v>
      </c>
      <c r="J907" s="23"/>
      <c r="K907" s="50">
        <v>0.33333333333333331</v>
      </c>
      <c r="L907" s="53">
        <v>0.54166666666666663</v>
      </c>
      <c r="M907" s="11">
        <f t="shared" si="14"/>
        <v>5</v>
      </c>
      <c r="N907" s="224" t="s">
        <v>0</v>
      </c>
      <c r="P907" s="4"/>
      <c r="Q907" s="4"/>
      <c r="R907" s="4"/>
      <c r="S907" s="4"/>
      <c r="T907" s="4"/>
      <c r="U907" s="4"/>
      <c r="V907" s="4"/>
      <c r="W907" s="4"/>
    </row>
    <row r="908" spans="1:23" s="32" customFormat="1" hidden="1" x14ac:dyDescent="0.3">
      <c r="A908" s="22" t="s">
        <v>21</v>
      </c>
      <c r="B908" s="21">
        <v>46025</v>
      </c>
      <c r="C908" s="22" t="s">
        <v>56</v>
      </c>
      <c r="D908" s="215"/>
      <c r="E908" s="215"/>
      <c r="F908" s="248"/>
      <c r="G908" s="223"/>
      <c r="H908" s="223"/>
      <c r="I908" s="223"/>
      <c r="J908" s="23"/>
      <c r="K908" s="50">
        <v>0.33333333333333331</v>
      </c>
      <c r="L908" s="53">
        <v>0.54166666666666663</v>
      </c>
      <c r="M908" s="11">
        <f t="shared" si="14"/>
        <v>5</v>
      </c>
      <c r="N908" s="225"/>
      <c r="P908" s="4"/>
      <c r="Q908" s="4"/>
      <c r="R908" s="4"/>
      <c r="S908" s="4"/>
      <c r="T908" s="4"/>
      <c r="U908" s="4"/>
      <c r="V908" s="4"/>
      <c r="W908" s="4"/>
    </row>
    <row r="909" spans="1:23" s="32" customFormat="1" hidden="1" x14ac:dyDescent="0.3">
      <c r="A909" s="22" t="s">
        <v>21</v>
      </c>
      <c r="B909" s="21">
        <v>46025</v>
      </c>
      <c r="C909" s="22" t="s">
        <v>118</v>
      </c>
      <c r="D909" s="24" t="s">
        <v>54</v>
      </c>
      <c r="E909" s="22" t="s">
        <v>562</v>
      </c>
      <c r="F909" s="22" t="s">
        <v>665</v>
      </c>
      <c r="G909" s="23">
        <v>46025</v>
      </c>
      <c r="H909" s="23">
        <v>46025</v>
      </c>
      <c r="I909" s="23">
        <v>46025</v>
      </c>
      <c r="J909" s="23"/>
      <c r="K909" s="47">
        <v>0.33333333333333331</v>
      </c>
      <c r="L909" s="48">
        <v>0.70833333333333337</v>
      </c>
      <c r="M909" s="11">
        <f t="shared" si="14"/>
        <v>9.0000000000000018</v>
      </c>
      <c r="N909" s="22" t="s">
        <v>0</v>
      </c>
      <c r="P909" s="4"/>
      <c r="Q909" s="4"/>
      <c r="R909" s="4"/>
      <c r="S909" s="4"/>
      <c r="T909" s="4"/>
      <c r="U909" s="4"/>
      <c r="V909" s="4"/>
      <c r="W909" s="4"/>
    </row>
    <row r="910" spans="1:23" s="32" customFormat="1" hidden="1" x14ac:dyDescent="0.3">
      <c r="A910" s="22" t="s">
        <v>21</v>
      </c>
      <c r="B910" s="21">
        <v>46025</v>
      </c>
      <c r="C910" s="22" t="s">
        <v>55</v>
      </c>
      <c r="D910" s="13" t="s">
        <v>43</v>
      </c>
      <c r="E910" s="24" t="s">
        <v>592</v>
      </c>
      <c r="F910" s="28" t="s">
        <v>125</v>
      </c>
      <c r="G910" s="23">
        <v>46025</v>
      </c>
      <c r="H910" s="23">
        <v>46025</v>
      </c>
      <c r="I910" s="23">
        <v>46025</v>
      </c>
      <c r="J910" s="23"/>
      <c r="K910" s="47">
        <v>0.3125</v>
      </c>
      <c r="L910" s="48">
        <v>0.77083333333333337</v>
      </c>
      <c r="M910" s="11">
        <f t="shared" si="14"/>
        <v>11</v>
      </c>
      <c r="N910" s="11" t="s">
        <v>0</v>
      </c>
      <c r="P910" s="4"/>
      <c r="Q910" s="4"/>
      <c r="R910" s="4"/>
      <c r="S910" s="4"/>
      <c r="T910" s="4"/>
      <c r="U910" s="4"/>
      <c r="V910" s="4"/>
      <c r="W910" s="4"/>
    </row>
    <row r="911" spans="1:23" s="32" customFormat="1" hidden="1" x14ac:dyDescent="0.3">
      <c r="A911" s="22" t="s">
        <v>21</v>
      </c>
      <c r="B911" s="21">
        <v>46025</v>
      </c>
      <c r="C911" s="22" t="s">
        <v>55</v>
      </c>
      <c r="D911" s="13" t="s">
        <v>43</v>
      </c>
      <c r="E911" s="24" t="s">
        <v>679</v>
      </c>
      <c r="F911" s="28" t="s">
        <v>680</v>
      </c>
      <c r="G911" s="23">
        <v>46025</v>
      </c>
      <c r="H911" s="23">
        <v>46025</v>
      </c>
      <c r="I911" s="23">
        <v>46025</v>
      </c>
      <c r="J911" s="23"/>
      <c r="K911" s="47">
        <v>0.375</v>
      </c>
      <c r="L911" s="48">
        <v>0.6875</v>
      </c>
      <c r="M911" s="11">
        <f t="shared" si="14"/>
        <v>7.5</v>
      </c>
      <c r="N911" s="11" t="s">
        <v>0</v>
      </c>
      <c r="P911" s="4"/>
      <c r="Q911" s="4"/>
      <c r="R911" s="4"/>
      <c r="S911" s="4"/>
      <c r="T911" s="4"/>
      <c r="U911" s="4"/>
      <c r="V911" s="4"/>
      <c r="W911" s="4"/>
    </row>
    <row r="912" spans="1:23" s="32" customFormat="1" hidden="1" x14ac:dyDescent="0.3">
      <c r="A912" s="22" t="s">
        <v>21</v>
      </c>
      <c r="B912" s="21">
        <v>46025</v>
      </c>
      <c r="C912" s="22" t="s">
        <v>25</v>
      </c>
      <c r="D912" s="24" t="s">
        <v>27</v>
      </c>
      <c r="E912" s="24" t="s">
        <v>666</v>
      </c>
      <c r="F912" s="25" t="s">
        <v>667</v>
      </c>
      <c r="G912" s="23">
        <v>46025</v>
      </c>
      <c r="H912" s="23">
        <v>46025</v>
      </c>
      <c r="I912" s="23">
        <v>46025</v>
      </c>
      <c r="J912" s="23"/>
      <c r="K912" s="47">
        <v>0.3125</v>
      </c>
      <c r="L912" s="48">
        <v>0.6875</v>
      </c>
      <c r="M912" s="11">
        <f t="shared" si="14"/>
        <v>9</v>
      </c>
      <c r="N912" s="11" t="s">
        <v>0</v>
      </c>
      <c r="P912" s="4"/>
      <c r="Q912" s="4"/>
      <c r="R912" s="4"/>
      <c r="S912" s="4"/>
      <c r="T912" s="4"/>
      <c r="U912" s="4"/>
      <c r="V912" s="4"/>
      <c r="W912" s="4"/>
    </row>
    <row r="913" spans="1:23" s="32" customFormat="1" hidden="1" x14ac:dyDescent="0.3">
      <c r="A913" s="22" t="s">
        <v>19</v>
      </c>
      <c r="B913" s="21">
        <v>46025</v>
      </c>
      <c r="C913" s="22" t="s">
        <v>7</v>
      </c>
      <c r="D913" s="13" t="s">
        <v>44</v>
      </c>
      <c r="E913" s="13" t="s">
        <v>331</v>
      </c>
      <c r="F913" s="26" t="s">
        <v>224</v>
      </c>
      <c r="G913" s="21">
        <v>46025</v>
      </c>
      <c r="H913" s="21">
        <v>46025</v>
      </c>
      <c r="I913" s="21">
        <v>46025</v>
      </c>
      <c r="J913" s="17"/>
      <c r="K913" s="47">
        <v>0.3125</v>
      </c>
      <c r="L913" s="48">
        <v>0.6875</v>
      </c>
      <c r="M913" s="11">
        <f t="shared" si="14"/>
        <v>9</v>
      </c>
      <c r="N913" s="11" t="s">
        <v>0</v>
      </c>
      <c r="P913" s="4"/>
      <c r="Q913" s="4"/>
      <c r="R913" s="4"/>
      <c r="S913" s="4"/>
      <c r="T913" s="4"/>
      <c r="U913" s="4"/>
      <c r="V913" s="4"/>
      <c r="W913" s="4"/>
    </row>
    <row r="914" spans="1:23" s="32" customFormat="1" hidden="1" x14ac:dyDescent="0.3">
      <c r="A914" s="22" t="s">
        <v>19</v>
      </c>
      <c r="B914" s="21">
        <v>46025</v>
      </c>
      <c r="C914" s="22" t="s">
        <v>48</v>
      </c>
      <c r="D914" s="214" t="s">
        <v>8</v>
      </c>
      <c r="E914" s="214" t="s">
        <v>206</v>
      </c>
      <c r="F914" s="214" t="s">
        <v>668</v>
      </c>
      <c r="G914" s="219">
        <v>46025</v>
      </c>
      <c r="H914" s="219">
        <v>46025</v>
      </c>
      <c r="I914" s="17"/>
      <c r="J914" s="17"/>
      <c r="K914" s="47">
        <v>0.3125</v>
      </c>
      <c r="L914" s="48">
        <v>0.6875</v>
      </c>
      <c r="M914" s="11">
        <f t="shared" si="14"/>
        <v>9</v>
      </c>
      <c r="N914" s="246" t="s">
        <v>30</v>
      </c>
      <c r="P914" s="4"/>
      <c r="Q914" s="4"/>
      <c r="R914" s="4"/>
      <c r="S914" s="4"/>
      <c r="T914" s="4"/>
      <c r="U914" s="4"/>
      <c r="V914" s="4"/>
      <c r="W914" s="4"/>
    </row>
    <row r="915" spans="1:23" s="32" customFormat="1" hidden="1" x14ac:dyDescent="0.3">
      <c r="A915" s="22" t="s">
        <v>19</v>
      </c>
      <c r="B915" s="21">
        <v>46025</v>
      </c>
      <c r="C915" s="22" t="s">
        <v>208</v>
      </c>
      <c r="D915" s="215"/>
      <c r="E915" s="215"/>
      <c r="F915" s="215"/>
      <c r="G915" s="220"/>
      <c r="H915" s="220"/>
      <c r="I915" s="19"/>
      <c r="J915" s="23"/>
      <c r="K915" s="47">
        <v>0.3125</v>
      </c>
      <c r="L915" s="48">
        <v>0.6875</v>
      </c>
      <c r="M915" s="11">
        <f t="shared" si="14"/>
        <v>9</v>
      </c>
      <c r="N915" s="247"/>
      <c r="P915" s="4"/>
      <c r="Q915" s="4"/>
      <c r="R915" s="4"/>
      <c r="S915" s="4"/>
      <c r="T915" s="4"/>
      <c r="U915" s="4"/>
      <c r="V915" s="4"/>
      <c r="W915" s="4"/>
    </row>
    <row r="916" spans="1:23" s="32" customFormat="1" hidden="1" x14ac:dyDescent="0.3">
      <c r="A916" s="22" t="s">
        <v>19</v>
      </c>
      <c r="B916" s="21">
        <v>46025</v>
      </c>
      <c r="C916" s="22" t="s">
        <v>9</v>
      </c>
      <c r="D916" s="22" t="s">
        <v>8</v>
      </c>
      <c r="E916" s="22" t="s">
        <v>643</v>
      </c>
      <c r="F916" s="22" t="s">
        <v>669</v>
      </c>
      <c r="G916" s="21">
        <v>46024</v>
      </c>
      <c r="H916" s="21">
        <v>46025</v>
      </c>
      <c r="I916" s="21">
        <v>46025</v>
      </c>
      <c r="J916" s="21"/>
      <c r="K916" s="45">
        <v>0.3125</v>
      </c>
      <c r="L916" s="48">
        <v>0.47916666666666669</v>
      </c>
      <c r="M916" s="11">
        <f t="shared" si="14"/>
        <v>4</v>
      </c>
      <c r="N916" s="42" t="s">
        <v>0</v>
      </c>
      <c r="P916" s="4"/>
      <c r="Q916" s="4"/>
      <c r="R916" s="4"/>
      <c r="S916" s="4"/>
      <c r="T916" s="4"/>
      <c r="U916" s="4"/>
      <c r="V916" s="4"/>
      <c r="W916" s="4"/>
    </row>
    <row r="917" spans="1:23" s="32" customFormat="1" hidden="1" x14ac:dyDescent="0.3">
      <c r="A917" s="22" t="s">
        <v>20</v>
      </c>
      <c r="B917" s="21">
        <v>46025</v>
      </c>
      <c r="C917" s="69" t="s">
        <v>33</v>
      </c>
      <c r="D917" s="11" t="s">
        <v>44</v>
      </c>
      <c r="E917" s="11" t="s">
        <v>606</v>
      </c>
      <c r="F917" s="11" t="s">
        <v>607</v>
      </c>
      <c r="G917" s="21">
        <v>46024</v>
      </c>
      <c r="H917" s="21">
        <v>46024</v>
      </c>
      <c r="I917" s="21">
        <v>46024</v>
      </c>
      <c r="J917" s="17"/>
      <c r="K917" s="47">
        <v>0.3125</v>
      </c>
      <c r="L917" s="48">
        <v>0.6875</v>
      </c>
      <c r="M917" s="11">
        <f t="shared" si="14"/>
        <v>9</v>
      </c>
      <c r="N917" s="42" t="s">
        <v>0</v>
      </c>
      <c r="P917" s="4"/>
      <c r="Q917" s="4"/>
      <c r="R917" s="4"/>
      <c r="S917" s="4"/>
      <c r="T917" s="4"/>
      <c r="U917" s="4"/>
      <c r="V917" s="4"/>
      <c r="W917" s="4"/>
    </row>
    <row r="918" spans="1:23" s="32" customFormat="1" hidden="1" x14ac:dyDescent="0.3">
      <c r="A918" s="22" t="s">
        <v>20</v>
      </c>
      <c r="B918" s="21">
        <v>46025</v>
      </c>
      <c r="C918" s="69" t="s">
        <v>444</v>
      </c>
      <c r="D918" s="233" t="s">
        <v>44</v>
      </c>
      <c r="E918" s="214" t="s">
        <v>422</v>
      </c>
      <c r="F918" s="241" t="s">
        <v>644</v>
      </c>
      <c r="G918" s="219">
        <v>46024</v>
      </c>
      <c r="H918" s="219">
        <v>46024</v>
      </c>
      <c r="I918" s="219">
        <v>46024</v>
      </c>
      <c r="J918" s="17"/>
      <c r="K918" s="47">
        <v>0.33333333333333331</v>
      </c>
      <c r="L918" s="48">
        <v>0.70833333333333337</v>
      </c>
      <c r="M918" s="11">
        <f t="shared" si="14"/>
        <v>9.0000000000000018</v>
      </c>
      <c r="N918" s="231" t="s">
        <v>0</v>
      </c>
      <c r="P918" s="4"/>
      <c r="Q918" s="4"/>
      <c r="R918" s="4"/>
      <c r="S918" s="4"/>
      <c r="T918" s="4"/>
      <c r="U918" s="4"/>
      <c r="V918" s="4"/>
      <c r="W918" s="4"/>
    </row>
    <row r="919" spans="1:23" s="32" customFormat="1" hidden="1" x14ac:dyDescent="0.3">
      <c r="A919" s="22" t="s">
        <v>20</v>
      </c>
      <c r="B919" s="21">
        <v>46025</v>
      </c>
      <c r="C919" s="69" t="s">
        <v>421</v>
      </c>
      <c r="D919" s="233"/>
      <c r="E919" s="215"/>
      <c r="F919" s="248"/>
      <c r="G919" s="220"/>
      <c r="H919" s="220"/>
      <c r="I919" s="220"/>
      <c r="J919" s="23"/>
      <c r="K919" s="47">
        <v>0.33333333333333331</v>
      </c>
      <c r="L919" s="48">
        <v>0.70833333333333337</v>
      </c>
      <c r="M919" s="11">
        <f t="shared" si="14"/>
        <v>9.0000000000000018</v>
      </c>
      <c r="N919" s="225"/>
      <c r="P919" s="4"/>
      <c r="Q919" s="4"/>
      <c r="R919" s="4"/>
      <c r="S919" s="4"/>
      <c r="T919" s="4"/>
      <c r="U919" s="4"/>
      <c r="V919" s="4"/>
      <c r="W919" s="4"/>
    </row>
    <row r="920" spans="1:23" s="32" customFormat="1" hidden="1" x14ac:dyDescent="0.3">
      <c r="A920" s="22" t="s">
        <v>20</v>
      </c>
      <c r="B920" s="21">
        <v>46025</v>
      </c>
      <c r="C920" s="69" t="s">
        <v>12</v>
      </c>
      <c r="D920" s="11" t="s">
        <v>27</v>
      </c>
      <c r="E920" s="18" t="s">
        <v>82</v>
      </c>
      <c r="F920" s="73" t="s">
        <v>82</v>
      </c>
      <c r="G920" s="21">
        <v>46024</v>
      </c>
      <c r="H920" s="21">
        <v>46024</v>
      </c>
      <c r="I920" s="21">
        <v>46024</v>
      </c>
      <c r="J920" s="17"/>
      <c r="K920" s="47">
        <v>0.3125</v>
      </c>
      <c r="L920" s="48">
        <v>0.5</v>
      </c>
      <c r="M920" s="11">
        <f t="shared" si="14"/>
        <v>4.5</v>
      </c>
      <c r="N920" s="42" t="s">
        <v>0</v>
      </c>
      <c r="P920" s="4"/>
      <c r="Q920" s="4"/>
      <c r="R920" s="4"/>
      <c r="S920" s="4"/>
      <c r="T920" s="4"/>
      <c r="U920" s="4"/>
      <c r="V920" s="4"/>
      <c r="W920" s="4"/>
    </row>
    <row r="921" spans="1:23" s="32" customFormat="1" hidden="1" x14ac:dyDescent="0.3">
      <c r="A921" s="22" t="s">
        <v>20</v>
      </c>
      <c r="B921" s="21">
        <v>46025</v>
      </c>
      <c r="C921" s="69" t="s">
        <v>12</v>
      </c>
      <c r="D921" s="11" t="s">
        <v>44</v>
      </c>
      <c r="E921" s="18" t="s">
        <v>660</v>
      </c>
      <c r="F921" s="73" t="s">
        <v>661</v>
      </c>
      <c r="G921" s="21">
        <v>46024</v>
      </c>
      <c r="H921" s="21">
        <v>46024</v>
      </c>
      <c r="I921" s="21">
        <v>46024</v>
      </c>
      <c r="J921" s="17"/>
      <c r="K921" s="47">
        <v>0.58333333333333337</v>
      </c>
      <c r="L921" s="48">
        <v>0.6875</v>
      </c>
      <c r="M921" s="11">
        <f t="shared" si="14"/>
        <v>2.4999999999999991</v>
      </c>
      <c r="N921" s="42" t="s">
        <v>0</v>
      </c>
      <c r="P921" s="4"/>
      <c r="Q921" s="4"/>
      <c r="R921" s="4"/>
      <c r="S921" s="4"/>
      <c r="T921" s="4"/>
      <c r="U921" s="4"/>
      <c r="V921" s="4"/>
      <c r="W921" s="4"/>
    </row>
    <row r="922" spans="1:23" s="32" customFormat="1" hidden="1" x14ac:dyDescent="0.3">
      <c r="A922" s="22" t="s">
        <v>20</v>
      </c>
      <c r="B922" s="21">
        <v>46025</v>
      </c>
      <c r="C922" s="22" t="s">
        <v>28</v>
      </c>
      <c r="D922" s="13" t="s">
        <v>65</v>
      </c>
      <c r="E922" s="13" t="s">
        <v>645</v>
      </c>
      <c r="F922" s="26" t="s">
        <v>646</v>
      </c>
      <c r="G922" s="21">
        <v>46024</v>
      </c>
      <c r="H922" s="21">
        <v>46025</v>
      </c>
      <c r="I922" s="21">
        <v>46025</v>
      </c>
      <c r="J922" s="17"/>
      <c r="K922" s="47">
        <v>0.33333333333333331</v>
      </c>
      <c r="L922" s="48">
        <v>0.79166666666666663</v>
      </c>
      <c r="M922" s="11">
        <f t="shared" si="14"/>
        <v>11</v>
      </c>
      <c r="N922" s="22" t="s">
        <v>0</v>
      </c>
      <c r="P922" s="4"/>
      <c r="Q922" s="4"/>
      <c r="R922" s="4"/>
      <c r="S922" s="4"/>
      <c r="T922" s="4"/>
      <c r="U922" s="4"/>
      <c r="V922" s="4"/>
      <c r="W922" s="4"/>
    </row>
    <row r="923" spans="1:23" s="32" customFormat="1" hidden="1" x14ac:dyDescent="0.3">
      <c r="A923" s="22" t="s">
        <v>20</v>
      </c>
      <c r="B923" s="21">
        <v>46025</v>
      </c>
      <c r="C923" s="22" t="s">
        <v>47</v>
      </c>
      <c r="D923" s="216" t="s">
        <v>65</v>
      </c>
      <c r="E923" s="216" t="s">
        <v>611</v>
      </c>
      <c r="F923" s="243" t="s">
        <v>115</v>
      </c>
      <c r="G923" s="219">
        <v>46024</v>
      </c>
      <c r="H923" s="219">
        <v>46025</v>
      </c>
      <c r="I923" s="219">
        <v>46025</v>
      </c>
      <c r="J923" s="17"/>
      <c r="K923" s="47">
        <v>0.33333333333333331</v>
      </c>
      <c r="L923" s="48">
        <v>0.70833333333333337</v>
      </c>
      <c r="M923" s="11">
        <f t="shared" si="14"/>
        <v>9.0000000000000018</v>
      </c>
      <c r="N923" s="231" t="s">
        <v>0</v>
      </c>
      <c r="P923" s="4"/>
      <c r="Q923" s="4"/>
      <c r="R923" s="4"/>
      <c r="S923" s="4"/>
      <c r="T923" s="4"/>
      <c r="U923" s="4"/>
      <c r="V923" s="4"/>
      <c r="W923" s="4"/>
    </row>
    <row r="924" spans="1:23" s="32" customFormat="1" hidden="1" x14ac:dyDescent="0.3">
      <c r="A924" s="22" t="s">
        <v>20</v>
      </c>
      <c r="B924" s="21">
        <v>46025</v>
      </c>
      <c r="C924" s="22" t="s">
        <v>31</v>
      </c>
      <c r="D924" s="217"/>
      <c r="E924" s="217"/>
      <c r="F924" s="244"/>
      <c r="G924" s="220"/>
      <c r="H924" s="220"/>
      <c r="I924" s="220"/>
      <c r="J924" s="23"/>
      <c r="K924" s="47">
        <v>0.33333333333333331</v>
      </c>
      <c r="L924" s="48">
        <v>0.41666666666666669</v>
      </c>
      <c r="M924" s="11">
        <f t="shared" si="14"/>
        <v>2.0000000000000009</v>
      </c>
      <c r="N924" s="225"/>
      <c r="P924" s="4"/>
      <c r="Q924" s="4"/>
      <c r="R924" s="4"/>
      <c r="S924" s="4"/>
      <c r="T924" s="4"/>
      <c r="U924" s="4"/>
      <c r="V924" s="4"/>
      <c r="W924" s="4"/>
    </row>
    <row r="925" spans="1:23" s="32" customFormat="1" hidden="1" x14ac:dyDescent="0.3">
      <c r="A925" s="22" t="s">
        <v>20</v>
      </c>
      <c r="B925" s="21">
        <v>46025</v>
      </c>
      <c r="C925" s="22" t="s">
        <v>167</v>
      </c>
      <c r="D925" s="216" t="s">
        <v>65</v>
      </c>
      <c r="E925" s="216" t="s">
        <v>659</v>
      </c>
      <c r="F925" s="243" t="s">
        <v>673</v>
      </c>
      <c r="G925" s="219">
        <v>46024</v>
      </c>
      <c r="H925" s="219">
        <v>46025</v>
      </c>
      <c r="I925" s="219">
        <v>46025</v>
      </c>
      <c r="J925" s="17"/>
      <c r="K925" s="47">
        <v>0.3125</v>
      </c>
      <c r="L925" s="48">
        <v>0.52083333333333337</v>
      </c>
      <c r="M925" s="11">
        <f t="shared" si="14"/>
        <v>5.0000000000000009</v>
      </c>
      <c r="N925" s="249" t="s">
        <v>0</v>
      </c>
      <c r="P925" s="4"/>
      <c r="Q925" s="4"/>
      <c r="R925" s="4"/>
      <c r="S925" s="4"/>
      <c r="T925" s="4"/>
      <c r="U925" s="4"/>
      <c r="V925" s="4"/>
      <c r="W925" s="4"/>
    </row>
    <row r="926" spans="1:23" s="32" customFormat="1" hidden="1" x14ac:dyDescent="0.3">
      <c r="A926" s="22" t="s">
        <v>20</v>
      </c>
      <c r="B926" s="21">
        <v>46025</v>
      </c>
      <c r="C926" s="22" t="s">
        <v>31</v>
      </c>
      <c r="D926" s="217"/>
      <c r="E926" s="217"/>
      <c r="F926" s="244"/>
      <c r="G926" s="220"/>
      <c r="H926" s="220"/>
      <c r="I926" s="220"/>
      <c r="J926" s="23"/>
      <c r="K926" s="47">
        <v>0.41666666666666669</v>
      </c>
      <c r="L926" s="45">
        <v>0.5</v>
      </c>
      <c r="M926" s="11">
        <f t="shared" si="14"/>
        <v>1.9999999999999996</v>
      </c>
      <c r="N926" s="249"/>
      <c r="P926" s="4"/>
      <c r="Q926" s="4"/>
      <c r="R926" s="4"/>
      <c r="S926" s="4"/>
      <c r="T926" s="4"/>
      <c r="U926" s="4"/>
      <c r="V926" s="4"/>
      <c r="W926" s="4"/>
    </row>
    <row r="927" spans="1:23" s="32" customFormat="1" hidden="1" x14ac:dyDescent="0.3">
      <c r="A927" s="22" t="s">
        <v>20</v>
      </c>
      <c r="B927" s="21">
        <v>46025</v>
      </c>
      <c r="C927" s="22" t="s">
        <v>167</v>
      </c>
      <c r="D927" s="13" t="s">
        <v>65</v>
      </c>
      <c r="E927" s="24" t="s">
        <v>681</v>
      </c>
      <c r="F927" s="3" t="s">
        <v>191</v>
      </c>
      <c r="G927" s="21">
        <v>46025</v>
      </c>
      <c r="H927" s="21">
        <v>46025</v>
      </c>
      <c r="I927" s="21">
        <v>46025</v>
      </c>
      <c r="J927" s="17"/>
      <c r="K927" s="47">
        <v>0.52083333333333337</v>
      </c>
      <c r="L927" s="45">
        <v>0.6875</v>
      </c>
      <c r="M927" s="11">
        <f t="shared" si="14"/>
        <v>3.9999999999999991</v>
      </c>
      <c r="N927" s="42" t="s">
        <v>0</v>
      </c>
      <c r="P927" s="4"/>
      <c r="Q927" s="4"/>
      <c r="R927" s="4"/>
      <c r="S927" s="4"/>
      <c r="T927" s="4"/>
      <c r="U927" s="4"/>
      <c r="V927" s="4"/>
      <c r="W927" s="4"/>
    </row>
    <row r="928" spans="1:23" s="32" customFormat="1" hidden="1" x14ac:dyDescent="0.3">
      <c r="A928" s="22" t="s">
        <v>20</v>
      </c>
      <c r="B928" s="21">
        <v>46025</v>
      </c>
      <c r="C928" s="22" t="s">
        <v>15</v>
      </c>
      <c r="D928" s="13" t="s">
        <v>65</v>
      </c>
      <c r="E928" s="24" t="s">
        <v>615</v>
      </c>
      <c r="F928" s="3" t="s">
        <v>672</v>
      </c>
      <c r="G928" s="21">
        <v>46024</v>
      </c>
      <c r="H928" s="21">
        <v>46025</v>
      </c>
      <c r="I928" s="21">
        <v>46025</v>
      </c>
      <c r="J928" s="17"/>
      <c r="K928" s="47">
        <v>0.33333333333333331</v>
      </c>
      <c r="L928" s="48">
        <v>0.70833333333333337</v>
      </c>
      <c r="M928" s="11">
        <f t="shared" si="14"/>
        <v>9.0000000000000018</v>
      </c>
      <c r="N928" s="22" t="s">
        <v>0</v>
      </c>
      <c r="P928" s="4"/>
      <c r="Q928" s="4"/>
      <c r="R928" s="4"/>
      <c r="S928" s="4"/>
      <c r="T928" s="4"/>
      <c r="U928" s="4"/>
      <c r="V928" s="4"/>
      <c r="W928" s="4"/>
    </row>
    <row r="929" spans="1:23" s="32" customFormat="1" hidden="1" x14ac:dyDescent="0.3">
      <c r="A929" s="22" t="s">
        <v>20</v>
      </c>
      <c r="B929" s="21">
        <v>46025</v>
      </c>
      <c r="C929" s="22" t="s">
        <v>17</v>
      </c>
      <c r="D929" s="24" t="s">
        <v>65</v>
      </c>
      <c r="E929" s="22" t="s">
        <v>670</v>
      </c>
      <c r="F929" s="25" t="s">
        <v>378</v>
      </c>
      <c r="G929" s="21">
        <v>46025</v>
      </c>
      <c r="H929" s="21">
        <v>46025</v>
      </c>
      <c r="I929" s="21">
        <v>46025</v>
      </c>
      <c r="J929" s="17"/>
      <c r="K929" s="47">
        <v>0.3125</v>
      </c>
      <c r="L929" s="48">
        <v>0.6875</v>
      </c>
      <c r="M929" s="11">
        <f t="shared" si="14"/>
        <v>9</v>
      </c>
      <c r="N929" s="22" t="s">
        <v>0</v>
      </c>
      <c r="P929" s="4"/>
      <c r="Q929" s="4"/>
      <c r="R929" s="4"/>
      <c r="S929" s="4"/>
      <c r="T929" s="4"/>
      <c r="U929" s="4"/>
      <c r="V929" s="4"/>
      <c r="W929" s="4"/>
    </row>
    <row r="930" spans="1:23" s="32" customFormat="1" hidden="1" x14ac:dyDescent="0.3">
      <c r="A930" s="22" t="s">
        <v>20</v>
      </c>
      <c r="B930" s="21">
        <v>46025</v>
      </c>
      <c r="C930" s="22" t="s">
        <v>16</v>
      </c>
      <c r="D930" s="24" t="s">
        <v>65</v>
      </c>
      <c r="E930" s="22" t="s">
        <v>611</v>
      </c>
      <c r="F930" s="25" t="s">
        <v>671</v>
      </c>
      <c r="G930" s="21">
        <v>46024</v>
      </c>
      <c r="H930" s="21">
        <v>46025</v>
      </c>
      <c r="I930" s="21">
        <v>46025</v>
      </c>
      <c r="J930" s="21"/>
      <c r="K930" s="45">
        <v>0.3125</v>
      </c>
      <c r="L930" s="48">
        <v>0.6875</v>
      </c>
      <c r="M930" s="11">
        <f t="shared" si="14"/>
        <v>9</v>
      </c>
      <c r="N930" s="22" t="s">
        <v>0</v>
      </c>
      <c r="P930" s="4"/>
      <c r="Q930" s="4"/>
      <c r="R930" s="4"/>
      <c r="S930" s="4"/>
      <c r="T930" s="4"/>
      <c r="U930" s="4"/>
      <c r="V930" s="4"/>
      <c r="W930" s="4"/>
    </row>
    <row r="931" spans="1:23" s="32" customFormat="1" hidden="1" x14ac:dyDescent="0.3">
      <c r="A931" s="22" t="s">
        <v>21</v>
      </c>
      <c r="B931" s="21">
        <v>46027</v>
      </c>
      <c r="C931" s="22" t="s">
        <v>26</v>
      </c>
      <c r="D931" s="24" t="s">
        <v>27</v>
      </c>
      <c r="E931" s="22" t="s">
        <v>692</v>
      </c>
      <c r="F931" s="26" t="s">
        <v>693</v>
      </c>
      <c r="G931" s="23">
        <v>46027</v>
      </c>
      <c r="H931" s="23">
        <v>46027</v>
      </c>
      <c r="I931" s="23"/>
      <c r="J931" s="23"/>
      <c r="K931" s="45">
        <v>0.33333333333333331</v>
      </c>
      <c r="L931" s="48">
        <v>0.70833333333333337</v>
      </c>
      <c r="M931" s="11">
        <f t="shared" si="14"/>
        <v>9.0000000000000018</v>
      </c>
      <c r="N931" s="22" t="s">
        <v>0</v>
      </c>
      <c r="P931" s="4"/>
      <c r="Q931" s="4"/>
      <c r="R931" s="4"/>
      <c r="S931" s="4"/>
      <c r="T931" s="4"/>
      <c r="U931" s="4"/>
      <c r="V931" s="4"/>
      <c r="W931" s="4"/>
    </row>
    <row r="932" spans="1:23" s="32" customFormat="1" hidden="1" x14ac:dyDescent="0.3">
      <c r="A932" s="22" t="s">
        <v>21</v>
      </c>
      <c r="B932" s="21">
        <v>46027</v>
      </c>
      <c r="C932" s="22" t="s">
        <v>37</v>
      </c>
      <c r="D932" s="24" t="s">
        <v>24</v>
      </c>
      <c r="E932" s="22" t="s">
        <v>677</v>
      </c>
      <c r="F932" s="25" t="s">
        <v>676</v>
      </c>
      <c r="G932" s="21">
        <v>46025</v>
      </c>
      <c r="H932" s="23">
        <v>46027</v>
      </c>
      <c r="I932" s="21"/>
      <c r="J932" s="21"/>
      <c r="K932" s="45">
        <v>0.3125</v>
      </c>
      <c r="L932" s="48">
        <v>0.6875</v>
      </c>
      <c r="M932" s="11">
        <f t="shared" si="14"/>
        <v>9</v>
      </c>
      <c r="N932" s="11" t="s">
        <v>1</v>
      </c>
      <c r="P932" s="4"/>
      <c r="Q932" s="4"/>
      <c r="R932" s="4"/>
      <c r="S932" s="4"/>
      <c r="T932" s="4"/>
      <c r="U932" s="4"/>
      <c r="V932" s="4"/>
      <c r="W932" s="4"/>
    </row>
    <row r="933" spans="1:23" s="32" customFormat="1" hidden="1" x14ac:dyDescent="0.3">
      <c r="A933" s="22" t="s">
        <v>21</v>
      </c>
      <c r="B933" s="21">
        <v>46027</v>
      </c>
      <c r="C933" s="22" t="s">
        <v>50</v>
      </c>
      <c r="D933" s="24" t="s">
        <v>24</v>
      </c>
      <c r="E933" s="22" t="s">
        <v>678</v>
      </c>
      <c r="F933" s="25" t="s">
        <v>676</v>
      </c>
      <c r="G933" s="21">
        <v>46025</v>
      </c>
      <c r="H933" s="23">
        <v>46027</v>
      </c>
      <c r="I933" s="17"/>
      <c r="J933" s="23"/>
      <c r="K933" s="50">
        <v>0.33333333333333331</v>
      </c>
      <c r="L933" s="48">
        <v>0.70833333333333337</v>
      </c>
      <c r="M933" s="11">
        <f t="shared" si="14"/>
        <v>9.0000000000000018</v>
      </c>
      <c r="N933" s="11" t="s">
        <v>1</v>
      </c>
      <c r="P933" s="4"/>
      <c r="Q933" s="4"/>
      <c r="R933" s="4"/>
      <c r="S933" s="4"/>
      <c r="T933" s="4"/>
      <c r="U933" s="4"/>
      <c r="V933" s="4"/>
      <c r="W933" s="4"/>
    </row>
    <row r="934" spans="1:23" s="32" customFormat="1" hidden="1" x14ac:dyDescent="0.3">
      <c r="A934" s="22" t="s">
        <v>21</v>
      </c>
      <c r="B934" s="21">
        <v>46027</v>
      </c>
      <c r="C934" s="22" t="s">
        <v>274</v>
      </c>
      <c r="D934" s="22" t="s">
        <v>27</v>
      </c>
      <c r="E934" s="22" t="s">
        <v>685</v>
      </c>
      <c r="F934" s="31" t="s">
        <v>349</v>
      </c>
      <c r="G934" s="21">
        <v>46027</v>
      </c>
      <c r="H934" s="21">
        <v>46027</v>
      </c>
      <c r="I934" s="21"/>
      <c r="J934" s="21"/>
      <c r="K934" s="45">
        <v>0.3125</v>
      </c>
      <c r="L934" s="48">
        <v>0.5</v>
      </c>
      <c r="M934" s="11">
        <f t="shared" si="14"/>
        <v>4.5</v>
      </c>
      <c r="N934" s="11" t="s">
        <v>1</v>
      </c>
      <c r="P934" s="4"/>
      <c r="Q934" s="4"/>
      <c r="R934" s="4"/>
      <c r="S934" s="4"/>
      <c r="T934" s="4"/>
      <c r="U934" s="4"/>
      <c r="V934" s="4"/>
      <c r="W934" s="4"/>
    </row>
    <row r="935" spans="1:23" s="32" customFormat="1" hidden="1" x14ac:dyDescent="0.3">
      <c r="A935" s="22" t="s">
        <v>21</v>
      </c>
      <c r="B935" s="21">
        <v>46027</v>
      </c>
      <c r="C935" s="22" t="s">
        <v>18</v>
      </c>
      <c r="D935" s="22" t="s">
        <v>27</v>
      </c>
      <c r="E935" s="22" t="s">
        <v>216</v>
      </c>
      <c r="F935" s="31" t="s">
        <v>349</v>
      </c>
      <c r="G935" s="21">
        <v>46027</v>
      </c>
      <c r="H935" s="21">
        <v>46027</v>
      </c>
      <c r="I935" s="21"/>
      <c r="J935" s="21"/>
      <c r="K935" s="45">
        <v>0.35416666666666669</v>
      </c>
      <c r="L935" s="48">
        <v>0.54166666666666663</v>
      </c>
      <c r="M935" s="11">
        <f t="shared" si="14"/>
        <v>4.4999999999999982</v>
      </c>
      <c r="N935" s="22" t="s">
        <v>30</v>
      </c>
      <c r="P935" s="4"/>
      <c r="Q935" s="4"/>
      <c r="R935" s="4"/>
      <c r="S935" s="4"/>
      <c r="T935" s="4"/>
      <c r="U935" s="4"/>
      <c r="V935" s="4"/>
      <c r="W935" s="4"/>
    </row>
    <row r="936" spans="1:23" s="32" customFormat="1" hidden="1" x14ac:dyDescent="0.3">
      <c r="A936" s="22" t="s">
        <v>21</v>
      </c>
      <c r="B936" s="21">
        <v>46027</v>
      </c>
      <c r="C936" s="22" t="s">
        <v>274</v>
      </c>
      <c r="D936" s="214" t="s">
        <v>8</v>
      </c>
      <c r="E936" s="233" t="s">
        <v>416</v>
      </c>
      <c r="F936" s="238" t="s">
        <v>702</v>
      </c>
      <c r="G936" s="223">
        <v>46027</v>
      </c>
      <c r="H936" s="223">
        <v>46027</v>
      </c>
      <c r="I936" s="19"/>
      <c r="J936" s="19"/>
      <c r="K936" s="45">
        <v>0.54166666666666663</v>
      </c>
      <c r="L936" s="53">
        <v>0.70833333333333337</v>
      </c>
      <c r="M936" s="11">
        <f t="shared" si="14"/>
        <v>4.0000000000000018</v>
      </c>
      <c r="N936" s="214" t="s">
        <v>0</v>
      </c>
      <c r="P936" s="4"/>
      <c r="Q936" s="4"/>
      <c r="R936" s="4"/>
      <c r="S936" s="4"/>
      <c r="T936" s="4"/>
      <c r="U936" s="4"/>
      <c r="V936" s="4"/>
      <c r="W936" s="4"/>
    </row>
    <row r="937" spans="1:23" s="32" customFormat="1" hidden="1" x14ac:dyDescent="0.3">
      <c r="A937" s="22" t="s">
        <v>21</v>
      </c>
      <c r="B937" s="21">
        <v>46027</v>
      </c>
      <c r="C937" s="22" t="s">
        <v>18</v>
      </c>
      <c r="D937" s="215"/>
      <c r="E937" s="233"/>
      <c r="F937" s="238"/>
      <c r="G937" s="223"/>
      <c r="H937" s="223"/>
      <c r="I937" s="19"/>
      <c r="J937" s="19"/>
      <c r="K937" s="45">
        <v>0.54166666666666663</v>
      </c>
      <c r="L937" s="53">
        <v>0.70833333333333337</v>
      </c>
      <c r="M937" s="11">
        <f t="shared" si="14"/>
        <v>4.0000000000000018</v>
      </c>
      <c r="N937" s="226"/>
      <c r="P937" s="4"/>
      <c r="Q937" s="4"/>
      <c r="R937" s="4"/>
      <c r="S937" s="4"/>
      <c r="T937" s="4"/>
      <c r="U937" s="4"/>
      <c r="V937" s="4"/>
      <c r="W937" s="4"/>
    </row>
    <row r="938" spans="1:23" s="32" customFormat="1" hidden="1" x14ac:dyDescent="0.3">
      <c r="A938" s="22" t="s">
        <v>21</v>
      </c>
      <c r="B938" s="21">
        <v>46027</v>
      </c>
      <c r="C938" s="22" t="s">
        <v>320</v>
      </c>
      <c r="D938" s="214" t="s">
        <v>43</v>
      </c>
      <c r="E938" s="226" t="s">
        <v>686</v>
      </c>
      <c r="F938" s="242" t="s">
        <v>687</v>
      </c>
      <c r="G938" s="220">
        <v>46027</v>
      </c>
      <c r="H938" s="220">
        <v>46027</v>
      </c>
      <c r="I938" s="220"/>
      <c r="J938" s="19"/>
      <c r="K938" s="45">
        <v>0.3125</v>
      </c>
      <c r="L938" s="53">
        <v>0.6875</v>
      </c>
      <c r="M938" s="11">
        <f t="shared" si="14"/>
        <v>9</v>
      </c>
      <c r="N938" s="230" t="s">
        <v>1</v>
      </c>
      <c r="P938" s="4"/>
      <c r="Q938" s="4"/>
      <c r="R938" s="4"/>
      <c r="S938" s="4"/>
      <c r="T938" s="4"/>
      <c r="U938" s="4"/>
      <c r="V938" s="4"/>
      <c r="W938" s="4"/>
    </row>
    <row r="939" spans="1:23" s="32" customFormat="1" hidden="1" x14ac:dyDescent="0.3">
      <c r="A939" s="22" t="s">
        <v>21</v>
      </c>
      <c r="B939" s="21">
        <v>46027</v>
      </c>
      <c r="C939" s="22" t="s">
        <v>56</v>
      </c>
      <c r="D939" s="215"/>
      <c r="E939" s="215"/>
      <c r="F939" s="248"/>
      <c r="G939" s="223"/>
      <c r="H939" s="223"/>
      <c r="I939" s="223"/>
      <c r="J939" s="21"/>
      <c r="K939" s="45">
        <v>0.3125</v>
      </c>
      <c r="L939" s="53">
        <v>0.6875</v>
      </c>
      <c r="M939" s="11">
        <f t="shared" si="14"/>
        <v>9</v>
      </c>
      <c r="N939" s="228"/>
      <c r="P939" s="4"/>
      <c r="Q939" s="4"/>
      <c r="R939" s="4"/>
      <c r="S939" s="4"/>
      <c r="T939" s="4"/>
      <c r="U939" s="4"/>
      <c r="V939" s="4"/>
      <c r="W939" s="4"/>
    </row>
    <row r="940" spans="1:23" s="32" customFormat="1" hidden="1" x14ac:dyDescent="0.3">
      <c r="A940" s="22" t="s">
        <v>21</v>
      </c>
      <c r="B940" s="21">
        <v>46027</v>
      </c>
      <c r="C940" s="22" t="s">
        <v>118</v>
      </c>
      <c r="D940" s="216" t="s">
        <v>54</v>
      </c>
      <c r="E940" s="214" t="s">
        <v>688</v>
      </c>
      <c r="F940" s="214" t="s">
        <v>689</v>
      </c>
      <c r="G940" s="223">
        <v>46025</v>
      </c>
      <c r="H940" s="223">
        <v>46027</v>
      </c>
      <c r="I940" s="23"/>
      <c r="J940" s="23"/>
      <c r="K940" s="45">
        <v>0.3125</v>
      </c>
      <c r="L940" s="48">
        <v>0.70833333333333337</v>
      </c>
      <c r="M940" s="11">
        <f t="shared" si="14"/>
        <v>9.5</v>
      </c>
      <c r="N940" s="214" t="s">
        <v>1</v>
      </c>
      <c r="P940" s="4"/>
      <c r="Q940" s="4"/>
      <c r="R940" s="4"/>
      <c r="S940" s="4"/>
      <c r="T940" s="4"/>
      <c r="U940" s="4"/>
      <c r="V940" s="4"/>
      <c r="W940" s="4"/>
    </row>
    <row r="941" spans="1:23" s="32" customFormat="1" hidden="1" x14ac:dyDescent="0.3">
      <c r="A941" s="22" t="s">
        <v>21</v>
      </c>
      <c r="B941" s="21">
        <v>46027</v>
      </c>
      <c r="C941" s="22" t="s">
        <v>34</v>
      </c>
      <c r="D941" s="217"/>
      <c r="E941" s="215"/>
      <c r="F941" s="215"/>
      <c r="G941" s="223"/>
      <c r="H941" s="223"/>
      <c r="I941" s="23"/>
      <c r="J941" s="23"/>
      <c r="K941" s="45">
        <v>0.3125</v>
      </c>
      <c r="L941" s="48">
        <v>0.70833333333333337</v>
      </c>
      <c r="M941" s="11">
        <f t="shared" si="14"/>
        <v>9.5</v>
      </c>
      <c r="N941" s="215"/>
      <c r="P941" s="4"/>
      <c r="Q941" s="4"/>
      <c r="R941" s="4"/>
      <c r="S941" s="4"/>
      <c r="T941" s="4"/>
      <c r="U941" s="4"/>
      <c r="V941" s="4"/>
      <c r="W941" s="4"/>
    </row>
    <row r="942" spans="1:23" s="32" customFormat="1" hidden="1" x14ac:dyDescent="0.3">
      <c r="A942" s="22" t="s">
        <v>21</v>
      </c>
      <c r="B942" s="21">
        <v>46027</v>
      </c>
      <c r="C942" s="22" t="s">
        <v>55</v>
      </c>
      <c r="D942" s="13" t="s">
        <v>43</v>
      </c>
      <c r="E942" s="13" t="s">
        <v>679</v>
      </c>
      <c r="F942" s="28" t="s">
        <v>680</v>
      </c>
      <c r="G942" s="23">
        <v>46025</v>
      </c>
      <c r="H942" s="23">
        <v>46027</v>
      </c>
      <c r="I942" s="23"/>
      <c r="J942" s="23"/>
      <c r="K942" s="47">
        <v>0.3125</v>
      </c>
      <c r="L942" s="49">
        <v>0.6875</v>
      </c>
      <c r="M942" s="11">
        <f t="shared" si="14"/>
        <v>9</v>
      </c>
      <c r="N942" s="11" t="s">
        <v>0</v>
      </c>
      <c r="P942" s="4"/>
      <c r="Q942" s="4"/>
      <c r="R942" s="4"/>
      <c r="S942" s="4"/>
      <c r="T942" s="4"/>
      <c r="U942" s="4"/>
      <c r="V942" s="4"/>
      <c r="W942" s="4"/>
    </row>
    <row r="943" spans="1:23" s="32" customFormat="1" hidden="1" x14ac:dyDescent="0.3">
      <c r="A943" s="22" t="s">
        <v>21</v>
      </c>
      <c r="B943" s="21">
        <v>46027</v>
      </c>
      <c r="C943" s="22" t="s">
        <v>25</v>
      </c>
      <c r="D943" s="216" t="s">
        <v>43</v>
      </c>
      <c r="E943" s="221" t="s">
        <v>686</v>
      </c>
      <c r="F943" s="245" t="s">
        <v>691</v>
      </c>
      <c r="G943" s="223">
        <v>46027</v>
      </c>
      <c r="H943" s="223">
        <v>46027</v>
      </c>
      <c r="I943" s="21"/>
      <c r="J943" s="21"/>
      <c r="K943" s="45">
        <v>0.3125</v>
      </c>
      <c r="L943" s="48">
        <v>0.6875</v>
      </c>
      <c r="M943" s="11">
        <f t="shared" si="14"/>
        <v>9</v>
      </c>
      <c r="N943" s="233" t="s">
        <v>1</v>
      </c>
      <c r="P943" s="4"/>
      <c r="Q943" s="4"/>
      <c r="R943" s="4"/>
      <c r="S943" s="4"/>
      <c r="T943" s="4"/>
      <c r="U943" s="4"/>
      <c r="V943" s="4"/>
      <c r="W943" s="4"/>
    </row>
    <row r="944" spans="1:23" s="32" customFormat="1" hidden="1" x14ac:dyDescent="0.3">
      <c r="A944" s="22" t="s">
        <v>21</v>
      </c>
      <c r="B944" s="21">
        <v>46027</v>
      </c>
      <c r="C944" s="22" t="s">
        <v>690</v>
      </c>
      <c r="D944" s="217"/>
      <c r="E944" s="221"/>
      <c r="F944" s="245"/>
      <c r="G944" s="223"/>
      <c r="H944" s="223"/>
      <c r="I944" s="21"/>
      <c r="J944" s="21"/>
      <c r="K944" s="45">
        <v>0.3125</v>
      </c>
      <c r="L944" s="48">
        <v>0.70833333333333337</v>
      </c>
      <c r="M944" s="11">
        <f t="shared" si="14"/>
        <v>9.5</v>
      </c>
      <c r="N944" s="233"/>
      <c r="P944" s="4"/>
      <c r="Q944" s="4"/>
      <c r="R944" s="4"/>
      <c r="S944" s="4"/>
      <c r="T944" s="4"/>
      <c r="U944" s="4"/>
      <c r="V944" s="4"/>
      <c r="W944" s="4"/>
    </row>
    <row r="945" spans="1:23" s="32" customFormat="1" hidden="1" x14ac:dyDescent="0.3">
      <c r="A945" s="22" t="s">
        <v>19</v>
      </c>
      <c r="B945" s="21">
        <v>46027</v>
      </c>
      <c r="C945" s="22" t="s">
        <v>9</v>
      </c>
      <c r="D945" s="13" t="s">
        <v>44</v>
      </c>
      <c r="E945" s="13" t="s">
        <v>682</v>
      </c>
      <c r="F945" s="26" t="s">
        <v>683</v>
      </c>
      <c r="G945" s="21">
        <v>46027</v>
      </c>
      <c r="H945" s="21">
        <v>46027</v>
      </c>
      <c r="I945" s="21"/>
      <c r="J945" s="17"/>
      <c r="K945" s="47">
        <v>0.3125</v>
      </c>
      <c r="L945" s="48">
        <v>0.5</v>
      </c>
      <c r="M945" s="11">
        <f t="shared" si="14"/>
        <v>4.5</v>
      </c>
      <c r="N945" s="11" t="s">
        <v>0</v>
      </c>
      <c r="P945" s="4"/>
      <c r="Q945" s="4"/>
      <c r="R945" s="4"/>
      <c r="S945" s="4"/>
      <c r="T945" s="4"/>
      <c r="U945" s="4"/>
      <c r="V945" s="4"/>
      <c r="W945" s="4"/>
    </row>
    <row r="946" spans="1:23" s="32" customFormat="1" hidden="1" x14ac:dyDescent="0.3">
      <c r="A946" s="22" t="s">
        <v>19</v>
      </c>
      <c r="B946" s="21">
        <v>46027</v>
      </c>
      <c r="C946" s="22" t="s">
        <v>48</v>
      </c>
      <c r="D946" s="214" t="s">
        <v>8</v>
      </c>
      <c r="E946" s="214" t="s">
        <v>206</v>
      </c>
      <c r="F946" s="214" t="s">
        <v>668</v>
      </c>
      <c r="G946" s="219">
        <v>46025</v>
      </c>
      <c r="H946" s="219">
        <v>46027</v>
      </c>
      <c r="I946" s="17"/>
      <c r="J946" s="17"/>
      <c r="K946" s="47">
        <v>0.3125</v>
      </c>
      <c r="L946" s="48">
        <v>0.6875</v>
      </c>
      <c r="M946" s="11">
        <f t="shared" si="14"/>
        <v>9</v>
      </c>
      <c r="N946" s="224" t="s">
        <v>0</v>
      </c>
      <c r="P946" s="4"/>
      <c r="Q946" s="4"/>
      <c r="R946" s="4"/>
      <c r="S946" s="4"/>
      <c r="T946" s="4"/>
      <c r="U946" s="4"/>
      <c r="V946" s="4"/>
      <c r="W946" s="4"/>
    </row>
    <row r="947" spans="1:23" s="32" customFormat="1" hidden="1" x14ac:dyDescent="0.3">
      <c r="A947" s="22" t="s">
        <v>19</v>
      </c>
      <c r="B947" s="21">
        <v>46027</v>
      </c>
      <c r="C947" s="22" t="s">
        <v>208</v>
      </c>
      <c r="D947" s="215"/>
      <c r="E947" s="215"/>
      <c r="F947" s="215"/>
      <c r="G947" s="220"/>
      <c r="H947" s="220"/>
      <c r="I947" s="19"/>
      <c r="J947" s="23"/>
      <c r="K947" s="47">
        <v>0.3125</v>
      </c>
      <c r="L947" s="48">
        <v>0.6875</v>
      </c>
      <c r="M947" s="11">
        <f t="shared" si="14"/>
        <v>9</v>
      </c>
      <c r="N947" s="225"/>
      <c r="P947" s="4"/>
      <c r="Q947" s="4"/>
      <c r="R947" s="4"/>
      <c r="S947" s="4"/>
      <c r="T947" s="4"/>
      <c r="U947" s="4"/>
      <c r="V947" s="4"/>
      <c r="W947" s="4"/>
    </row>
    <row r="948" spans="1:23" s="32" customFormat="1" hidden="1" x14ac:dyDescent="0.3">
      <c r="A948" s="22" t="s">
        <v>19</v>
      </c>
      <c r="B948" s="21">
        <v>46027</v>
      </c>
      <c r="C948" s="22" t="s">
        <v>48</v>
      </c>
      <c r="D948" s="22" t="s">
        <v>8</v>
      </c>
      <c r="E948" s="22" t="s">
        <v>526</v>
      </c>
      <c r="F948" s="22" t="s">
        <v>684</v>
      </c>
      <c r="G948" s="21">
        <v>46027</v>
      </c>
      <c r="H948" s="21">
        <v>46027</v>
      </c>
      <c r="I948" s="21"/>
      <c r="J948" s="21"/>
      <c r="K948" s="45">
        <v>0.3125</v>
      </c>
      <c r="L948" s="48">
        <v>0.4375</v>
      </c>
      <c r="M948" s="11">
        <f t="shared" si="14"/>
        <v>3</v>
      </c>
      <c r="N948" s="42" t="s">
        <v>0</v>
      </c>
      <c r="P948" s="4"/>
      <c r="Q948" s="4"/>
      <c r="R948" s="4"/>
      <c r="S948" s="4"/>
      <c r="T948" s="4"/>
      <c r="U948" s="4"/>
      <c r="V948" s="4"/>
      <c r="W948" s="4"/>
    </row>
    <row r="949" spans="1:23" s="32" customFormat="1" hidden="1" x14ac:dyDescent="0.3">
      <c r="A949" s="22" t="s">
        <v>19</v>
      </c>
      <c r="B949" s="21">
        <v>46027</v>
      </c>
      <c r="C949" s="22" t="s">
        <v>48</v>
      </c>
      <c r="D949" s="11" t="s">
        <v>27</v>
      </c>
      <c r="E949" s="11" t="s">
        <v>82</v>
      </c>
      <c r="F949" s="11" t="s">
        <v>696</v>
      </c>
      <c r="G949" s="21">
        <v>46027</v>
      </c>
      <c r="H949" s="21">
        <v>46027</v>
      </c>
      <c r="I949" s="21"/>
      <c r="J949" s="21"/>
      <c r="K949" s="48">
        <v>0.4375</v>
      </c>
      <c r="L949" s="48">
        <v>4.1666666666666664E-2</v>
      </c>
      <c r="M949" s="11">
        <f t="shared" si="14"/>
        <v>14.500000000000002</v>
      </c>
      <c r="N949" s="42" t="s">
        <v>0</v>
      </c>
      <c r="P949" s="4"/>
      <c r="Q949" s="4"/>
      <c r="R949" s="4"/>
      <c r="S949" s="4"/>
      <c r="T949" s="4"/>
      <c r="U949" s="4"/>
      <c r="V949" s="4"/>
      <c r="W949" s="4"/>
    </row>
    <row r="950" spans="1:23" s="32" customFormat="1" hidden="1" x14ac:dyDescent="0.3">
      <c r="A950" s="22" t="s">
        <v>20</v>
      </c>
      <c r="B950" s="21">
        <v>46027</v>
      </c>
      <c r="C950" s="69" t="s">
        <v>33</v>
      </c>
      <c r="D950" s="11" t="s">
        <v>44</v>
      </c>
      <c r="E950" s="11" t="s">
        <v>606</v>
      </c>
      <c r="F950" s="11" t="s">
        <v>607</v>
      </c>
      <c r="G950" s="21">
        <v>46024</v>
      </c>
      <c r="H950" s="21">
        <v>46024</v>
      </c>
      <c r="I950" s="21"/>
      <c r="J950" s="17"/>
      <c r="K950" s="47">
        <v>0.3125</v>
      </c>
      <c r="L950" s="48">
        <v>0.6875</v>
      </c>
      <c r="M950" s="11">
        <f t="shared" si="14"/>
        <v>9</v>
      </c>
      <c r="N950" s="67" t="s">
        <v>1</v>
      </c>
      <c r="P950" s="4"/>
      <c r="Q950" s="4"/>
      <c r="R950" s="4"/>
      <c r="S950" s="4"/>
      <c r="T950" s="4"/>
      <c r="U950" s="4"/>
      <c r="V950" s="4"/>
      <c r="W950" s="4"/>
    </row>
    <row r="951" spans="1:23" s="32" customFormat="1" hidden="1" x14ac:dyDescent="0.3">
      <c r="A951" s="22" t="s">
        <v>20</v>
      </c>
      <c r="B951" s="21">
        <v>46027</v>
      </c>
      <c r="C951" s="69" t="s">
        <v>12</v>
      </c>
      <c r="D951" s="233" t="s">
        <v>44</v>
      </c>
      <c r="E951" s="214" t="s">
        <v>698</v>
      </c>
      <c r="F951" s="241" t="s">
        <v>699</v>
      </c>
      <c r="G951" s="219">
        <v>46027</v>
      </c>
      <c r="H951" s="219">
        <v>46027</v>
      </c>
      <c r="I951" s="219"/>
      <c r="J951" s="17"/>
      <c r="K951" s="47">
        <v>0.3125</v>
      </c>
      <c r="L951" s="48">
        <v>0.5</v>
      </c>
      <c r="M951" s="11">
        <f t="shared" si="14"/>
        <v>4.5</v>
      </c>
      <c r="N951" s="230" t="s">
        <v>1</v>
      </c>
      <c r="P951" s="4"/>
      <c r="Q951" s="4"/>
      <c r="R951" s="4"/>
      <c r="S951" s="4"/>
      <c r="T951" s="4"/>
      <c r="U951" s="4"/>
      <c r="V951" s="4"/>
      <c r="W951" s="4"/>
    </row>
    <row r="952" spans="1:23" s="32" customFormat="1" hidden="1" x14ac:dyDescent="0.3">
      <c r="A952" s="22" t="s">
        <v>20</v>
      </c>
      <c r="B952" s="21">
        <v>46027</v>
      </c>
      <c r="C952" s="69" t="s">
        <v>697</v>
      </c>
      <c r="D952" s="233"/>
      <c r="E952" s="215"/>
      <c r="F952" s="248"/>
      <c r="G952" s="220"/>
      <c r="H952" s="220"/>
      <c r="I952" s="220"/>
      <c r="J952" s="23"/>
      <c r="K952" s="47">
        <v>0.3125</v>
      </c>
      <c r="L952" s="48">
        <v>0.5</v>
      </c>
      <c r="M952" s="11">
        <f t="shared" si="14"/>
        <v>4.5</v>
      </c>
      <c r="N952" s="228"/>
      <c r="P952" s="4"/>
      <c r="Q952" s="4"/>
      <c r="R952" s="4"/>
      <c r="S952" s="4"/>
      <c r="T952" s="4"/>
      <c r="U952" s="4"/>
      <c r="V952" s="4"/>
      <c r="W952" s="4"/>
    </row>
    <row r="953" spans="1:23" s="32" customFormat="1" hidden="1" x14ac:dyDescent="0.3">
      <c r="A953" s="22" t="s">
        <v>20</v>
      </c>
      <c r="B953" s="21">
        <v>46027</v>
      </c>
      <c r="C953" s="69" t="s">
        <v>421</v>
      </c>
      <c r="D953" s="11" t="s">
        <v>44</v>
      </c>
      <c r="E953" s="18" t="s">
        <v>151</v>
      </c>
      <c r="F953" s="73" t="s">
        <v>244</v>
      </c>
      <c r="G953" s="21">
        <v>46024</v>
      </c>
      <c r="H953" s="21">
        <v>46027</v>
      </c>
      <c r="I953" s="21"/>
      <c r="J953" s="17"/>
      <c r="K953" s="47">
        <v>0.3125</v>
      </c>
      <c r="L953" s="48">
        <v>0.5</v>
      </c>
      <c r="M953" s="11">
        <f t="shared" si="14"/>
        <v>4.5</v>
      </c>
      <c r="N953" s="42" t="s">
        <v>0</v>
      </c>
      <c r="P953" s="4"/>
      <c r="Q953" s="4"/>
      <c r="R953" s="4"/>
      <c r="S953" s="4"/>
      <c r="T953" s="4"/>
      <c r="U953" s="4"/>
      <c r="V953" s="4"/>
      <c r="W953" s="4"/>
    </row>
    <row r="954" spans="1:23" s="32" customFormat="1" hidden="1" x14ac:dyDescent="0.3">
      <c r="A954" s="22" t="s">
        <v>20</v>
      </c>
      <c r="B954" s="21">
        <v>46027</v>
      </c>
      <c r="C954" s="69" t="s">
        <v>421</v>
      </c>
      <c r="D954" s="11" t="s">
        <v>44</v>
      </c>
      <c r="E954" s="18" t="s">
        <v>606</v>
      </c>
      <c r="F954" s="73" t="s">
        <v>701</v>
      </c>
      <c r="G954" s="21">
        <v>46024</v>
      </c>
      <c r="H954" s="21">
        <v>46027</v>
      </c>
      <c r="I954" s="21"/>
      <c r="J954" s="17"/>
      <c r="K954" s="47">
        <v>0.58333333333333337</v>
      </c>
      <c r="L954" s="48">
        <v>0.6875</v>
      </c>
      <c r="M954" s="11">
        <f t="shared" si="14"/>
        <v>2.4999999999999991</v>
      </c>
      <c r="N954" s="42" t="s">
        <v>0</v>
      </c>
      <c r="P954" s="4"/>
      <c r="Q954" s="4"/>
      <c r="R954" s="4"/>
      <c r="S954" s="4"/>
      <c r="T954" s="4"/>
      <c r="U954" s="4"/>
      <c r="V954" s="4"/>
      <c r="W954" s="4"/>
    </row>
    <row r="955" spans="1:23" s="32" customFormat="1" hidden="1" x14ac:dyDescent="0.3">
      <c r="A955" s="22" t="s">
        <v>20</v>
      </c>
      <c r="B955" s="21">
        <v>46027</v>
      </c>
      <c r="C955" s="69" t="s">
        <v>444</v>
      </c>
      <c r="D955" s="11" t="s">
        <v>44</v>
      </c>
      <c r="E955" s="18" t="s">
        <v>606</v>
      </c>
      <c r="F955" s="73" t="s">
        <v>700</v>
      </c>
      <c r="G955" s="21">
        <v>46027</v>
      </c>
      <c r="H955" s="21">
        <v>46027</v>
      </c>
      <c r="I955" s="21"/>
      <c r="J955" s="17"/>
      <c r="K955" s="47">
        <v>0.3125</v>
      </c>
      <c r="L955" s="48">
        <v>0.6875</v>
      </c>
      <c r="M955" s="11">
        <f t="shared" si="14"/>
        <v>9</v>
      </c>
      <c r="N955" s="42" t="s">
        <v>0</v>
      </c>
      <c r="P955" s="4"/>
      <c r="Q955" s="4"/>
      <c r="R955" s="4"/>
      <c r="S955" s="4"/>
      <c r="T955" s="4"/>
      <c r="U955" s="4"/>
      <c r="V955" s="4"/>
      <c r="W955" s="4"/>
    </row>
    <row r="956" spans="1:23" s="32" customFormat="1" hidden="1" x14ac:dyDescent="0.3">
      <c r="A956" s="22" t="s">
        <v>20</v>
      </c>
      <c r="B956" s="21">
        <v>46027</v>
      </c>
      <c r="C956" s="22" t="s">
        <v>28</v>
      </c>
      <c r="D956" s="13" t="s">
        <v>65</v>
      </c>
      <c r="E956" s="13" t="s">
        <v>694</v>
      </c>
      <c r="F956" s="26" t="s">
        <v>695</v>
      </c>
      <c r="G956" s="21">
        <v>46024</v>
      </c>
      <c r="H956" s="21">
        <v>46027</v>
      </c>
      <c r="I956" s="21"/>
      <c r="J956" s="17"/>
      <c r="K956" s="47">
        <v>0.3125</v>
      </c>
      <c r="L956" s="48">
        <v>0.6875</v>
      </c>
      <c r="M956" s="11">
        <f t="shared" si="14"/>
        <v>9</v>
      </c>
      <c r="N956" s="22" t="s">
        <v>0</v>
      </c>
      <c r="P956" s="4"/>
      <c r="Q956" s="4"/>
      <c r="R956" s="4"/>
      <c r="S956" s="4"/>
      <c r="T956" s="4"/>
      <c r="U956" s="4"/>
      <c r="V956" s="4"/>
      <c r="W956" s="4"/>
    </row>
    <row r="957" spans="1:23" s="32" customFormat="1" hidden="1" x14ac:dyDescent="0.3">
      <c r="A957" s="22" t="s">
        <v>20</v>
      </c>
      <c r="B957" s="21">
        <v>46027</v>
      </c>
      <c r="C957" s="22" t="s">
        <v>47</v>
      </c>
      <c r="D957" s="216" t="s">
        <v>65</v>
      </c>
      <c r="E957" s="216" t="s">
        <v>611</v>
      </c>
      <c r="F957" s="243" t="s">
        <v>164</v>
      </c>
      <c r="G957" s="219">
        <v>46024</v>
      </c>
      <c r="H957" s="219">
        <v>46027</v>
      </c>
      <c r="I957" s="219"/>
      <c r="J957" s="17"/>
      <c r="K957" s="47">
        <v>0.3125</v>
      </c>
      <c r="L957" s="48">
        <v>0.6875</v>
      </c>
      <c r="M957" s="11">
        <f t="shared" si="14"/>
        <v>9</v>
      </c>
      <c r="N957" s="231" t="s">
        <v>0</v>
      </c>
      <c r="P957" s="4"/>
      <c r="Q957" s="4"/>
      <c r="R957" s="4"/>
      <c r="S957" s="4"/>
      <c r="T957" s="4"/>
      <c r="U957" s="4"/>
      <c r="V957" s="4"/>
      <c r="W957" s="4"/>
    </row>
    <row r="958" spans="1:23" s="32" customFormat="1" hidden="1" x14ac:dyDescent="0.3">
      <c r="A958" s="22" t="s">
        <v>20</v>
      </c>
      <c r="B958" s="21">
        <v>46027</v>
      </c>
      <c r="C958" s="22" t="s">
        <v>31</v>
      </c>
      <c r="D958" s="217"/>
      <c r="E958" s="217"/>
      <c r="F958" s="244"/>
      <c r="G958" s="220"/>
      <c r="H958" s="220"/>
      <c r="I958" s="220"/>
      <c r="J958" s="23"/>
      <c r="K958" s="47">
        <v>0.33333333333333331</v>
      </c>
      <c r="L958" s="48">
        <v>0.41666666666666669</v>
      </c>
      <c r="M958" s="11">
        <f t="shared" si="14"/>
        <v>2.0000000000000009</v>
      </c>
      <c r="N958" s="225"/>
      <c r="P958" s="4"/>
      <c r="Q958" s="4"/>
      <c r="R958" s="4"/>
      <c r="S958" s="4"/>
      <c r="T958" s="4"/>
      <c r="U958" s="4"/>
      <c r="V958" s="4"/>
      <c r="W958" s="4"/>
    </row>
    <row r="959" spans="1:23" s="32" customFormat="1" hidden="1" x14ac:dyDescent="0.3">
      <c r="A959" s="22" t="s">
        <v>20</v>
      </c>
      <c r="B959" s="21">
        <v>46027</v>
      </c>
      <c r="C959" s="22" t="s">
        <v>167</v>
      </c>
      <c r="D959" s="216" t="s">
        <v>65</v>
      </c>
      <c r="E959" s="216" t="s">
        <v>681</v>
      </c>
      <c r="F959" s="243" t="s">
        <v>116</v>
      </c>
      <c r="G959" s="219">
        <v>46024</v>
      </c>
      <c r="H959" s="219">
        <v>46027</v>
      </c>
      <c r="I959" s="219"/>
      <c r="J959" s="17"/>
      <c r="K959" s="47">
        <v>0.3125</v>
      </c>
      <c r="L959" s="48">
        <v>0.6875</v>
      </c>
      <c r="M959" s="11">
        <f t="shared" si="14"/>
        <v>9</v>
      </c>
      <c r="N959" s="249" t="s">
        <v>0</v>
      </c>
      <c r="P959" s="4"/>
      <c r="Q959" s="4"/>
      <c r="R959" s="4"/>
      <c r="S959" s="4"/>
      <c r="T959" s="4"/>
      <c r="U959" s="4"/>
      <c r="V959" s="4"/>
      <c r="W959" s="4"/>
    </row>
    <row r="960" spans="1:23" s="32" customFormat="1" hidden="1" x14ac:dyDescent="0.3">
      <c r="A960" s="22" t="s">
        <v>20</v>
      </c>
      <c r="B960" s="21">
        <v>46027</v>
      </c>
      <c r="C960" s="22" t="s">
        <v>31</v>
      </c>
      <c r="D960" s="217"/>
      <c r="E960" s="217"/>
      <c r="F960" s="244"/>
      <c r="G960" s="220"/>
      <c r="H960" s="220"/>
      <c r="I960" s="220"/>
      <c r="J960" s="23"/>
      <c r="K960" s="47">
        <v>0.41666666666666669</v>
      </c>
      <c r="L960" s="45">
        <v>0.5</v>
      </c>
      <c r="M960" s="11">
        <f t="shared" si="14"/>
        <v>1.9999999999999996</v>
      </c>
      <c r="N960" s="249"/>
      <c r="P960" s="4"/>
      <c r="Q960" s="4"/>
      <c r="R960" s="4"/>
      <c r="S960" s="4"/>
      <c r="T960" s="4"/>
      <c r="U960" s="4"/>
      <c r="V960" s="4"/>
      <c r="W960" s="4"/>
    </row>
    <row r="961" spans="1:23" s="32" customFormat="1" hidden="1" x14ac:dyDescent="0.3">
      <c r="A961" s="22" t="s">
        <v>20</v>
      </c>
      <c r="B961" s="21">
        <v>46027</v>
      </c>
      <c r="C961" s="22" t="s">
        <v>15</v>
      </c>
      <c r="D961" s="13" t="s">
        <v>65</v>
      </c>
      <c r="E961" s="24" t="s">
        <v>615</v>
      </c>
      <c r="F961" s="3" t="s">
        <v>378</v>
      </c>
      <c r="G961" s="21">
        <v>46024</v>
      </c>
      <c r="H961" s="21">
        <v>46027</v>
      </c>
      <c r="I961" s="21"/>
      <c r="J961" s="17"/>
      <c r="K961" s="47">
        <v>0.3125</v>
      </c>
      <c r="L961" s="48">
        <v>0.6875</v>
      </c>
      <c r="M961" s="11">
        <f t="shared" si="14"/>
        <v>9</v>
      </c>
      <c r="N961" s="22" t="s">
        <v>0</v>
      </c>
      <c r="P961" s="4"/>
      <c r="Q961" s="4"/>
      <c r="R961" s="4"/>
      <c r="S961" s="4"/>
      <c r="T961" s="4"/>
      <c r="U961" s="4"/>
      <c r="V961" s="4"/>
      <c r="W961" s="4"/>
    </row>
    <row r="962" spans="1:23" s="32" customFormat="1" hidden="1" x14ac:dyDescent="0.3">
      <c r="A962" s="22" t="s">
        <v>20</v>
      </c>
      <c r="B962" s="21">
        <v>46027</v>
      </c>
      <c r="C962" s="22" t="s">
        <v>17</v>
      </c>
      <c r="D962" s="24" t="s">
        <v>65</v>
      </c>
      <c r="E962" s="22" t="s">
        <v>670</v>
      </c>
      <c r="F962" s="25" t="s">
        <v>378</v>
      </c>
      <c r="G962" s="21">
        <v>46025</v>
      </c>
      <c r="H962" s="21">
        <v>46027</v>
      </c>
      <c r="I962" s="21"/>
      <c r="J962" s="17"/>
      <c r="K962" s="47">
        <v>0.3125</v>
      </c>
      <c r="L962" s="48">
        <v>0.6875</v>
      </c>
      <c r="M962" s="11">
        <f t="shared" ref="M962:M1025" si="15">MOD(L962-K962,1)*24</f>
        <v>9</v>
      </c>
      <c r="N962" s="22" t="s">
        <v>0</v>
      </c>
      <c r="P962" s="4"/>
      <c r="Q962" s="4"/>
      <c r="R962" s="4"/>
      <c r="S962" s="4"/>
      <c r="T962" s="4"/>
      <c r="U962" s="4"/>
      <c r="V962" s="4"/>
      <c r="W962" s="4"/>
    </row>
    <row r="963" spans="1:23" s="32" customFormat="1" hidden="1" x14ac:dyDescent="0.3">
      <c r="A963" s="22" t="s">
        <v>20</v>
      </c>
      <c r="B963" s="21">
        <v>46027</v>
      </c>
      <c r="C963" s="22" t="s">
        <v>16</v>
      </c>
      <c r="D963" s="24" t="s">
        <v>65</v>
      </c>
      <c r="E963" s="22" t="s">
        <v>447</v>
      </c>
      <c r="F963" s="25" t="s">
        <v>671</v>
      </c>
      <c r="G963" s="21">
        <v>46024</v>
      </c>
      <c r="H963" s="21">
        <v>46027</v>
      </c>
      <c r="I963" s="21"/>
      <c r="J963" s="21"/>
      <c r="K963" s="45">
        <v>0.3125</v>
      </c>
      <c r="L963" s="48">
        <v>0.6875</v>
      </c>
      <c r="M963" s="11">
        <f t="shared" si="15"/>
        <v>9</v>
      </c>
      <c r="N963" s="22" t="s">
        <v>0</v>
      </c>
      <c r="P963" s="4"/>
      <c r="Q963" s="4"/>
      <c r="R963" s="4"/>
      <c r="S963" s="4"/>
      <c r="T963" s="4"/>
      <c r="U963" s="4"/>
      <c r="V963" s="4"/>
      <c r="W963" s="4"/>
    </row>
    <row r="964" spans="1:23" s="32" customFormat="1" hidden="1" x14ac:dyDescent="0.3">
      <c r="A964" s="22" t="s">
        <v>21</v>
      </c>
      <c r="B964" s="21">
        <v>46028</v>
      </c>
      <c r="C964" s="22" t="s">
        <v>26</v>
      </c>
      <c r="D964" s="24" t="s">
        <v>24</v>
      </c>
      <c r="E964" s="22"/>
      <c r="F964" s="25"/>
      <c r="G964" s="21">
        <v>46028</v>
      </c>
      <c r="H964" s="21">
        <v>46028</v>
      </c>
      <c r="I964" s="21"/>
      <c r="J964" s="23"/>
      <c r="K964" s="50">
        <v>0.33333333333333331</v>
      </c>
      <c r="L964" s="48">
        <v>0.70833333333333337</v>
      </c>
      <c r="M964" s="11">
        <f t="shared" si="15"/>
        <v>9.0000000000000018</v>
      </c>
      <c r="N964" s="11" t="s">
        <v>0</v>
      </c>
      <c r="P964" s="4"/>
      <c r="Q964" s="4"/>
      <c r="R964" s="4"/>
      <c r="S964" s="4"/>
      <c r="T964" s="4"/>
      <c r="U964" s="4"/>
      <c r="V964" s="4"/>
      <c r="W964" s="4"/>
    </row>
    <row r="965" spans="1:23" s="32" customFormat="1" ht="28.8" hidden="1" x14ac:dyDescent="0.3">
      <c r="A965" s="22" t="s">
        <v>21</v>
      </c>
      <c r="B965" s="21">
        <v>46028</v>
      </c>
      <c r="C965" s="22" t="s">
        <v>37</v>
      </c>
      <c r="D965" s="24" t="s">
        <v>24</v>
      </c>
      <c r="E965" s="22" t="s">
        <v>706</v>
      </c>
      <c r="F965" s="25" t="s">
        <v>707</v>
      </c>
      <c r="G965" s="21">
        <v>46028</v>
      </c>
      <c r="H965" s="21">
        <v>46028</v>
      </c>
      <c r="I965" s="21"/>
      <c r="J965" s="23"/>
      <c r="K965" s="50">
        <v>0.33333333333333331</v>
      </c>
      <c r="L965" s="48">
        <v>0.70833333333333337</v>
      </c>
      <c r="M965" s="11">
        <f t="shared" si="15"/>
        <v>9.0000000000000018</v>
      </c>
      <c r="N965" s="11" t="s">
        <v>1</v>
      </c>
      <c r="P965" s="4"/>
      <c r="Q965" s="4"/>
      <c r="R965" s="4"/>
      <c r="S965" s="4"/>
      <c r="T965" s="4"/>
      <c r="U965" s="4"/>
      <c r="V965" s="4"/>
      <c r="W965" s="4"/>
    </row>
    <row r="966" spans="1:23" s="32" customFormat="1" hidden="1" x14ac:dyDescent="0.3">
      <c r="A966" s="22" t="s">
        <v>21</v>
      </c>
      <c r="B966" s="21">
        <v>46028</v>
      </c>
      <c r="C966" s="22" t="s">
        <v>50</v>
      </c>
      <c r="D966" s="24" t="s">
        <v>24</v>
      </c>
      <c r="E966" s="22" t="s">
        <v>677</v>
      </c>
      <c r="F966" s="25" t="s">
        <v>676</v>
      </c>
      <c r="G966" s="21">
        <v>46028</v>
      </c>
      <c r="H966" s="21">
        <v>46028</v>
      </c>
      <c r="I966" s="17"/>
      <c r="J966" s="17"/>
      <c r="K966" s="45">
        <v>0.3125</v>
      </c>
      <c r="L966" s="48">
        <v>0.6875</v>
      </c>
      <c r="M966" s="11">
        <f t="shared" si="15"/>
        <v>9</v>
      </c>
      <c r="N966" s="11" t="s">
        <v>1</v>
      </c>
      <c r="P966" s="4"/>
      <c r="Q966" s="4"/>
      <c r="R966" s="4"/>
      <c r="S966" s="4"/>
      <c r="T966" s="4"/>
      <c r="U966" s="4"/>
      <c r="V966" s="4"/>
      <c r="W966" s="4"/>
    </row>
    <row r="967" spans="1:23" s="32" customFormat="1" hidden="1" x14ac:dyDescent="0.3">
      <c r="A967" s="22" t="s">
        <v>21</v>
      </c>
      <c r="B967" s="21">
        <v>46028</v>
      </c>
      <c r="C967" s="22" t="s">
        <v>274</v>
      </c>
      <c r="D967" s="214" t="s">
        <v>8</v>
      </c>
      <c r="E967" s="214" t="s">
        <v>416</v>
      </c>
      <c r="F967" s="241" t="s">
        <v>703</v>
      </c>
      <c r="G967" s="219">
        <v>46028</v>
      </c>
      <c r="H967" s="219">
        <v>46029</v>
      </c>
      <c r="I967" s="21"/>
      <c r="J967" s="21"/>
      <c r="K967" s="45">
        <v>0.27083333333333331</v>
      </c>
      <c r="L967" s="48">
        <v>0.5</v>
      </c>
      <c r="M967" s="11">
        <f t="shared" si="15"/>
        <v>5.5</v>
      </c>
      <c r="N967" s="214" t="s">
        <v>1</v>
      </c>
      <c r="P967" s="4"/>
      <c r="Q967" s="4"/>
      <c r="R967" s="4"/>
      <c r="S967" s="4"/>
      <c r="T967" s="4"/>
      <c r="U967" s="4"/>
      <c r="V967" s="4"/>
      <c r="W967" s="4"/>
    </row>
    <row r="968" spans="1:23" s="32" customFormat="1" hidden="1" x14ac:dyDescent="0.3">
      <c r="A968" s="22" t="s">
        <v>21</v>
      </c>
      <c r="B968" s="21">
        <v>46028</v>
      </c>
      <c r="C968" s="22" t="s">
        <v>18</v>
      </c>
      <c r="D968" s="215"/>
      <c r="E968" s="215"/>
      <c r="F968" s="248"/>
      <c r="G968" s="220"/>
      <c r="H968" s="220"/>
      <c r="I968" s="21"/>
      <c r="J968" s="21"/>
      <c r="K968" s="45">
        <v>0.27083333333333331</v>
      </c>
      <c r="L968" s="48">
        <v>0.5</v>
      </c>
      <c r="M968" s="11">
        <f t="shared" si="15"/>
        <v>5.5</v>
      </c>
      <c r="N968" s="215"/>
      <c r="P968" s="4"/>
      <c r="Q968" s="4"/>
      <c r="R968" s="4"/>
      <c r="S968" s="4"/>
      <c r="T968" s="4"/>
      <c r="U968" s="4"/>
      <c r="V968" s="4"/>
      <c r="W968" s="4"/>
    </row>
    <row r="969" spans="1:23" s="32" customFormat="1" hidden="1" x14ac:dyDescent="0.3">
      <c r="A969" s="22" t="s">
        <v>21</v>
      </c>
      <c r="B969" s="21">
        <v>46028</v>
      </c>
      <c r="C969" s="22" t="s">
        <v>274</v>
      </c>
      <c r="D969" s="214" t="s">
        <v>27</v>
      </c>
      <c r="E969" s="233" t="s">
        <v>714</v>
      </c>
      <c r="F969" s="238" t="s">
        <v>589</v>
      </c>
      <c r="G969" s="219">
        <v>46028</v>
      </c>
      <c r="H969" s="219">
        <v>46028</v>
      </c>
      <c r="I969" s="19"/>
      <c r="J969" s="19"/>
      <c r="K969" s="45">
        <v>0.54166666666666663</v>
      </c>
      <c r="L969" s="48">
        <v>0.70833333333333337</v>
      </c>
      <c r="M969" s="11">
        <f t="shared" si="15"/>
        <v>4.0000000000000018</v>
      </c>
      <c r="N969" s="255" t="s">
        <v>1</v>
      </c>
      <c r="P969" s="4"/>
      <c r="Q969" s="4"/>
      <c r="R969" s="4"/>
      <c r="S969" s="4"/>
      <c r="T969" s="4"/>
      <c r="U969" s="4"/>
      <c r="V969" s="4"/>
      <c r="W969" s="4"/>
    </row>
    <row r="970" spans="1:23" s="32" customFormat="1" hidden="1" x14ac:dyDescent="0.3">
      <c r="A970" s="22" t="s">
        <v>21</v>
      </c>
      <c r="B970" s="21">
        <v>46028</v>
      </c>
      <c r="C970" s="22" t="s">
        <v>18</v>
      </c>
      <c r="D970" s="215"/>
      <c r="E970" s="233"/>
      <c r="F970" s="238"/>
      <c r="G970" s="220"/>
      <c r="H970" s="220"/>
      <c r="I970" s="19"/>
      <c r="J970" s="19"/>
      <c r="K970" s="45">
        <v>0.54166666666666663</v>
      </c>
      <c r="L970" s="48">
        <v>0.70833333333333337</v>
      </c>
      <c r="M970" s="11">
        <f t="shared" si="15"/>
        <v>4.0000000000000018</v>
      </c>
      <c r="N970" s="256"/>
      <c r="P970" s="4"/>
      <c r="Q970" s="4"/>
      <c r="R970" s="4"/>
      <c r="S970" s="4"/>
      <c r="T970" s="4"/>
      <c r="U970" s="4"/>
      <c r="V970" s="4"/>
      <c r="W970" s="4"/>
    </row>
    <row r="971" spans="1:23" s="32" customFormat="1" hidden="1" x14ac:dyDescent="0.3">
      <c r="A971" s="22" t="s">
        <v>21</v>
      </c>
      <c r="B971" s="21">
        <v>46028</v>
      </c>
      <c r="C971" s="22" t="s">
        <v>320</v>
      </c>
      <c r="D971" s="214" t="s">
        <v>43</v>
      </c>
      <c r="E971" s="226" t="s">
        <v>686</v>
      </c>
      <c r="F971" s="242" t="s">
        <v>687</v>
      </c>
      <c r="G971" s="220">
        <v>46027</v>
      </c>
      <c r="H971" s="220">
        <v>46028</v>
      </c>
      <c r="I971" s="220"/>
      <c r="J971" s="19"/>
      <c r="K971" s="45">
        <v>0.27083333333333331</v>
      </c>
      <c r="L971" s="48">
        <v>0.64583333333333337</v>
      </c>
      <c r="M971" s="11">
        <f t="shared" si="15"/>
        <v>9.0000000000000018</v>
      </c>
      <c r="N971" s="254" t="s">
        <v>1</v>
      </c>
      <c r="P971" s="4"/>
      <c r="Q971" s="4"/>
      <c r="R971" s="4"/>
      <c r="S971" s="4"/>
      <c r="T971" s="4"/>
      <c r="U971" s="4"/>
      <c r="V971" s="4"/>
      <c r="W971" s="4"/>
    </row>
    <row r="972" spans="1:23" s="32" customFormat="1" hidden="1" x14ac:dyDescent="0.3">
      <c r="A972" s="22" t="s">
        <v>21</v>
      </c>
      <c r="B972" s="21">
        <v>46028</v>
      </c>
      <c r="C972" s="22" t="s">
        <v>56</v>
      </c>
      <c r="D972" s="215"/>
      <c r="E972" s="215"/>
      <c r="F972" s="248"/>
      <c r="G972" s="223"/>
      <c r="H972" s="223"/>
      <c r="I972" s="223"/>
      <c r="J972" s="21"/>
      <c r="K972" s="45">
        <v>0.27083333333333331</v>
      </c>
      <c r="L972" s="48">
        <v>0.64583333333333337</v>
      </c>
      <c r="M972" s="11">
        <f t="shared" si="15"/>
        <v>9.0000000000000018</v>
      </c>
      <c r="N972" s="254"/>
      <c r="P972" s="4"/>
      <c r="Q972" s="4"/>
      <c r="R972" s="4"/>
      <c r="S972" s="4"/>
      <c r="T972" s="4"/>
      <c r="U972" s="4"/>
      <c r="V972" s="4"/>
      <c r="W972" s="4"/>
    </row>
    <row r="973" spans="1:23" s="32" customFormat="1" hidden="1" x14ac:dyDescent="0.3">
      <c r="A973" s="22" t="s">
        <v>21</v>
      </c>
      <c r="B973" s="21">
        <v>46028</v>
      </c>
      <c r="C973" s="22" t="s">
        <v>118</v>
      </c>
      <c r="D973" s="216" t="s">
        <v>54</v>
      </c>
      <c r="E973" s="214" t="s">
        <v>688</v>
      </c>
      <c r="F973" s="214" t="s">
        <v>705</v>
      </c>
      <c r="G973" s="223">
        <v>46028</v>
      </c>
      <c r="H973" s="223">
        <v>46028</v>
      </c>
      <c r="I973" s="23"/>
      <c r="J973" s="23"/>
      <c r="K973" s="45">
        <v>0.29166666666666669</v>
      </c>
      <c r="L973" s="48">
        <v>0.70833333333333337</v>
      </c>
      <c r="M973" s="11">
        <f t="shared" si="15"/>
        <v>10</v>
      </c>
      <c r="N973" s="214" t="s">
        <v>1</v>
      </c>
      <c r="P973" s="4"/>
      <c r="Q973" s="4"/>
      <c r="R973" s="4"/>
      <c r="S973" s="4"/>
      <c r="T973" s="4"/>
      <c r="U973" s="4"/>
      <c r="V973" s="4"/>
      <c r="W973" s="4"/>
    </row>
    <row r="974" spans="1:23" s="32" customFormat="1" hidden="1" x14ac:dyDescent="0.3">
      <c r="A974" s="22" t="s">
        <v>21</v>
      </c>
      <c r="B974" s="21">
        <v>46028</v>
      </c>
      <c r="C974" s="22" t="s">
        <v>34</v>
      </c>
      <c r="D974" s="217"/>
      <c r="E974" s="215"/>
      <c r="F974" s="215"/>
      <c r="G974" s="223"/>
      <c r="H974" s="223"/>
      <c r="I974" s="23"/>
      <c r="J974" s="23"/>
      <c r="K974" s="45">
        <v>0.29166666666666669</v>
      </c>
      <c r="L974" s="48">
        <v>0.70833333333333337</v>
      </c>
      <c r="M974" s="11">
        <f t="shared" si="15"/>
        <v>10</v>
      </c>
      <c r="N974" s="215"/>
      <c r="P974" s="4"/>
      <c r="Q974" s="4"/>
      <c r="R974" s="4"/>
      <c r="S974" s="4"/>
      <c r="T974" s="4"/>
      <c r="U974" s="4"/>
      <c r="V974" s="4"/>
      <c r="W974" s="4"/>
    </row>
    <row r="975" spans="1:23" s="32" customFormat="1" hidden="1" x14ac:dyDescent="0.3">
      <c r="A975" s="22" t="s">
        <v>21</v>
      </c>
      <c r="B975" s="21">
        <v>46028</v>
      </c>
      <c r="C975" s="22" t="s">
        <v>55</v>
      </c>
      <c r="D975" s="13" t="s">
        <v>43</v>
      </c>
      <c r="E975" s="13" t="s">
        <v>679</v>
      </c>
      <c r="F975" s="28" t="s">
        <v>125</v>
      </c>
      <c r="G975" s="23">
        <v>46028</v>
      </c>
      <c r="H975" s="23">
        <v>46031</v>
      </c>
      <c r="I975" s="23"/>
      <c r="J975" s="23"/>
      <c r="K975" s="45">
        <v>0.27083333333333331</v>
      </c>
      <c r="L975" s="49">
        <v>0.33333333333333331</v>
      </c>
      <c r="M975" s="11">
        <f t="shared" si="15"/>
        <v>1.5</v>
      </c>
      <c r="N975" s="11" t="s">
        <v>0</v>
      </c>
      <c r="P975" s="4"/>
      <c r="Q975" s="4"/>
      <c r="R975" s="4"/>
      <c r="S975" s="4"/>
      <c r="T975" s="4"/>
      <c r="U975" s="4"/>
      <c r="V975" s="4"/>
      <c r="W975" s="4"/>
    </row>
    <row r="976" spans="1:23" s="32" customFormat="1" hidden="1" x14ac:dyDescent="0.3">
      <c r="A976" s="22" t="s">
        <v>21</v>
      </c>
      <c r="B976" s="21">
        <v>46028</v>
      </c>
      <c r="C976" s="22" t="s">
        <v>55</v>
      </c>
      <c r="D976" s="13" t="s">
        <v>43</v>
      </c>
      <c r="E976" s="13" t="s">
        <v>715</v>
      </c>
      <c r="F976" s="28" t="s">
        <v>716</v>
      </c>
      <c r="G976" s="23">
        <v>46028</v>
      </c>
      <c r="H976" s="23">
        <v>46028</v>
      </c>
      <c r="I976" s="23"/>
      <c r="J976" s="23"/>
      <c r="K976" s="45">
        <v>0.33333333333333331</v>
      </c>
      <c r="L976" s="49">
        <v>0.64583333333333337</v>
      </c>
      <c r="M976" s="11">
        <f t="shared" si="15"/>
        <v>7.5000000000000018</v>
      </c>
      <c r="N976" s="11" t="s">
        <v>0</v>
      </c>
      <c r="P976" s="4"/>
      <c r="Q976" s="4"/>
      <c r="R976" s="4"/>
      <c r="S976" s="4"/>
      <c r="T976" s="4"/>
      <c r="U976" s="4"/>
      <c r="V976" s="4"/>
      <c r="W976" s="4"/>
    </row>
    <row r="977" spans="1:23" s="32" customFormat="1" hidden="1" x14ac:dyDescent="0.3">
      <c r="A977" s="22" t="s">
        <v>21</v>
      </c>
      <c r="B977" s="21">
        <v>46028</v>
      </c>
      <c r="C977" s="22" t="s">
        <v>25</v>
      </c>
      <c r="D977" s="13" t="s">
        <v>43</v>
      </c>
      <c r="E977" s="24" t="s">
        <v>640</v>
      </c>
      <c r="F977" s="25" t="s">
        <v>704</v>
      </c>
      <c r="G977" s="21">
        <v>46028</v>
      </c>
      <c r="H977" s="21">
        <v>46029</v>
      </c>
      <c r="I977" s="21"/>
      <c r="J977" s="21"/>
      <c r="K977" s="45">
        <v>0.27083333333333331</v>
      </c>
      <c r="L977" s="48">
        <v>0.64583333333333337</v>
      </c>
      <c r="M977" s="11">
        <f t="shared" si="15"/>
        <v>9.0000000000000018</v>
      </c>
      <c r="N977" s="22" t="s">
        <v>0</v>
      </c>
      <c r="P977" s="4"/>
      <c r="Q977" s="4"/>
      <c r="R977" s="4"/>
      <c r="S977" s="4"/>
      <c r="T977" s="4"/>
      <c r="U977" s="4"/>
      <c r="V977" s="4"/>
      <c r="W977" s="4"/>
    </row>
    <row r="978" spans="1:23" s="32" customFormat="1" ht="28.8" hidden="1" x14ac:dyDescent="0.3">
      <c r="A978" s="22" t="s">
        <v>19</v>
      </c>
      <c r="B978" s="21">
        <v>46028</v>
      </c>
      <c r="C978" s="22" t="s">
        <v>9</v>
      </c>
      <c r="D978" s="13" t="s">
        <v>8</v>
      </c>
      <c r="E978" s="13" t="s">
        <v>71</v>
      </c>
      <c r="F978" s="26" t="s">
        <v>711</v>
      </c>
      <c r="G978" s="21">
        <v>46028</v>
      </c>
      <c r="H978" s="21">
        <v>46028</v>
      </c>
      <c r="I978" s="21"/>
      <c r="J978" s="21"/>
      <c r="K978" s="45">
        <v>0.27083333333333331</v>
      </c>
      <c r="L978" s="48">
        <v>0.4375</v>
      </c>
      <c r="M978" s="11">
        <f t="shared" si="15"/>
        <v>4</v>
      </c>
      <c r="N978" s="11" t="s">
        <v>0</v>
      </c>
      <c r="P978" s="4"/>
      <c r="Q978" s="4"/>
      <c r="R978" s="4"/>
      <c r="S978" s="4"/>
      <c r="T978" s="4"/>
      <c r="U978" s="4"/>
      <c r="V978" s="4"/>
      <c r="W978" s="4"/>
    </row>
    <row r="979" spans="1:23" s="32" customFormat="1" hidden="1" x14ac:dyDescent="0.3">
      <c r="A979" s="22" t="s">
        <v>19</v>
      </c>
      <c r="B979" s="21">
        <v>46028</v>
      </c>
      <c r="C979" s="22" t="s">
        <v>9</v>
      </c>
      <c r="D979" s="13" t="s">
        <v>8</v>
      </c>
      <c r="E979" s="13" t="s">
        <v>682</v>
      </c>
      <c r="F979" s="26" t="s">
        <v>683</v>
      </c>
      <c r="G979" s="17">
        <v>46027</v>
      </c>
      <c r="H979" s="21">
        <v>46028</v>
      </c>
      <c r="I979" s="17"/>
      <c r="J979" s="17"/>
      <c r="K979" s="47">
        <v>0.4375</v>
      </c>
      <c r="L979" s="48">
        <v>0.64583333333333337</v>
      </c>
      <c r="M979" s="11">
        <f t="shared" si="15"/>
        <v>5.0000000000000009</v>
      </c>
      <c r="N979" s="11" t="s">
        <v>0</v>
      </c>
      <c r="P979" s="4"/>
      <c r="Q979" s="4"/>
      <c r="R979" s="4"/>
      <c r="S979" s="4"/>
      <c r="T979" s="4"/>
      <c r="U979" s="4"/>
      <c r="V979" s="4"/>
      <c r="W979" s="4"/>
    </row>
    <row r="980" spans="1:23" s="32" customFormat="1" hidden="1" x14ac:dyDescent="0.3">
      <c r="A980" s="22" t="s">
        <v>19</v>
      </c>
      <c r="B980" s="21">
        <v>46028</v>
      </c>
      <c r="C980" s="22" t="s">
        <v>48</v>
      </c>
      <c r="D980" s="214" t="s">
        <v>8</v>
      </c>
      <c r="E980" s="214" t="s">
        <v>709</v>
      </c>
      <c r="F980" s="214" t="s">
        <v>710</v>
      </c>
      <c r="G980" s="219">
        <v>46028</v>
      </c>
      <c r="H980" s="219">
        <v>46028</v>
      </c>
      <c r="I980" s="17"/>
      <c r="J980" s="17"/>
      <c r="K980" s="47">
        <v>0.33333333333333331</v>
      </c>
      <c r="L980" s="48">
        <v>0.54166666666666663</v>
      </c>
      <c r="M980" s="11">
        <f t="shared" si="15"/>
        <v>5</v>
      </c>
      <c r="N980" s="224" t="s">
        <v>0</v>
      </c>
      <c r="P980" s="4"/>
      <c r="Q980" s="4"/>
      <c r="R980" s="4"/>
      <c r="S980" s="4"/>
      <c r="T980" s="4"/>
      <c r="U980" s="4"/>
      <c r="V980" s="4"/>
      <c r="W980" s="4"/>
    </row>
    <row r="981" spans="1:23" s="32" customFormat="1" hidden="1" x14ac:dyDescent="0.3">
      <c r="A981" s="22" t="s">
        <v>19</v>
      </c>
      <c r="B981" s="21">
        <v>46028</v>
      </c>
      <c r="C981" s="22" t="s">
        <v>708</v>
      </c>
      <c r="D981" s="215"/>
      <c r="E981" s="215"/>
      <c r="F981" s="215"/>
      <c r="G981" s="220"/>
      <c r="H981" s="220"/>
      <c r="I981" s="19"/>
      <c r="J981" s="23"/>
      <c r="K981" s="47">
        <v>0.33333333333333331</v>
      </c>
      <c r="L981" s="48">
        <v>0.54166666666666663</v>
      </c>
      <c r="M981" s="11">
        <f t="shared" si="15"/>
        <v>5</v>
      </c>
      <c r="N981" s="225"/>
      <c r="P981" s="4"/>
      <c r="Q981" s="4"/>
      <c r="R981" s="4"/>
      <c r="S981" s="4"/>
      <c r="T981" s="4"/>
      <c r="U981" s="4"/>
      <c r="V981" s="4"/>
      <c r="W981" s="4"/>
    </row>
    <row r="982" spans="1:23" s="32" customFormat="1" hidden="1" x14ac:dyDescent="0.3">
      <c r="A982" s="22" t="s">
        <v>19</v>
      </c>
      <c r="B982" s="21">
        <v>46028</v>
      </c>
      <c r="C982" s="22" t="s">
        <v>48</v>
      </c>
      <c r="D982" s="214" t="s">
        <v>8</v>
      </c>
      <c r="E982" s="214" t="s">
        <v>242</v>
      </c>
      <c r="F982" s="214" t="s">
        <v>710</v>
      </c>
      <c r="G982" s="219">
        <v>46028</v>
      </c>
      <c r="H982" s="219">
        <v>46028</v>
      </c>
      <c r="I982" s="19"/>
      <c r="J982" s="23"/>
      <c r="K982" s="47">
        <v>0.58333333333333337</v>
      </c>
      <c r="L982" s="48">
        <v>0.70833333333333337</v>
      </c>
      <c r="M982" s="11">
        <f t="shared" si="15"/>
        <v>3</v>
      </c>
      <c r="N982" s="224" t="s">
        <v>0</v>
      </c>
      <c r="P982" s="4"/>
      <c r="Q982" s="4"/>
      <c r="R982" s="4"/>
      <c r="S982" s="4"/>
      <c r="T982" s="4"/>
      <c r="U982" s="4"/>
      <c r="V982" s="4"/>
      <c r="W982" s="4"/>
    </row>
    <row r="983" spans="1:23" s="32" customFormat="1" hidden="1" x14ac:dyDescent="0.3">
      <c r="A983" s="22" t="s">
        <v>19</v>
      </c>
      <c r="B983" s="21">
        <v>46028</v>
      </c>
      <c r="C983" s="22" t="s">
        <v>708</v>
      </c>
      <c r="D983" s="215"/>
      <c r="E983" s="215"/>
      <c r="F983" s="215"/>
      <c r="G983" s="220"/>
      <c r="H983" s="220"/>
      <c r="I983" s="19"/>
      <c r="J983" s="23"/>
      <c r="K983" s="47">
        <v>0.58333333333333337</v>
      </c>
      <c r="L983" s="48">
        <v>0.70833333333333337</v>
      </c>
      <c r="M983" s="11">
        <f t="shared" si="15"/>
        <v>3</v>
      </c>
      <c r="N983" s="225"/>
      <c r="P983" s="4"/>
      <c r="Q983" s="4"/>
      <c r="R983" s="4"/>
      <c r="S983" s="4"/>
      <c r="T983" s="4"/>
      <c r="U983" s="4"/>
      <c r="V983" s="4"/>
      <c r="W983" s="4"/>
    </row>
    <row r="984" spans="1:23" s="32" customFormat="1" hidden="1" x14ac:dyDescent="0.3">
      <c r="A984" s="22" t="s">
        <v>20</v>
      </c>
      <c r="B984" s="21">
        <v>46028</v>
      </c>
      <c r="C984" s="69" t="s">
        <v>33</v>
      </c>
      <c r="D984" s="11" t="s">
        <v>44</v>
      </c>
      <c r="E984" s="11" t="s">
        <v>606</v>
      </c>
      <c r="F984" s="11" t="s">
        <v>607</v>
      </c>
      <c r="G984" s="21">
        <v>46024</v>
      </c>
      <c r="H984" s="21">
        <v>46024</v>
      </c>
      <c r="I984" s="21"/>
      <c r="J984" s="17"/>
      <c r="K984" s="47">
        <v>0.58333333333333337</v>
      </c>
      <c r="L984" s="48">
        <v>0.6875</v>
      </c>
      <c r="M984" s="11">
        <f t="shared" si="15"/>
        <v>2.4999999999999991</v>
      </c>
      <c r="N984" s="42" t="s">
        <v>0</v>
      </c>
      <c r="P984" s="4"/>
      <c r="Q984" s="4"/>
      <c r="R984" s="4"/>
      <c r="S984" s="4"/>
      <c r="T984" s="4"/>
      <c r="U984" s="4"/>
      <c r="V984" s="4"/>
      <c r="W984" s="4"/>
    </row>
    <row r="985" spans="1:23" s="32" customFormat="1" hidden="1" x14ac:dyDescent="0.3">
      <c r="A985" s="22" t="s">
        <v>20</v>
      </c>
      <c r="B985" s="21">
        <v>46028</v>
      </c>
      <c r="C985" s="69" t="s">
        <v>12</v>
      </c>
      <c r="D985" s="233" t="s">
        <v>44</v>
      </c>
      <c r="E985" s="214" t="s">
        <v>698</v>
      </c>
      <c r="F985" s="241" t="s">
        <v>699</v>
      </c>
      <c r="G985" s="219">
        <v>46027</v>
      </c>
      <c r="H985" s="219">
        <v>46028</v>
      </c>
      <c r="I985" s="219"/>
      <c r="J985" s="17"/>
      <c r="K985" s="47">
        <v>0.58333333333333337</v>
      </c>
      <c r="L985" s="48">
        <v>0.5</v>
      </c>
      <c r="M985" s="11">
        <f t="shared" si="15"/>
        <v>22</v>
      </c>
      <c r="N985" s="230" t="s">
        <v>1</v>
      </c>
      <c r="P985" s="4"/>
      <c r="Q985" s="4"/>
      <c r="R985" s="4"/>
      <c r="S985" s="4"/>
      <c r="T985" s="4"/>
      <c r="U985" s="4"/>
      <c r="V985" s="4"/>
      <c r="W985" s="4"/>
    </row>
    <row r="986" spans="1:23" s="32" customFormat="1" hidden="1" x14ac:dyDescent="0.3">
      <c r="A986" s="22" t="s">
        <v>20</v>
      </c>
      <c r="B986" s="21">
        <v>46028</v>
      </c>
      <c r="C986" s="69" t="s">
        <v>697</v>
      </c>
      <c r="D986" s="233"/>
      <c r="E986" s="215"/>
      <c r="F986" s="248"/>
      <c r="G986" s="220"/>
      <c r="H986" s="220"/>
      <c r="I986" s="220"/>
      <c r="J986" s="23"/>
      <c r="K986" s="47">
        <v>0.58333333333333337</v>
      </c>
      <c r="L986" s="48">
        <v>0.5</v>
      </c>
      <c r="M986" s="11">
        <f t="shared" si="15"/>
        <v>22</v>
      </c>
      <c r="N986" s="228"/>
      <c r="P986" s="4"/>
      <c r="Q986" s="4"/>
      <c r="R986" s="4"/>
      <c r="S986" s="4"/>
      <c r="T986" s="4"/>
      <c r="U986" s="4"/>
      <c r="V986" s="4"/>
      <c r="W986" s="4"/>
    </row>
    <row r="987" spans="1:23" s="32" customFormat="1" hidden="1" x14ac:dyDescent="0.3">
      <c r="A987" s="22" t="s">
        <v>20</v>
      </c>
      <c r="B987" s="21">
        <v>46028</v>
      </c>
      <c r="C987" s="69" t="s">
        <v>421</v>
      </c>
      <c r="D987" s="11" t="s">
        <v>44</v>
      </c>
      <c r="E987" s="18" t="s">
        <v>606</v>
      </c>
      <c r="F987" s="73" t="s">
        <v>701</v>
      </c>
      <c r="G987" s="21">
        <v>46024</v>
      </c>
      <c r="H987" s="21">
        <v>46028</v>
      </c>
      <c r="I987" s="21"/>
      <c r="J987" s="17"/>
      <c r="K987" s="47">
        <v>0.58333333333333337</v>
      </c>
      <c r="L987" s="48">
        <v>0.6875</v>
      </c>
      <c r="M987" s="11">
        <f t="shared" si="15"/>
        <v>2.4999999999999991</v>
      </c>
      <c r="N987" s="67" t="s">
        <v>1</v>
      </c>
      <c r="P987" s="4"/>
      <c r="Q987" s="4"/>
      <c r="R987" s="4"/>
      <c r="S987" s="4"/>
      <c r="T987" s="4"/>
      <c r="U987" s="4"/>
      <c r="V987" s="4"/>
      <c r="W987" s="4"/>
    </row>
    <row r="988" spans="1:23" s="32" customFormat="1" hidden="1" x14ac:dyDescent="0.3">
      <c r="A988" s="22" t="s">
        <v>20</v>
      </c>
      <c r="B988" s="21">
        <v>46028</v>
      </c>
      <c r="C988" s="69" t="s">
        <v>33</v>
      </c>
      <c r="D988" s="214" t="s">
        <v>44</v>
      </c>
      <c r="E988" s="233" t="s">
        <v>719</v>
      </c>
      <c r="F988" s="238" t="s">
        <v>720</v>
      </c>
      <c r="G988" s="219">
        <v>46028</v>
      </c>
      <c r="H988" s="219">
        <v>46028</v>
      </c>
      <c r="I988" s="21"/>
      <c r="J988" s="17"/>
      <c r="K988" s="47">
        <v>0.58333333333333337</v>
      </c>
      <c r="L988" s="48">
        <v>0.58333333333333337</v>
      </c>
      <c r="M988" s="11">
        <f t="shared" si="15"/>
        <v>0</v>
      </c>
      <c r="N988" s="257" t="s">
        <v>0</v>
      </c>
      <c r="P988" s="4"/>
      <c r="Q988" s="4"/>
      <c r="R988" s="4"/>
      <c r="S988" s="4"/>
      <c r="T988" s="4"/>
      <c r="U988" s="4"/>
      <c r="V988" s="4"/>
      <c r="W988" s="4"/>
    </row>
    <row r="989" spans="1:23" s="32" customFormat="1" hidden="1" x14ac:dyDescent="0.3">
      <c r="A989" s="22" t="s">
        <v>20</v>
      </c>
      <c r="B989" s="21">
        <v>46028</v>
      </c>
      <c r="C989" s="69" t="s">
        <v>12</v>
      </c>
      <c r="D989" s="215"/>
      <c r="E989" s="233"/>
      <c r="F989" s="238"/>
      <c r="G989" s="220"/>
      <c r="H989" s="220"/>
      <c r="I989" s="21"/>
      <c r="J989" s="17"/>
      <c r="K989" s="47">
        <v>0.58333333333333337</v>
      </c>
      <c r="L989" s="48">
        <v>0.58333333333333337</v>
      </c>
      <c r="M989" s="11">
        <f t="shared" si="15"/>
        <v>0</v>
      </c>
      <c r="N989" s="258"/>
      <c r="P989" s="4"/>
      <c r="Q989" s="4"/>
      <c r="R989" s="4"/>
      <c r="S989" s="4"/>
      <c r="T989" s="4"/>
      <c r="U989" s="4"/>
      <c r="V989" s="4"/>
      <c r="W989" s="4"/>
    </row>
    <row r="990" spans="1:23" s="32" customFormat="1" hidden="1" x14ac:dyDescent="0.3">
      <c r="A990" s="22" t="s">
        <v>20</v>
      </c>
      <c r="B990" s="21">
        <v>46028</v>
      </c>
      <c r="C990" s="69" t="s">
        <v>444</v>
      </c>
      <c r="D990" s="11" t="s">
        <v>44</v>
      </c>
      <c r="E990" s="18" t="s">
        <v>606</v>
      </c>
      <c r="F990" s="73" t="s">
        <v>700</v>
      </c>
      <c r="G990" s="21">
        <v>46027</v>
      </c>
      <c r="H990" s="21">
        <v>46028</v>
      </c>
      <c r="I990" s="21"/>
      <c r="J990" s="17"/>
      <c r="K990" s="47">
        <v>0.58333333333333337</v>
      </c>
      <c r="L990" s="48">
        <v>0.6875</v>
      </c>
      <c r="M990" s="11">
        <f t="shared" si="15"/>
        <v>2.4999999999999991</v>
      </c>
      <c r="N990" s="67" t="s">
        <v>1</v>
      </c>
      <c r="P990" s="4"/>
      <c r="Q990" s="4"/>
      <c r="R990" s="4"/>
      <c r="S990" s="4"/>
      <c r="T990" s="4"/>
      <c r="U990" s="4"/>
      <c r="V990" s="4"/>
      <c r="W990" s="4"/>
    </row>
    <row r="991" spans="1:23" s="32" customFormat="1" hidden="1" x14ac:dyDescent="0.3">
      <c r="A991" s="22" t="s">
        <v>20</v>
      </c>
      <c r="B991" s="21">
        <v>46028</v>
      </c>
      <c r="C991" s="22" t="s">
        <v>28</v>
      </c>
      <c r="D991" s="13" t="s">
        <v>65</v>
      </c>
      <c r="E991" s="13" t="s">
        <v>712</v>
      </c>
      <c r="F991" s="26" t="s">
        <v>713</v>
      </c>
      <c r="G991" s="21">
        <v>46028</v>
      </c>
      <c r="H991" s="21">
        <v>46028</v>
      </c>
      <c r="I991" s="21"/>
      <c r="J991" s="17"/>
      <c r="K991" s="47">
        <v>0.58333333333333337</v>
      </c>
      <c r="L991" s="48">
        <v>0.52083333333333337</v>
      </c>
      <c r="M991" s="11">
        <f t="shared" si="15"/>
        <v>22.5</v>
      </c>
      <c r="N991" s="67" t="s">
        <v>1</v>
      </c>
      <c r="P991" s="4"/>
      <c r="Q991" s="4"/>
      <c r="R991" s="4"/>
      <c r="S991" s="4"/>
      <c r="T991" s="4"/>
      <c r="U991" s="4"/>
      <c r="V991" s="4"/>
      <c r="W991" s="4"/>
    </row>
    <row r="992" spans="1:23" s="32" customFormat="1" hidden="1" x14ac:dyDescent="0.3">
      <c r="A992" s="22" t="s">
        <v>20</v>
      </c>
      <c r="B992" s="21">
        <v>46028</v>
      </c>
      <c r="C992" s="22" t="s">
        <v>47</v>
      </c>
      <c r="D992" s="216" t="s">
        <v>65</v>
      </c>
      <c r="E992" s="216" t="s">
        <v>611</v>
      </c>
      <c r="F992" s="243" t="s">
        <v>164</v>
      </c>
      <c r="G992" s="219">
        <v>46025</v>
      </c>
      <c r="H992" s="219">
        <v>46028</v>
      </c>
      <c r="I992" s="219"/>
      <c r="J992" s="17"/>
      <c r="K992" s="47">
        <v>0.58333333333333337</v>
      </c>
      <c r="L992" s="48">
        <v>0.72916666666666663</v>
      </c>
      <c r="M992" s="11">
        <f t="shared" si="15"/>
        <v>3.4999999999999982</v>
      </c>
      <c r="N992" s="230" t="s">
        <v>1</v>
      </c>
      <c r="P992" s="4"/>
      <c r="Q992" s="4"/>
      <c r="R992" s="4"/>
      <c r="S992" s="4"/>
      <c r="T992" s="4"/>
      <c r="U992" s="4"/>
      <c r="V992" s="4"/>
      <c r="W992" s="4"/>
    </row>
    <row r="993" spans="1:23" s="32" customFormat="1" hidden="1" x14ac:dyDescent="0.3">
      <c r="A993" s="22" t="s">
        <v>20</v>
      </c>
      <c r="B993" s="21">
        <v>46028</v>
      </c>
      <c r="C993" s="22" t="s">
        <v>31</v>
      </c>
      <c r="D993" s="217"/>
      <c r="E993" s="217"/>
      <c r="F993" s="244"/>
      <c r="G993" s="220"/>
      <c r="H993" s="220"/>
      <c r="I993" s="220"/>
      <c r="J993" s="23"/>
      <c r="K993" s="47">
        <v>0.58333333333333337</v>
      </c>
      <c r="L993" s="48">
        <v>0.41666666666666669</v>
      </c>
      <c r="M993" s="11">
        <f t="shared" si="15"/>
        <v>20</v>
      </c>
      <c r="N993" s="228"/>
      <c r="P993" s="4"/>
      <c r="Q993" s="4"/>
      <c r="R993" s="4"/>
      <c r="S993" s="4"/>
      <c r="T993" s="4"/>
      <c r="U993" s="4"/>
      <c r="V993" s="4"/>
      <c r="W993" s="4"/>
    </row>
    <row r="994" spans="1:23" s="32" customFormat="1" hidden="1" x14ac:dyDescent="0.3">
      <c r="A994" s="22" t="s">
        <v>20</v>
      </c>
      <c r="B994" s="21">
        <v>46028</v>
      </c>
      <c r="C994" s="22" t="s">
        <v>167</v>
      </c>
      <c r="D994" s="216" t="s">
        <v>65</v>
      </c>
      <c r="E994" s="216" t="s">
        <v>681</v>
      </c>
      <c r="F994" s="243" t="s">
        <v>59</v>
      </c>
      <c r="G994" s="219">
        <v>46028</v>
      </c>
      <c r="H994" s="219">
        <v>46028</v>
      </c>
      <c r="I994" s="219"/>
      <c r="J994" s="17"/>
      <c r="K994" s="47">
        <v>0.58333333333333337</v>
      </c>
      <c r="L994" s="48">
        <v>0.72916666666666663</v>
      </c>
      <c r="M994" s="11">
        <f t="shared" si="15"/>
        <v>3.4999999999999982</v>
      </c>
      <c r="N994" s="254" t="s">
        <v>1</v>
      </c>
      <c r="P994" s="4"/>
      <c r="Q994" s="4"/>
      <c r="R994" s="4"/>
      <c r="S994" s="4"/>
      <c r="T994" s="4"/>
      <c r="U994" s="4"/>
      <c r="V994" s="4"/>
      <c r="W994" s="4"/>
    </row>
    <row r="995" spans="1:23" s="32" customFormat="1" hidden="1" x14ac:dyDescent="0.3">
      <c r="A995" s="22" t="s">
        <v>20</v>
      </c>
      <c r="B995" s="21">
        <v>46028</v>
      </c>
      <c r="C995" s="22" t="s">
        <v>31</v>
      </c>
      <c r="D995" s="217"/>
      <c r="E995" s="217"/>
      <c r="F995" s="244"/>
      <c r="G995" s="220"/>
      <c r="H995" s="220"/>
      <c r="I995" s="220"/>
      <c r="J995" s="23"/>
      <c r="K995" s="47">
        <v>0.58333333333333337</v>
      </c>
      <c r="L995" s="45">
        <v>0.5</v>
      </c>
      <c r="M995" s="11">
        <f t="shared" si="15"/>
        <v>22</v>
      </c>
      <c r="N995" s="254"/>
      <c r="P995" s="4"/>
      <c r="Q995" s="4"/>
      <c r="R995" s="4"/>
      <c r="S995" s="4"/>
      <c r="T995" s="4"/>
      <c r="U995" s="4"/>
      <c r="V995" s="4"/>
      <c r="W995" s="4"/>
    </row>
    <row r="996" spans="1:23" s="32" customFormat="1" hidden="1" x14ac:dyDescent="0.3">
      <c r="A996" s="22" t="s">
        <v>20</v>
      </c>
      <c r="B996" s="21">
        <v>46028</v>
      </c>
      <c r="C996" s="22" t="s">
        <v>15</v>
      </c>
      <c r="D996" s="13" t="s">
        <v>65</v>
      </c>
      <c r="E996" s="24" t="s">
        <v>615</v>
      </c>
      <c r="F996" s="3" t="s">
        <v>718</v>
      </c>
      <c r="G996" s="21">
        <v>46020</v>
      </c>
      <c r="H996" s="21">
        <v>46028</v>
      </c>
      <c r="I996" s="21"/>
      <c r="J996" s="17"/>
      <c r="K996" s="47">
        <v>0.58333333333333337</v>
      </c>
      <c r="L996" s="48">
        <v>0.72916666666666663</v>
      </c>
      <c r="M996" s="11">
        <f t="shared" si="15"/>
        <v>3.4999999999999982</v>
      </c>
      <c r="N996" s="22" t="s">
        <v>1</v>
      </c>
      <c r="P996" s="4"/>
      <c r="Q996" s="4"/>
      <c r="R996" s="4"/>
      <c r="S996" s="4"/>
      <c r="T996" s="4"/>
      <c r="U996" s="4"/>
      <c r="V996" s="4"/>
      <c r="W996" s="4"/>
    </row>
    <row r="997" spans="1:23" s="32" customFormat="1" hidden="1" x14ac:dyDescent="0.3">
      <c r="A997" s="22" t="s">
        <v>20</v>
      </c>
      <c r="B997" s="21">
        <v>46028</v>
      </c>
      <c r="C997" s="22" t="s">
        <v>17</v>
      </c>
      <c r="D997" s="216" t="s">
        <v>65</v>
      </c>
      <c r="E997" s="214" t="s">
        <v>670</v>
      </c>
      <c r="F997" s="243" t="s">
        <v>717</v>
      </c>
      <c r="G997" s="219">
        <v>46025</v>
      </c>
      <c r="H997" s="219">
        <v>46028</v>
      </c>
      <c r="I997" s="21"/>
      <c r="J997" s="17"/>
      <c r="K997" s="47">
        <v>0.58333333333333337</v>
      </c>
      <c r="L997" s="48">
        <v>0.72916666666666663</v>
      </c>
      <c r="M997" s="11">
        <f t="shared" si="15"/>
        <v>3.4999999999999982</v>
      </c>
      <c r="N997" s="214" t="s">
        <v>1</v>
      </c>
      <c r="P997" s="4"/>
      <c r="Q997" s="4"/>
      <c r="R997" s="4"/>
      <c r="S997" s="4"/>
      <c r="T997" s="4"/>
      <c r="U997" s="4"/>
      <c r="V997" s="4"/>
      <c r="W997" s="4"/>
    </row>
    <row r="998" spans="1:23" s="32" customFormat="1" hidden="1" x14ac:dyDescent="0.3">
      <c r="A998" s="22" t="s">
        <v>20</v>
      </c>
      <c r="B998" s="21">
        <v>46028</v>
      </c>
      <c r="C998" s="22" t="s">
        <v>31</v>
      </c>
      <c r="D998" s="217"/>
      <c r="E998" s="215"/>
      <c r="F998" s="244"/>
      <c r="G998" s="220"/>
      <c r="H998" s="220"/>
      <c r="I998" s="21"/>
      <c r="J998" s="17"/>
      <c r="K998" s="47">
        <v>0.58333333333333337</v>
      </c>
      <c r="L998" s="48">
        <v>0.5</v>
      </c>
      <c r="M998" s="11">
        <f t="shared" si="15"/>
        <v>22</v>
      </c>
      <c r="N998" s="215"/>
      <c r="P998" s="4"/>
      <c r="Q998" s="4"/>
      <c r="R998" s="4"/>
      <c r="S998" s="4"/>
      <c r="T998" s="4"/>
      <c r="U998" s="4"/>
      <c r="V998" s="4"/>
      <c r="W998" s="4"/>
    </row>
    <row r="999" spans="1:23" s="32" customFormat="1" hidden="1" x14ac:dyDescent="0.3">
      <c r="A999" s="22" t="s">
        <v>20</v>
      </c>
      <c r="B999" s="21">
        <v>46028</v>
      </c>
      <c r="C999" s="69" t="s">
        <v>16</v>
      </c>
      <c r="D999" s="221" t="s">
        <v>65</v>
      </c>
      <c r="E999" s="233" t="s">
        <v>447</v>
      </c>
      <c r="F999" s="245" t="s">
        <v>671</v>
      </c>
      <c r="G999" s="223">
        <v>46020</v>
      </c>
      <c r="H999" s="223">
        <v>46028</v>
      </c>
      <c r="I999" s="21"/>
      <c r="J999" s="17"/>
      <c r="K999" s="47">
        <v>0.58333333333333337</v>
      </c>
      <c r="L999" s="48">
        <v>0.72916666666666663</v>
      </c>
      <c r="M999" s="11">
        <f t="shared" si="15"/>
        <v>3.4999999999999982</v>
      </c>
      <c r="N999" s="214" t="s">
        <v>1</v>
      </c>
      <c r="P999" s="4"/>
      <c r="Q999" s="4"/>
      <c r="R999" s="4"/>
      <c r="S999" s="4"/>
      <c r="T999" s="4"/>
      <c r="U999" s="4"/>
      <c r="V999" s="4"/>
      <c r="W999" s="4"/>
    </row>
    <row r="1000" spans="1:23" s="32" customFormat="1" hidden="1" x14ac:dyDescent="0.3">
      <c r="A1000" s="22" t="s">
        <v>20</v>
      </c>
      <c r="B1000" s="21">
        <v>46028</v>
      </c>
      <c r="C1000" s="69" t="s">
        <v>31</v>
      </c>
      <c r="D1000" s="221"/>
      <c r="E1000" s="233"/>
      <c r="F1000" s="245"/>
      <c r="G1000" s="223"/>
      <c r="H1000" s="223"/>
      <c r="I1000" s="30"/>
      <c r="J1000" s="30"/>
      <c r="K1000" s="45">
        <v>0.58333333333333337</v>
      </c>
      <c r="L1000" s="48">
        <v>0.66666666666666663</v>
      </c>
      <c r="M1000" s="11">
        <f t="shared" si="15"/>
        <v>1.9999999999999982</v>
      </c>
      <c r="N1000" s="215"/>
      <c r="P1000" s="4"/>
      <c r="Q1000" s="4"/>
      <c r="R1000" s="4"/>
      <c r="S1000" s="4"/>
      <c r="T1000" s="4"/>
      <c r="U1000" s="4"/>
      <c r="V1000" s="4"/>
      <c r="W1000" s="4"/>
    </row>
    <row r="1001" spans="1:23" s="32" customFormat="1" ht="28.8" hidden="1" x14ac:dyDescent="0.3">
      <c r="A1001" s="22" t="s">
        <v>21</v>
      </c>
      <c r="B1001" s="21">
        <v>46029</v>
      </c>
      <c r="C1001" s="22" t="s">
        <v>26</v>
      </c>
      <c r="D1001" s="24" t="s">
        <v>24</v>
      </c>
      <c r="E1001" s="22" t="s">
        <v>706</v>
      </c>
      <c r="F1001" s="25" t="s">
        <v>721</v>
      </c>
      <c r="G1001" s="21">
        <v>46029</v>
      </c>
      <c r="H1001" s="21">
        <v>46029</v>
      </c>
      <c r="I1001" s="21"/>
      <c r="J1001" s="23"/>
      <c r="K1001" s="50">
        <v>0.27083333333333331</v>
      </c>
      <c r="L1001" s="48">
        <v>0.64583333333333337</v>
      </c>
      <c r="M1001" s="11">
        <f t="shared" si="15"/>
        <v>9.0000000000000018</v>
      </c>
      <c r="N1001" s="11" t="s">
        <v>1</v>
      </c>
      <c r="P1001" s="4"/>
      <c r="Q1001" s="4"/>
      <c r="R1001" s="4"/>
      <c r="S1001" s="4"/>
      <c r="T1001" s="4"/>
      <c r="U1001" s="4"/>
      <c r="V1001" s="4"/>
      <c r="W1001" s="4"/>
    </row>
    <row r="1002" spans="1:23" s="32" customFormat="1" hidden="1" x14ac:dyDescent="0.3">
      <c r="A1002" s="22" t="s">
        <v>21</v>
      </c>
      <c r="B1002" s="21">
        <v>46029</v>
      </c>
      <c r="C1002" s="22" t="s">
        <v>37</v>
      </c>
      <c r="D1002" s="24" t="s">
        <v>24</v>
      </c>
      <c r="E1002" s="22" t="s">
        <v>677</v>
      </c>
      <c r="F1002" s="25" t="s">
        <v>676</v>
      </c>
      <c r="G1002" s="21">
        <v>46028</v>
      </c>
      <c r="H1002" s="21">
        <v>46029</v>
      </c>
      <c r="I1002" s="17"/>
      <c r="J1002" s="23"/>
      <c r="K1002" s="50">
        <v>0.27083333333333331</v>
      </c>
      <c r="L1002" s="48">
        <v>0.64583333333333337</v>
      </c>
      <c r="M1002" s="11">
        <f t="shared" si="15"/>
        <v>9.0000000000000018</v>
      </c>
      <c r="N1002" s="11" t="s">
        <v>1</v>
      </c>
      <c r="P1002" s="4"/>
      <c r="Q1002" s="4"/>
      <c r="R1002" s="4"/>
      <c r="S1002" s="4"/>
      <c r="T1002" s="4"/>
      <c r="U1002" s="4"/>
      <c r="V1002" s="4"/>
      <c r="W1002" s="4"/>
    </row>
    <row r="1003" spans="1:23" s="32" customFormat="1" hidden="1" x14ac:dyDescent="0.3">
      <c r="A1003" s="22" t="s">
        <v>21</v>
      </c>
      <c r="B1003" s="21">
        <v>46029</v>
      </c>
      <c r="C1003" s="22" t="s">
        <v>274</v>
      </c>
      <c r="D1003" s="214" t="s">
        <v>8</v>
      </c>
      <c r="E1003" s="214" t="s">
        <v>416</v>
      </c>
      <c r="F1003" s="241" t="s">
        <v>703</v>
      </c>
      <c r="G1003" s="219">
        <v>46028</v>
      </c>
      <c r="H1003" s="219">
        <v>46029</v>
      </c>
      <c r="I1003" s="21"/>
      <c r="J1003" s="21"/>
      <c r="K1003" s="45">
        <v>0.27083333333333331</v>
      </c>
      <c r="L1003" s="48">
        <v>0.72916666666666663</v>
      </c>
      <c r="M1003" s="11">
        <f t="shared" si="15"/>
        <v>11</v>
      </c>
      <c r="N1003" s="214" t="s">
        <v>1</v>
      </c>
      <c r="P1003" s="4"/>
      <c r="Q1003" s="4"/>
      <c r="R1003" s="4"/>
      <c r="S1003" s="4"/>
      <c r="T1003" s="4"/>
      <c r="U1003" s="4"/>
      <c r="V1003" s="4"/>
      <c r="W1003" s="4"/>
    </row>
    <row r="1004" spans="1:23" s="32" customFormat="1" hidden="1" x14ac:dyDescent="0.3">
      <c r="A1004" s="22" t="s">
        <v>21</v>
      </c>
      <c r="B1004" s="21">
        <v>46029</v>
      </c>
      <c r="C1004" s="22" t="s">
        <v>18</v>
      </c>
      <c r="D1004" s="215"/>
      <c r="E1004" s="215"/>
      <c r="F1004" s="248"/>
      <c r="G1004" s="220"/>
      <c r="H1004" s="220"/>
      <c r="I1004" s="21"/>
      <c r="J1004" s="21"/>
      <c r="K1004" s="45">
        <v>0.27083333333333331</v>
      </c>
      <c r="L1004" s="48">
        <v>0.72916666666666663</v>
      </c>
      <c r="M1004" s="11">
        <f t="shared" si="15"/>
        <v>11</v>
      </c>
      <c r="N1004" s="215"/>
      <c r="P1004" s="4"/>
      <c r="Q1004" s="4"/>
      <c r="R1004" s="4"/>
      <c r="S1004" s="4"/>
      <c r="T1004" s="4"/>
      <c r="U1004" s="4"/>
      <c r="V1004" s="4"/>
      <c r="W1004" s="4"/>
    </row>
    <row r="1005" spans="1:23" s="32" customFormat="1" hidden="1" x14ac:dyDescent="0.3">
      <c r="A1005" s="22" t="s">
        <v>21</v>
      </c>
      <c r="B1005" s="21">
        <v>46029</v>
      </c>
      <c r="C1005" s="22" t="s">
        <v>320</v>
      </c>
      <c r="D1005" s="22" t="s">
        <v>8</v>
      </c>
      <c r="E1005" s="22" t="s">
        <v>738</v>
      </c>
      <c r="F1005" s="31" t="s">
        <v>199</v>
      </c>
      <c r="G1005" s="19">
        <v>46029</v>
      </c>
      <c r="H1005" s="19">
        <v>46029</v>
      </c>
      <c r="I1005" s="19">
        <v>46029</v>
      </c>
      <c r="J1005" s="19"/>
      <c r="K1005" s="45">
        <v>0.27083333333333331</v>
      </c>
      <c r="L1005" s="48">
        <v>0.35416666666666669</v>
      </c>
      <c r="M1005" s="11">
        <f t="shared" si="15"/>
        <v>2.0000000000000009</v>
      </c>
      <c r="N1005" s="42" t="s">
        <v>0</v>
      </c>
      <c r="P1005" s="4"/>
      <c r="Q1005" s="4"/>
      <c r="R1005" s="4"/>
      <c r="S1005" s="4"/>
      <c r="T1005" s="4"/>
      <c r="U1005" s="4"/>
      <c r="V1005" s="4"/>
      <c r="W1005" s="4"/>
    </row>
    <row r="1006" spans="1:23" s="32" customFormat="1" hidden="1" x14ac:dyDescent="0.3">
      <c r="A1006" s="22" t="s">
        <v>21</v>
      </c>
      <c r="B1006" s="21">
        <v>46029</v>
      </c>
      <c r="C1006" s="22" t="s">
        <v>56</v>
      </c>
      <c r="D1006" s="22" t="s">
        <v>43</v>
      </c>
      <c r="E1006" s="22" t="s">
        <v>686</v>
      </c>
      <c r="F1006" s="31" t="s">
        <v>687</v>
      </c>
      <c r="G1006" s="19">
        <v>46027</v>
      </c>
      <c r="H1006" s="19">
        <v>46029</v>
      </c>
      <c r="I1006" s="21"/>
      <c r="J1006" s="21"/>
      <c r="K1006" s="45">
        <v>0.27083333333333331</v>
      </c>
      <c r="L1006" s="48">
        <v>0.64583333333333337</v>
      </c>
      <c r="M1006" s="11">
        <f t="shared" si="15"/>
        <v>9.0000000000000018</v>
      </c>
      <c r="N1006" s="67" t="s">
        <v>1</v>
      </c>
      <c r="P1006" s="4"/>
      <c r="Q1006" s="4"/>
      <c r="R1006" s="4"/>
      <c r="S1006" s="4"/>
      <c r="T1006" s="4"/>
      <c r="U1006" s="4"/>
      <c r="V1006" s="4"/>
      <c r="W1006" s="4"/>
    </row>
    <row r="1007" spans="1:23" s="32" customFormat="1" hidden="1" x14ac:dyDescent="0.3">
      <c r="A1007" s="22" t="s">
        <v>21</v>
      </c>
      <c r="B1007" s="21">
        <v>46029</v>
      </c>
      <c r="C1007" s="22" t="s">
        <v>118</v>
      </c>
      <c r="D1007" s="216" t="s">
        <v>54</v>
      </c>
      <c r="E1007" s="214" t="s">
        <v>688</v>
      </c>
      <c r="F1007" s="214" t="s">
        <v>705</v>
      </c>
      <c r="G1007" s="223">
        <v>46028</v>
      </c>
      <c r="H1007" s="223">
        <v>46029</v>
      </c>
      <c r="I1007" s="23"/>
      <c r="J1007" s="23"/>
      <c r="K1007" s="45">
        <v>0.3125</v>
      </c>
      <c r="L1007" s="48">
        <v>0.72916666666666663</v>
      </c>
      <c r="M1007" s="11">
        <f t="shared" si="15"/>
        <v>10</v>
      </c>
      <c r="N1007" s="214" t="s">
        <v>1</v>
      </c>
      <c r="P1007" s="4"/>
      <c r="Q1007" s="4"/>
      <c r="R1007" s="4"/>
      <c r="S1007" s="4"/>
      <c r="T1007" s="4"/>
      <c r="U1007" s="4"/>
      <c r="V1007" s="4"/>
      <c r="W1007" s="4"/>
    </row>
    <row r="1008" spans="1:23" s="32" customFormat="1" hidden="1" x14ac:dyDescent="0.3">
      <c r="A1008" s="22" t="s">
        <v>21</v>
      </c>
      <c r="B1008" s="21">
        <v>46029</v>
      </c>
      <c r="C1008" s="22" t="s">
        <v>34</v>
      </c>
      <c r="D1008" s="217"/>
      <c r="E1008" s="215"/>
      <c r="F1008" s="215"/>
      <c r="G1008" s="223"/>
      <c r="H1008" s="223"/>
      <c r="I1008" s="23"/>
      <c r="J1008" s="23"/>
      <c r="K1008" s="45">
        <v>0.3125</v>
      </c>
      <c r="L1008" s="48">
        <v>0.72916666666666663</v>
      </c>
      <c r="M1008" s="11">
        <f t="shared" si="15"/>
        <v>10</v>
      </c>
      <c r="N1008" s="215"/>
      <c r="P1008" s="4"/>
      <c r="Q1008" s="4"/>
      <c r="R1008" s="4"/>
      <c r="S1008" s="4"/>
      <c r="T1008" s="4"/>
      <c r="U1008" s="4"/>
      <c r="V1008" s="4"/>
      <c r="W1008" s="4"/>
    </row>
    <row r="1009" spans="1:23" s="32" customFormat="1" hidden="1" x14ac:dyDescent="0.3">
      <c r="A1009" s="22" t="s">
        <v>21</v>
      </c>
      <c r="B1009" s="21">
        <v>46029</v>
      </c>
      <c r="C1009" s="22" t="s">
        <v>55</v>
      </c>
      <c r="D1009" s="13" t="s">
        <v>43</v>
      </c>
      <c r="E1009" s="13" t="s">
        <v>620</v>
      </c>
      <c r="F1009" s="28" t="s">
        <v>413</v>
      </c>
      <c r="G1009" s="23">
        <v>46028</v>
      </c>
      <c r="H1009" s="23">
        <v>46029</v>
      </c>
      <c r="I1009" s="23"/>
      <c r="J1009" s="23"/>
      <c r="K1009" s="45">
        <v>0.33333333333333331</v>
      </c>
      <c r="L1009" s="49">
        <v>0.64583333333333337</v>
      </c>
      <c r="M1009" s="11">
        <f t="shared" si="15"/>
        <v>7.5000000000000018</v>
      </c>
      <c r="N1009" s="11" t="s">
        <v>1</v>
      </c>
      <c r="P1009" s="4"/>
      <c r="Q1009" s="4"/>
      <c r="R1009" s="4"/>
      <c r="S1009" s="4"/>
      <c r="T1009" s="4"/>
      <c r="U1009" s="4"/>
      <c r="V1009" s="4"/>
      <c r="W1009" s="4"/>
    </row>
    <row r="1010" spans="1:23" s="32" customFormat="1" hidden="1" x14ac:dyDescent="0.3">
      <c r="A1010" s="22" t="s">
        <v>21</v>
      </c>
      <c r="B1010" s="21">
        <v>46029</v>
      </c>
      <c r="C1010" s="22" t="s">
        <v>25</v>
      </c>
      <c r="D1010" s="13" t="s">
        <v>43</v>
      </c>
      <c r="E1010" s="24" t="s">
        <v>722</v>
      </c>
      <c r="F1010" s="28" t="s">
        <v>413</v>
      </c>
      <c r="G1010" s="21">
        <v>46028</v>
      </c>
      <c r="H1010" s="21">
        <v>46029</v>
      </c>
      <c r="I1010" s="21"/>
      <c r="J1010" s="21"/>
      <c r="K1010" s="45">
        <v>0.27083333333333331</v>
      </c>
      <c r="L1010" s="48">
        <v>0.64583333333333337</v>
      </c>
      <c r="M1010" s="11">
        <f t="shared" si="15"/>
        <v>9.0000000000000018</v>
      </c>
      <c r="N1010" s="22" t="s">
        <v>1</v>
      </c>
      <c r="P1010" s="4"/>
      <c r="Q1010" s="4"/>
      <c r="R1010" s="4"/>
      <c r="S1010" s="4"/>
      <c r="T1010" s="4"/>
      <c r="U1010" s="4"/>
      <c r="V1010" s="4"/>
      <c r="W1010" s="4"/>
    </row>
    <row r="1011" spans="1:23" s="32" customFormat="1" hidden="1" x14ac:dyDescent="0.3">
      <c r="A1011" s="22" t="s">
        <v>19</v>
      </c>
      <c r="B1011" s="21">
        <v>46029</v>
      </c>
      <c r="C1011" s="22" t="s">
        <v>7</v>
      </c>
      <c r="D1011" s="13" t="s">
        <v>29</v>
      </c>
      <c r="E1011" s="13" t="s">
        <v>729</v>
      </c>
      <c r="F1011" s="26" t="s">
        <v>730</v>
      </c>
      <c r="G1011" s="21">
        <v>46029</v>
      </c>
      <c r="H1011" s="21">
        <v>46029</v>
      </c>
      <c r="I1011" s="21">
        <v>46029</v>
      </c>
      <c r="J1011" s="21"/>
      <c r="K1011" s="45">
        <v>0.27083333333333331</v>
      </c>
      <c r="L1011" s="48">
        <v>0.4375</v>
      </c>
      <c r="M1011" s="11">
        <f t="shared" si="15"/>
        <v>4</v>
      </c>
      <c r="N1011" s="11" t="s">
        <v>0</v>
      </c>
      <c r="P1011" s="4"/>
      <c r="Q1011" s="4"/>
      <c r="R1011" s="4"/>
      <c r="S1011" s="4"/>
      <c r="T1011" s="4"/>
      <c r="U1011" s="4"/>
      <c r="V1011" s="4"/>
      <c r="W1011" s="4"/>
    </row>
    <row r="1012" spans="1:23" s="32" customFormat="1" hidden="1" x14ac:dyDescent="0.3">
      <c r="A1012" s="22" t="s">
        <v>19</v>
      </c>
      <c r="B1012" s="21">
        <v>46029</v>
      </c>
      <c r="C1012" s="22" t="s">
        <v>9</v>
      </c>
      <c r="D1012" s="13" t="s">
        <v>32</v>
      </c>
      <c r="E1012" s="13" t="s">
        <v>731</v>
      </c>
      <c r="F1012" s="26" t="s">
        <v>683</v>
      </c>
      <c r="G1012" s="17">
        <v>46015</v>
      </c>
      <c r="H1012" s="21">
        <v>46029</v>
      </c>
      <c r="I1012" s="21">
        <v>46029</v>
      </c>
      <c r="J1012" s="21"/>
      <c r="K1012" s="45">
        <v>0.27083333333333331</v>
      </c>
      <c r="L1012" s="48">
        <v>0.4375</v>
      </c>
      <c r="M1012" s="11">
        <f t="shared" si="15"/>
        <v>4</v>
      </c>
      <c r="N1012" s="11" t="s">
        <v>0</v>
      </c>
      <c r="P1012" s="4"/>
      <c r="Q1012" s="4"/>
      <c r="R1012" s="4"/>
      <c r="S1012" s="4"/>
      <c r="T1012" s="4"/>
      <c r="U1012" s="4"/>
      <c r="V1012" s="4"/>
      <c r="W1012" s="4"/>
    </row>
    <row r="1013" spans="1:23" s="32" customFormat="1" hidden="1" x14ac:dyDescent="0.3">
      <c r="A1013" s="22" t="s">
        <v>19</v>
      </c>
      <c r="B1013" s="21">
        <v>46029</v>
      </c>
      <c r="C1013" s="22" t="s">
        <v>9</v>
      </c>
      <c r="D1013" s="13" t="s">
        <v>32</v>
      </c>
      <c r="E1013" s="13" t="s">
        <v>734</v>
      </c>
      <c r="F1013" s="26" t="s">
        <v>597</v>
      </c>
      <c r="G1013" s="21">
        <v>46029</v>
      </c>
      <c r="H1013" s="21">
        <v>46029</v>
      </c>
      <c r="I1013" s="17"/>
      <c r="J1013" s="17"/>
      <c r="K1013" s="47">
        <v>0.41666666666666669</v>
      </c>
      <c r="L1013" s="48">
        <v>0.64583333333333337</v>
      </c>
      <c r="M1013" s="11">
        <f t="shared" si="15"/>
        <v>5.5</v>
      </c>
      <c r="N1013" s="11" t="s">
        <v>1</v>
      </c>
      <c r="P1013" s="4"/>
      <c r="Q1013" s="4"/>
      <c r="R1013" s="4"/>
      <c r="S1013" s="4"/>
      <c r="T1013" s="4"/>
      <c r="U1013" s="4"/>
      <c r="V1013" s="4"/>
      <c r="W1013" s="4"/>
    </row>
    <row r="1014" spans="1:23" s="32" customFormat="1" hidden="1" x14ac:dyDescent="0.3">
      <c r="A1014" s="22" t="s">
        <v>19</v>
      </c>
      <c r="B1014" s="21">
        <v>46029</v>
      </c>
      <c r="C1014" s="22" t="s">
        <v>48</v>
      </c>
      <c r="D1014" s="214" t="s">
        <v>8</v>
      </c>
      <c r="E1014" s="214" t="s">
        <v>732</v>
      </c>
      <c r="F1014" s="214" t="s">
        <v>733</v>
      </c>
      <c r="G1014" s="219">
        <v>46029</v>
      </c>
      <c r="H1014" s="219">
        <v>46029</v>
      </c>
      <c r="I1014" s="219">
        <v>46029</v>
      </c>
      <c r="J1014" s="17"/>
      <c r="K1014" s="47">
        <v>0.33333333333333331</v>
      </c>
      <c r="L1014" s="48">
        <v>0.41666666666666669</v>
      </c>
      <c r="M1014" s="11">
        <f t="shared" si="15"/>
        <v>2.0000000000000009</v>
      </c>
      <c r="N1014" s="224" t="s">
        <v>0</v>
      </c>
      <c r="P1014" s="4"/>
      <c r="Q1014" s="4"/>
      <c r="R1014" s="4"/>
      <c r="S1014" s="4"/>
      <c r="T1014" s="4"/>
      <c r="U1014" s="4"/>
      <c r="V1014" s="4"/>
      <c r="W1014" s="4"/>
    </row>
    <row r="1015" spans="1:23" s="32" customFormat="1" hidden="1" x14ac:dyDescent="0.3">
      <c r="A1015" s="22" t="s">
        <v>19</v>
      </c>
      <c r="B1015" s="21">
        <v>46029</v>
      </c>
      <c r="C1015" s="22" t="s">
        <v>208</v>
      </c>
      <c r="D1015" s="215"/>
      <c r="E1015" s="215"/>
      <c r="F1015" s="215"/>
      <c r="G1015" s="220"/>
      <c r="H1015" s="220"/>
      <c r="I1015" s="220"/>
      <c r="J1015" s="23"/>
      <c r="K1015" s="47">
        <v>0.33333333333333331</v>
      </c>
      <c r="L1015" s="48">
        <v>0.41666666666666669</v>
      </c>
      <c r="M1015" s="11">
        <f t="shared" si="15"/>
        <v>2.0000000000000009</v>
      </c>
      <c r="N1015" s="225"/>
      <c r="P1015" s="4"/>
      <c r="Q1015" s="4"/>
      <c r="R1015" s="4"/>
      <c r="S1015" s="4"/>
      <c r="T1015" s="4"/>
      <c r="U1015" s="4"/>
      <c r="V1015" s="4"/>
      <c r="W1015" s="4"/>
    </row>
    <row r="1016" spans="1:23" s="32" customFormat="1" hidden="1" x14ac:dyDescent="0.3">
      <c r="A1016" s="22" t="s">
        <v>19</v>
      </c>
      <c r="B1016" s="21">
        <v>46029</v>
      </c>
      <c r="C1016" s="22" t="s">
        <v>48</v>
      </c>
      <c r="D1016" s="214" t="s">
        <v>32</v>
      </c>
      <c r="E1016" s="214" t="s">
        <v>735</v>
      </c>
      <c r="F1016" s="214" t="s">
        <v>597</v>
      </c>
      <c r="G1016" s="219">
        <v>46029</v>
      </c>
      <c r="H1016" s="219">
        <v>46029</v>
      </c>
      <c r="I1016" s="19"/>
      <c r="J1016" s="23"/>
      <c r="K1016" s="47">
        <v>0.4375</v>
      </c>
      <c r="L1016" s="48">
        <v>0.72916666666666663</v>
      </c>
      <c r="M1016" s="11">
        <f t="shared" si="15"/>
        <v>6.9999999999999991</v>
      </c>
      <c r="N1016" s="227" t="s">
        <v>1</v>
      </c>
      <c r="P1016" s="4"/>
      <c r="Q1016" s="4"/>
      <c r="R1016" s="4"/>
      <c r="S1016" s="4"/>
      <c r="T1016" s="4"/>
      <c r="U1016" s="4"/>
      <c r="V1016" s="4"/>
      <c r="W1016" s="4"/>
    </row>
    <row r="1017" spans="1:23" s="32" customFormat="1" hidden="1" x14ac:dyDescent="0.3">
      <c r="A1017" s="22" t="s">
        <v>19</v>
      </c>
      <c r="B1017" s="21">
        <v>46029</v>
      </c>
      <c r="C1017" s="22" t="s">
        <v>208</v>
      </c>
      <c r="D1017" s="215"/>
      <c r="E1017" s="215"/>
      <c r="F1017" s="215"/>
      <c r="G1017" s="220"/>
      <c r="H1017" s="220"/>
      <c r="I1017" s="19"/>
      <c r="J1017" s="23"/>
      <c r="K1017" s="47">
        <v>0.4375</v>
      </c>
      <c r="L1017" s="48">
        <v>0.72916666666666663</v>
      </c>
      <c r="M1017" s="11">
        <f t="shared" si="15"/>
        <v>6.9999999999999991</v>
      </c>
      <c r="N1017" s="228"/>
      <c r="P1017" s="4"/>
      <c r="Q1017" s="4"/>
      <c r="R1017" s="4"/>
      <c r="S1017" s="4"/>
      <c r="T1017" s="4"/>
      <c r="U1017" s="4"/>
      <c r="V1017" s="4"/>
      <c r="W1017" s="4"/>
    </row>
    <row r="1018" spans="1:23" s="32" customFormat="1" hidden="1" x14ac:dyDescent="0.3">
      <c r="A1018" s="22" t="s">
        <v>19</v>
      </c>
      <c r="B1018" s="21">
        <v>46029</v>
      </c>
      <c r="C1018" s="22" t="s">
        <v>7</v>
      </c>
      <c r="D1018" s="12" t="s">
        <v>44</v>
      </c>
      <c r="E1018" s="18" t="s">
        <v>736</v>
      </c>
      <c r="F1018" s="18" t="s">
        <v>737</v>
      </c>
      <c r="G1018" s="19">
        <v>46029</v>
      </c>
      <c r="H1018" s="19">
        <v>46029</v>
      </c>
      <c r="I1018" s="19"/>
      <c r="J1018" s="23"/>
      <c r="K1018" s="47">
        <v>0.4375</v>
      </c>
      <c r="L1018" s="48">
        <v>0.64583333333333337</v>
      </c>
      <c r="M1018" s="11">
        <f t="shared" si="15"/>
        <v>5.0000000000000009</v>
      </c>
      <c r="N1018" s="33" t="s">
        <v>1</v>
      </c>
      <c r="P1018" s="4"/>
      <c r="Q1018" s="4"/>
      <c r="R1018" s="4"/>
      <c r="S1018" s="4"/>
      <c r="T1018" s="4"/>
      <c r="U1018" s="4"/>
      <c r="V1018" s="4"/>
      <c r="W1018" s="4"/>
    </row>
    <row r="1019" spans="1:23" s="32" customFormat="1" hidden="1" x14ac:dyDescent="0.3">
      <c r="A1019" s="22" t="s">
        <v>20</v>
      </c>
      <c r="B1019" s="21">
        <v>46029</v>
      </c>
      <c r="C1019" s="69" t="s">
        <v>421</v>
      </c>
      <c r="D1019" s="233" t="s">
        <v>44</v>
      </c>
      <c r="E1019" s="214" t="s">
        <v>606</v>
      </c>
      <c r="F1019" s="214" t="s">
        <v>726</v>
      </c>
      <c r="G1019" s="223">
        <v>46029</v>
      </c>
      <c r="H1019" s="223">
        <v>46037</v>
      </c>
      <c r="I1019" s="223">
        <v>46037</v>
      </c>
      <c r="J1019" s="17"/>
      <c r="K1019" s="47">
        <v>0.35416666666666669</v>
      </c>
      <c r="L1019" s="48">
        <v>0.72916666666666663</v>
      </c>
      <c r="M1019" s="11">
        <f t="shared" si="15"/>
        <v>8.9999999999999982</v>
      </c>
      <c r="N1019" s="224" t="s">
        <v>0</v>
      </c>
      <c r="P1019" s="4"/>
      <c r="Q1019" s="4"/>
      <c r="R1019" s="4"/>
      <c r="S1019" s="4"/>
      <c r="T1019" s="4"/>
      <c r="U1019" s="4"/>
      <c r="V1019" s="4"/>
      <c r="W1019" s="4"/>
    </row>
    <row r="1020" spans="1:23" s="32" customFormat="1" hidden="1" x14ac:dyDescent="0.3">
      <c r="A1020" s="22" t="s">
        <v>20</v>
      </c>
      <c r="B1020" s="21">
        <v>46029</v>
      </c>
      <c r="C1020" s="69" t="s">
        <v>33</v>
      </c>
      <c r="D1020" s="233"/>
      <c r="E1020" s="215"/>
      <c r="F1020" s="215"/>
      <c r="G1020" s="223"/>
      <c r="H1020" s="223"/>
      <c r="I1020" s="223"/>
      <c r="J1020" s="17"/>
      <c r="K1020" s="47">
        <v>0.35416666666666669</v>
      </c>
      <c r="L1020" s="48">
        <v>0.72916666666666663</v>
      </c>
      <c r="M1020" s="11">
        <f t="shared" si="15"/>
        <v>8.9999999999999982</v>
      </c>
      <c r="N1020" s="231"/>
      <c r="P1020" s="4"/>
      <c r="Q1020" s="4"/>
      <c r="R1020" s="4"/>
      <c r="S1020" s="4"/>
      <c r="T1020" s="4"/>
      <c r="U1020" s="4"/>
      <c r="V1020" s="4"/>
      <c r="W1020" s="4"/>
    </row>
    <row r="1021" spans="1:23" s="32" customFormat="1" hidden="1" x14ac:dyDescent="0.3">
      <c r="A1021" s="22" t="s">
        <v>20</v>
      </c>
      <c r="B1021" s="21">
        <v>46029</v>
      </c>
      <c r="C1021" s="69" t="s">
        <v>12</v>
      </c>
      <c r="D1021" s="12" t="s">
        <v>27</v>
      </c>
      <c r="E1021" s="12" t="s">
        <v>27</v>
      </c>
      <c r="F1021" s="31" t="s">
        <v>82</v>
      </c>
      <c r="G1021" s="19">
        <v>46029</v>
      </c>
      <c r="H1021" s="19">
        <v>46029</v>
      </c>
      <c r="I1021" s="19">
        <v>46029</v>
      </c>
      <c r="J1021" s="23"/>
      <c r="K1021" s="47">
        <v>0.35416666666666669</v>
      </c>
      <c r="L1021" s="48">
        <v>0.72916666666666663</v>
      </c>
      <c r="M1021" s="11">
        <f t="shared" si="15"/>
        <v>8.9999999999999982</v>
      </c>
      <c r="N1021" s="42" t="s">
        <v>0</v>
      </c>
      <c r="P1021" s="4"/>
      <c r="Q1021" s="4"/>
      <c r="R1021" s="4"/>
      <c r="S1021" s="4"/>
      <c r="T1021" s="4"/>
      <c r="U1021" s="4"/>
      <c r="V1021" s="4"/>
      <c r="W1021" s="4"/>
    </row>
    <row r="1022" spans="1:23" s="32" customFormat="1" hidden="1" x14ac:dyDescent="0.3">
      <c r="A1022" s="22" t="s">
        <v>20</v>
      </c>
      <c r="B1022" s="21">
        <v>46029</v>
      </c>
      <c r="C1022" s="69" t="s">
        <v>12</v>
      </c>
      <c r="D1022" s="18" t="s">
        <v>44</v>
      </c>
      <c r="E1022" s="18" t="s">
        <v>739</v>
      </c>
      <c r="F1022" s="73" t="s">
        <v>740</v>
      </c>
      <c r="G1022" s="19">
        <v>46029</v>
      </c>
      <c r="H1022" s="19">
        <v>46029</v>
      </c>
      <c r="I1022" s="19">
        <v>46029</v>
      </c>
      <c r="J1022" s="23"/>
      <c r="K1022" s="47">
        <v>0.41666666666666669</v>
      </c>
      <c r="L1022" s="48">
        <v>0.72916666666666663</v>
      </c>
      <c r="M1022" s="11">
        <f t="shared" si="15"/>
        <v>7.4999999999999982</v>
      </c>
      <c r="N1022" s="42" t="s">
        <v>0</v>
      </c>
      <c r="P1022" s="4"/>
      <c r="Q1022" s="4"/>
      <c r="R1022" s="4"/>
      <c r="S1022" s="4"/>
      <c r="T1022" s="4"/>
      <c r="U1022" s="4"/>
      <c r="V1022" s="4"/>
      <c r="W1022" s="4"/>
    </row>
    <row r="1023" spans="1:23" s="32" customFormat="1" hidden="1" x14ac:dyDescent="0.3">
      <c r="A1023" s="22" t="s">
        <v>20</v>
      </c>
      <c r="B1023" s="21">
        <v>46029</v>
      </c>
      <c r="C1023" s="69" t="s">
        <v>444</v>
      </c>
      <c r="D1023" s="11" t="s">
        <v>27</v>
      </c>
      <c r="E1023" s="18" t="s">
        <v>727</v>
      </c>
      <c r="F1023" s="73" t="s">
        <v>728</v>
      </c>
      <c r="G1023" s="19">
        <v>46029</v>
      </c>
      <c r="H1023" s="19">
        <v>46029</v>
      </c>
      <c r="I1023" s="19">
        <v>46029</v>
      </c>
      <c r="J1023" s="23"/>
      <c r="K1023" s="47">
        <v>0.27083333333333331</v>
      </c>
      <c r="L1023" s="48">
        <v>0.6875</v>
      </c>
      <c r="M1023" s="11">
        <f t="shared" si="15"/>
        <v>10</v>
      </c>
      <c r="N1023" s="42" t="s">
        <v>0</v>
      </c>
      <c r="P1023" s="4"/>
      <c r="Q1023" s="4"/>
      <c r="R1023" s="4"/>
      <c r="S1023" s="4"/>
      <c r="T1023" s="4"/>
      <c r="U1023" s="4"/>
      <c r="V1023" s="4"/>
      <c r="W1023" s="4"/>
    </row>
    <row r="1024" spans="1:23" s="32" customFormat="1" hidden="1" x14ac:dyDescent="0.3">
      <c r="A1024" s="22" t="s">
        <v>20</v>
      </c>
      <c r="B1024" s="21">
        <v>46029</v>
      </c>
      <c r="C1024" s="22" t="s">
        <v>28</v>
      </c>
      <c r="D1024" s="13" t="s">
        <v>65</v>
      </c>
      <c r="E1024" s="13" t="s">
        <v>723</v>
      </c>
      <c r="F1024" s="26" t="s">
        <v>724</v>
      </c>
      <c r="G1024" s="21">
        <v>46029</v>
      </c>
      <c r="H1024" s="21">
        <v>46029</v>
      </c>
      <c r="I1024" s="21">
        <v>46029</v>
      </c>
      <c r="J1024" s="17"/>
      <c r="K1024" s="47">
        <v>0.27083333333333331</v>
      </c>
      <c r="L1024" s="48">
        <v>0.72916666666666663</v>
      </c>
      <c r="M1024" s="11">
        <f t="shared" si="15"/>
        <v>11</v>
      </c>
      <c r="N1024" s="67" t="s">
        <v>0</v>
      </c>
      <c r="P1024" s="4"/>
      <c r="Q1024" s="4"/>
      <c r="R1024" s="4"/>
      <c r="S1024" s="4"/>
      <c r="T1024" s="4"/>
      <c r="U1024" s="4"/>
      <c r="V1024" s="4"/>
      <c r="W1024" s="4"/>
    </row>
    <row r="1025" spans="1:23" s="32" customFormat="1" hidden="1" x14ac:dyDescent="0.3">
      <c r="A1025" s="22" t="s">
        <v>20</v>
      </c>
      <c r="B1025" s="21">
        <v>46029</v>
      </c>
      <c r="C1025" s="22" t="s">
        <v>47</v>
      </c>
      <c r="D1025" s="216" t="s">
        <v>65</v>
      </c>
      <c r="E1025" s="216" t="s">
        <v>611</v>
      </c>
      <c r="F1025" s="243" t="s">
        <v>164</v>
      </c>
      <c r="G1025" s="219">
        <v>46025</v>
      </c>
      <c r="H1025" s="219">
        <v>46029</v>
      </c>
      <c r="I1025" s="219">
        <v>46029</v>
      </c>
      <c r="J1025" s="17"/>
      <c r="K1025" s="47">
        <v>0.27083333333333331</v>
      </c>
      <c r="L1025" s="48">
        <v>0.72916666666666663</v>
      </c>
      <c r="M1025" s="11">
        <f t="shared" si="15"/>
        <v>11</v>
      </c>
      <c r="N1025" s="231" t="s">
        <v>0</v>
      </c>
      <c r="P1025" s="4"/>
      <c r="Q1025" s="4"/>
      <c r="R1025" s="4"/>
      <c r="S1025" s="4"/>
      <c r="T1025" s="4"/>
      <c r="U1025" s="4"/>
      <c r="V1025" s="4"/>
      <c r="W1025" s="4"/>
    </row>
    <row r="1026" spans="1:23" s="32" customFormat="1" hidden="1" x14ac:dyDescent="0.3">
      <c r="A1026" s="22" t="s">
        <v>20</v>
      </c>
      <c r="B1026" s="21">
        <v>46029</v>
      </c>
      <c r="C1026" s="22" t="s">
        <v>31</v>
      </c>
      <c r="D1026" s="217"/>
      <c r="E1026" s="217"/>
      <c r="F1026" s="244"/>
      <c r="G1026" s="220"/>
      <c r="H1026" s="220"/>
      <c r="I1026" s="220"/>
      <c r="J1026" s="23"/>
      <c r="K1026" s="47">
        <v>0.27083333333333331</v>
      </c>
      <c r="L1026" s="48">
        <v>0.35416666666666669</v>
      </c>
      <c r="M1026" s="11">
        <f t="shared" ref="M1026:M1089" si="16">MOD(L1026-K1026,1)*24</f>
        <v>2.0000000000000009</v>
      </c>
      <c r="N1026" s="225"/>
      <c r="P1026" s="4"/>
      <c r="Q1026" s="4"/>
      <c r="R1026" s="4"/>
      <c r="S1026" s="4"/>
      <c r="T1026" s="4"/>
      <c r="U1026" s="4"/>
      <c r="V1026" s="4"/>
      <c r="W1026" s="4"/>
    </row>
    <row r="1027" spans="1:23" s="32" customFormat="1" hidden="1" x14ac:dyDescent="0.3">
      <c r="A1027" s="22" t="s">
        <v>20</v>
      </c>
      <c r="B1027" s="21">
        <v>46029</v>
      </c>
      <c r="C1027" s="22" t="s">
        <v>167</v>
      </c>
      <c r="D1027" s="216" t="s">
        <v>65</v>
      </c>
      <c r="E1027" s="216" t="s">
        <v>742</v>
      </c>
      <c r="F1027" s="243" t="s">
        <v>59</v>
      </c>
      <c r="G1027" s="219">
        <v>46028</v>
      </c>
      <c r="H1027" s="219">
        <v>46029</v>
      </c>
      <c r="I1027" s="219">
        <v>46029</v>
      </c>
      <c r="J1027" s="17"/>
      <c r="K1027" s="47">
        <v>0.27083333333333331</v>
      </c>
      <c r="L1027" s="48">
        <v>0.72916666666666663</v>
      </c>
      <c r="M1027" s="11">
        <f t="shared" si="16"/>
        <v>11</v>
      </c>
      <c r="N1027" s="249" t="s">
        <v>0</v>
      </c>
      <c r="P1027" s="4"/>
      <c r="Q1027" s="4"/>
      <c r="R1027" s="4"/>
      <c r="S1027" s="4"/>
      <c r="T1027" s="4"/>
      <c r="U1027" s="4"/>
      <c r="V1027" s="4"/>
      <c r="W1027" s="4"/>
    </row>
    <row r="1028" spans="1:23" s="32" customFormat="1" hidden="1" x14ac:dyDescent="0.3">
      <c r="A1028" s="22" t="s">
        <v>20</v>
      </c>
      <c r="B1028" s="21">
        <v>46029</v>
      </c>
      <c r="C1028" s="22" t="s">
        <v>31</v>
      </c>
      <c r="D1028" s="217"/>
      <c r="E1028" s="217"/>
      <c r="F1028" s="244"/>
      <c r="G1028" s="220"/>
      <c r="H1028" s="220"/>
      <c r="I1028" s="220"/>
      <c r="J1028" s="23"/>
      <c r="K1028" s="47">
        <v>0.35416666666666669</v>
      </c>
      <c r="L1028" s="45">
        <v>0.4375</v>
      </c>
      <c r="M1028" s="11">
        <f t="shared" si="16"/>
        <v>1.9999999999999996</v>
      </c>
      <c r="N1028" s="249"/>
      <c r="P1028" s="4"/>
      <c r="Q1028" s="4"/>
      <c r="R1028" s="4"/>
      <c r="S1028" s="4"/>
      <c r="T1028" s="4"/>
      <c r="U1028" s="4"/>
      <c r="V1028" s="4"/>
      <c r="W1028" s="4"/>
    </row>
    <row r="1029" spans="1:23" s="32" customFormat="1" hidden="1" x14ac:dyDescent="0.3">
      <c r="A1029" s="22" t="s">
        <v>20</v>
      </c>
      <c r="B1029" s="21">
        <v>46029</v>
      </c>
      <c r="C1029" s="22" t="s">
        <v>15</v>
      </c>
      <c r="D1029" s="13" t="s">
        <v>65</v>
      </c>
      <c r="E1029" s="24" t="s">
        <v>615</v>
      </c>
      <c r="F1029" s="3" t="s">
        <v>650</v>
      </c>
      <c r="G1029" s="21">
        <v>46020</v>
      </c>
      <c r="H1029" s="21">
        <v>46028</v>
      </c>
      <c r="I1029" s="21">
        <v>46028</v>
      </c>
      <c r="J1029" s="17"/>
      <c r="K1029" s="47">
        <v>0.27083333333333331</v>
      </c>
      <c r="L1029" s="48">
        <v>0.72916666666666663</v>
      </c>
      <c r="M1029" s="11">
        <f t="shared" si="16"/>
        <v>11</v>
      </c>
      <c r="N1029" s="22" t="s">
        <v>0</v>
      </c>
      <c r="P1029" s="4"/>
      <c r="Q1029" s="4"/>
      <c r="R1029" s="4"/>
      <c r="S1029" s="4"/>
      <c r="T1029" s="4"/>
      <c r="U1029" s="4"/>
      <c r="V1029" s="4"/>
      <c r="W1029" s="4"/>
    </row>
    <row r="1030" spans="1:23" s="32" customFormat="1" hidden="1" x14ac:dyDescent="0.3">
      <c r="A1030" s="22" t="s">
        <v>20</v>
      </c>
      <c r="B1030" s="21">
        <v>46029</v>
      </c>
      <c r="C1030" s="22" t="s">
        <v>17</v>
      </c>
      <c r="D1030" s="216" t="s">
        <v>65</v>
      </c>
      <c r="E1030" s="214" t="s">
        <v>670</v>
      </c>
      <c r="F1030" s="243" t="s">
        <v>725</v>
      </c>
      <c r="G1030" s="219">
        <v>46025</v>
      </c>
      <c r="H1030" s="219">
        <v>46029</v>
      </c>
      <c r="I1030" s="219">
        <v>46029</v>
      </c>
      <c r="J1030" s="17"/>
      <c r="K1030" s="47">
        <v>0.27083333333333331</v>
      </c>
      <c r="L1030" s="48">
        <v>0.72916666666666663</v>
      </c>
      <c r="M1030" s="11">
        <f t="shared" si="16"/>
        <v>11</v>
      </c>
      <c r="N1030" s="214" t="s">
        <v>0</v>
      </c>
      <c r="P1030" s="4"/>
      <c r="Q1030" s="4"/>
      <c r="R1030" s="4"/>
      <c r="S1030" s="4"/>
      <c r="T1030" s="4"/>
      <c r="U1030" s="4"/>
      <c r="V1030" s="4"/>
      <c r="W1030" s="4"/>
    </row>
    <row r="1031" spans="1:23" s="32" customFormat="1" hidden="1" x14ac:dyDescent="0.3">
      <c r="A1031" s="22" t="s">
        <v>20</v>
      </c>
      <c r="B1031" s="21">
        <v>46029</v>
      </c>
      <c r="C1031" s="22" t="s">
        <v>31</v>
      </c>
      <c r="D1031" s="217"/>
      <c r="E1031" s="215"/>
      <c r="F1031" s="244"/>
      <c r="G1031" s="220"/>
      <c r="H1031" s="220"/>
      <c r="I1031" s="220"/>
      <c r="J1031" s="23"/>
      <c r="K1031" s="47">
        <v>0.4375</v>
      </c>
      <c r="L1031" s="48">
        <v>0.5</v>
      </c>
      <c r="M1031" s="11">
        <f t="shared" si="16"/>
        <v>1.5</v>
      </c>
      <c r="N1031" s="215"/>
      <c r="P1031" s="4"/>
      <c r="Q1031" s="4"/>
      <c r="R1031" s="4"/>
      <c r="S1031" s="4"/>
      <c r="T1031" s="4"/>
      <c r="U1031" s="4"/>
      <c r="V1031" s="4"/>
      <c r="W1031" s="4"/>
    </row>
    <row r="1032" spans="1:23" s="32" customFormat="1" hidden="1" x14ac:dyDescent="0.3">
      <c r="A1032" s="22" t="s">
        <v>20</v>
      </c>
      <c r="B1032" s="21">
        <v>46029</v>
      </c>
      <c r="C1032" s="22" t="s">
        <v>17</v>
      </c>
      <c r="D1032" s="13" t="s">
        <v>65</v>
      </c>
      <c r="E1032" s="12" t="s">
        <v>556</v>
      </c>
      <c r="F1032" s="27" t="s">
        <v>741</v>
      </c>
      <c r="G1032" s="21">
        <v>46029</v>
      </c>
      <c r="H1032" s="21">
        <v>46029</v>
      </c>
      <c r="I1032" s="21">
        <v>46029</v>
      </c>
      <c r="J1032" s="17"/>
      <c r="K1032" s="47">
        <v>0.41666666666666669</v>
      </c>
      <c r="L1032" s="48">
        <v>0.72916666666666663</v>
      </c>
      <c r="M1032" s="11">
        <f t="shared" si="16"/>
        <v>7.4999999999999982</v>
      </c>
      <c r="N1032" s="34" t="s">
        <v>0</v>
      </c>
      <c r="P1032" s="4"/>
      <c r="Q1032" s="4"/>
      <c r="R1032" s="4"/>
      <c r="S1032" s="4"/>
      <c r="T1032" s="4"/>
      <c r="U1032" s="4"/>
      <c r="V1032" s="4"/>
      <c r="W1032" s="4"/>
    </row>
    <row r="1033" spans="1:23" s="32" customFormat="1" hidden="1" x14ac:dyDescent="0.3">
      <c r="A1033" s="22" t="s">
        <v>20</v>
      </c>
      <c r="B1033" s="21">
        <v>46029</v>
      </c>
      <c r="C1033" s="69" t="s">
        <v>16</v>
      </c>
      <c r="D1033" s="221" t="s">
        <v>65</v>
      </c>
      <c r="E1033" s="233" t="s">
        <v>447</v>
      </c>
      <c r="F1033" s="245" t="s">
        <v>671</v>
      </c>
      <c r="G1033" s="223">
        <v>46020</v>
      </c>
      <c r="H1033" s="223">
        <v>46029</v>
      </c>
      <c r="I1033" s="223">
        <v>46029</v>
      </c>
      <c r="J1033" s="17"/>
      <c r="K1033" s="47">
        <v>0.27083333333333331</v>
      </c>
      <c r="L1033" s="48">
        <v>0.72916666666666663</v>
      </c>
      <c r="M1033" s="11">
        <f t="shared" si="16"/>
        <v>11</v>
      </c>
      <c r="N1033" s="214" t="s">
        <v>0</v>
      </c>
      <c r="P1033" s="4"/>
      <c r="Q1033" s="4"/>
      <c r="R1033" s="4"/>
      <c r="S1033" s="4"/>
      <c r="T1033" s="4"/>
      <c r="U1033" s="4"/>
      <c r="V1033" s="4"/>
      <c r="W1033" s="4"/>
    </row>
    <row r="1034" spans="1:23" s="32" customFormat="1" hidden="1" x14ac:dyDescent="0.3">
      <c r="A1034" s="22" t="s">
        <v>20</v>
      </c>
      <c r="B1034" s="21">
        <v>46029</v>
      </c>
      <c r="C1034" s="69" t="s">
        <v>31</v>
      </c>
      <c r="D1034" s="221"/>
      <c r="E1034" s="233"/>
      <c r="F1034" s="245"/>
      <c r="G1034" s="223"/>
      <c r="H1034" s="223"/>
      <c r="I1034" s="223"/>
      <c r="J1034" s="21"/>
      <c r="K1034" s="45">
        <v>0.58333333333333337</v>
      </c>
      <c r="L1034" s="48">
        <v>0.66666666666666663</v>
      </c>
      <c r="M1034" s="11">
        <f t="shared" si="16"/>
        <v>1.9999999999999982</v>
      </c>
      <c r="N1034" s="215"/>
      <c r="P1034" s="4"/>
      <c r="Q1034" s="4"/>
      <c r="R1034" s="4"/>
      <c r="S1034" s="4"/>
      <c r="T1034" s="4"/>
      <c r="U1034" s="4"/>
      <c r="V1034" s="4"/>
      <c r="W1034" s="4"/>
    </row>
    <row r="1035" spans="1:23" s="32" customFormat="1" hidden="1" x14ac:dyDescent="0.3">
      <c r="A1035" s="22" t="s">
        <v>21</v>
      </c>
      <c r="B1035" s="21">
        <v>46030</v>
      </c>
      <c r="C1035" s="22" t="s">
        <v>26</v>
      </c>
      <c r="D1035" s="24" t="s">
        <v>27</v>
      </c>
      <c r="E1035" s="22" t="s">
        <v>743</v>
      </c>
      <c r="F1035" s="25" t="s">
        <v>81</v>
      </c>
      <c r="G1035" s="21">
        <v>46030</v>
      </c>
      <c r="H1035" s="21">
        <v>46030</v>
      </c>
      <c r="I1035" s="21">
        <v>46030</v>
      </c>
      <c r="J1035" s="23"/>
      <c r="K1035" s="50">
        <v>0.27083333333333331</v>
      </c>
      <c r="L1035" s="48">
        <v>0.64583333333333337</v>
      </c>
      <c r="M1035" s="11">
        <f t="shared" si="16"/>
        <v>9.0000000000000018</v>
      </c>
      <c r="N1035" s="11" t="s">
        <v>0</v>
      </c>
      <c r="P1035" s="4"/>
      <c r="Q1035" s="4"/>
      <c r="R1035" s="4"/>
      <c r="S1035" s="4"/>
      <c r="T1035" s="4"/>
      <c r="U1035" s="4"/>
      <c r="V1035" s="4"/>
      <c r="W1035" s="4"/>
    </row>
    <row r="1036" spans="1:23" s="32" customFormat="1" hidden="1" x14ac:dyDescent="0.3">
      <c r="A1036" s="22" t="s">
        <v>21</v>
      </c>
      <c r="B1036" s="21">
        <v>46030</v>
      </c>
      <c r="C1036" s="22" t="s">
        <v>50</v>
      </c>
      <c r="D1036" s="24" t="s">
        <v>24</v>
      </c>
      <c r="E1036" s="22" t="s">
        <v>744</v>
      </c>
      <c r="F1036" s="25" t="s">
        <v>81</v>
      </c>
      <c r="G1036" s="21">
        <v>46030</v>
      </c>
      <c r="H1036" s="21">
        <v>46030</v>
      </c>
      <c r="I1036" s="17"/>
      <c r="J1036" s="23"/>
      <c r="K1036" s="50">
        <v>0.33333333333333331</v>
      </c>
      <c r="L1036" s="48">
        <v>0.70833333333333337</v>
      </c>
      <c r="M1036" s="11">
        <f t="shared" si="16"/>
        <v>9.0000000000000018</v>
      </c>
      <c r="N1036" s="11" t="s">
        <v>1</v>
      </c>
      <c r="P1036" s="4"/>
      <c r="Q1036" s="4"/>
      <c r="R1036" s="4"/>
      <c r="S1036" s="4"/>
      <c r="T1036" s="4"/>
      <c r="U1036" s="4"/>
      <c r="V1036" s="4"/>
      <c r="W1036" s="4"/>
    </row>
    <row r="1037" spans="1:23" s="32" customFormat="1" hidden="1" x14ac:dyDescent="0.3">
      <c r="A1037" s="22" t="s">
        <v>21</v>
      </c>
      <c r="B1037" s="21">
        <v>46030</v>
      </c>
      <c r="C1037" s="22" t="s">
        <v>37</v>
      </c>
      <c r="D1037" s="24" t="s">
        <v>24</v>
      </c>
      <c r="E1037" s="22" t="s">
        <v>677</v>
      </c>
      <c r="F1037" s="26" t="s">
        <v>745</v>
      </c>
      <c r="G1037" s="21">
        <v>46030</v>
      </c>
      <c r="H1037" s="21">
        <v>46030</v>
      </c>
      <c r="I1037" s="17"/>
      <c r="J1037" s="23"/>
      <c r="K1037" s="50">
        <v>0.27083333333333331</v>
      </c>
      <c r="L1037" s="48">
        <v>0.64583333333333337</v>
      </c>
      <c r="M1037" s="11">
        <f t="shared" si="16"/>
        <v>9.0000000000000018</v>
      </c>
      <c r="N1037" s="11" t="s">
        <v>1</v>
      </c>
      <c r="P1037" s="4"/>
      <c r="Q1037" s="4"/>
      <c r="R1037" s="4"/>
      <c r="S1037" s="4"/>
      <c r="T1037" s="4"/>
      <c r="U1037" s="4"/>
      <c r="V1037" s="4"/>
      <c r="W1037" s="4"/>
    </row>
    <row r="1038" spans="1:23" s="32" customFormat="1" hidden="1" x14ac:dyDescent="0.3">
      <c r="A1038" s="22" t="s">
        <v>21</v>
      </c>
      <c r="B1038" s="21">
        <v>46030</v>
      </c>
      <c r="C1038" s="22" t="s">
        <v>274</v>
      </c>
      <c r="D1038" s="214" t="s">
        <v>27</v>
      </c>
      <c r="E1038" s="214" t="s">
        <v>765</v>
      </c>
      <c r="F1038" s="241" t="s">
        <v>349</v>
      </c>
      <c r="G1038" s="219">
        <v>46030</v>
      </c>
      <c r="H1038" s="219">
        <v>46030</v>
      </c>
      <c r="I1038" s="219">
        <v>46030</v>
      </c>
      <c r="J1038" s="17"/>
      <c r="K1038" s="45">
        <v>0.54166666666666663</v>
      </c>
      <c r="L1038" s="48">
        <v>0.70833333333333337</v>
      </c>
      <c r="M1038" s="11">
        <f t="shared" si="16"/>
        <v>4.0000000000000018</v>
      </c>
      <c r="N1038" s="214" t="s">
        <v>0</v>
      </c>
      <c r="P1038" s="4"/>
      <c r="Q1038" s="4"/>
      <c r="R1038" s="4"/>
      <c r="S1038" s="4"/>
      <c r="T1038" s="4"/>
      <c r="U1038" s="4"/>
      <c r="V1038" s="4"/>
      <c r="W1038" s="4"/>
    </row>
    <row r="1039" spans="1:23" s="32" customFormat="1" hidden="1" x14ac:dyDescent="0.3">
      <c r="A1039" s="22" t="s">
        <v>21</v>
      </c>
      <c r="B1039" s="21">
        <v>46030</v>
      </c>
      <c r="C1039" s="22" t="s">
        <v>18</v>
      </c>
      <c r="D1039" s="215"/>
      <c r="E1039" s="215"/>
      <c r="F1039" s="248"/>
      <c r="G1039" s="220"/>
      <c r="H1039" s="220"/>
      <c r="I1039" s="220"/>
      <c r="J1039" s="19"/>
      <c r="K1039" s="45">
        <v>0.54166666666666663</v>
      </c>
      <c r="L1039" s="48">
        <v>0.70833333333333337</v>
      </c>
      <c r="M1039" s="11">
        <f t="shared" si="16"/>
        <v>4.0000000000000018</v>
      </c>
      <c r="N1039" s="215"/>
      <c r="P1039" s="4"/>
      <c r="Q1039" s="4"/>
      <c r="R1039" s="4"/>
      <c r="S1039" s="4"/>
      <c r="T1039" s="4"/>
      <c r="U1039" s="4"/>
      <c r="V1039" s="4"/>
      <c r="W1039" s="4"/>
    </row>
    <row r="1040" spans="1:23" s="32" customFormat="1" hidden="1" x14ac:dyDescent="0.3">
      <c r="A1040" s="22" t="s">
        <v>21</v>
      </c>
      <c r="B1040" s="21">
        <v>46030</v>
      </c>
      <c r="C1040" s="22" t="s">
        <v>320</v>
      </c>
      <c r="D1040" s="22" t="s">
        <v>43</v>
      </c>
      <c r="E1040" s="22" t="s">
        <v>748</v>
      </c>
      <c r="F1040" s="31" t="s">
        <v>747</v>
      </c>
      <c r="G1040" s="21">
        <v>46030</v>
      </c>
      <c r="H1040" s="21">
        <v>46030</v>
      </c>
      <c r="I1040" s="19"/>
      <c r="J1040" s="19"/>
      <c r="K1040" s="45">
        <v>0.27083333333333331</v>
      </c>
      <c r="L1040" s="48">
        <v>0.64583333333333337</v>
      </c>
      <c r="M1040" s="11">
        <f t="shared" si="16"/>
        <v>9.0000000000000018</v>
      </c>
      <c r="N1040" s="67" t="s">
        <v>1</v>
      </c>
      <c r="P1040" s="4"/>
      <c r="Q1040" s="4"/>
      <c r="R1040" s="4"/>
      <c r="S1040" s="4"/>
      <c r="T1040" s="4"/>
      <c r="U1040" s="4"/>
      <c r="V1040" s="4"/>
      <c r="W1040" s="4"/>
    </row>
    <row r="1041" spans="1:23" s="32" customFormat="1" hidden="1" x14ac:dyDescent="0.3">
      <c r="A1041" s="22" t="s">
        <v>21</v>
      </c>
      <c r="B1041" s="21">
        <v>46030</v>
      </c>
      <c r="C1041" s="22" t="s">
        <v>56</v>
      </c>
      <c r="D1041" s="22" t="s">
        <v>43</v>
      </c>
      <c r="E1041" s="22" t="s">
        <v>686</v>
      </c>
      <c r="F1041" s="31" t="s">
        <v>687</v>
      </c>
      <c r="G1041" s="19">
        <v>46027</v>
      </c>
      <c r="H1041" s="21">
        <v>46030</v>
      </c>
      <c r="I1041" s="21"/>
      <c r="J1041" s="21"/>
      <c r="K1041" s="45">
        <v>0.27083333333333331</v>
      </c>
      <c r="L1041" s="48">
        <v>0.64583333333333337</v>
      </c>
      <c r="M1041" s="11">
        <f t="shared" si="16"/>
        <v>9.0000000000000018</v>
      </c>
      <c r="N1041" s="67" t="s">
        <v>1</v>
      </c>
      <c r="P1041" s="4"/>
      <c r="Q1041" s="4"/>
      <c r="R1041" s="4"/>
      <c r="S1041" s="4"/>
      <c r="T1041" s="4"/>
      <c r="U1041" s="4"/>
      <c r="V1041" s="4"/>
      <c r="W1041" s="4"/>
    </row>
    <row r="1042" spans="1:23" s="32" customFormat="1" hidden="1" x14ac:dyDescent="0.3">
      <c r="A1042" s="22" t="s">
        <v>21</v>
      </c>
      <c r="B1042" s="21">
        <v>46030</v>
      </c>
      <c r="C1042" s="22" t="s">
        <v>118</v>
      </c>
      <c r="D1042" s="216" t="s">
        <v>54</v>
      </c>
      <c r="E1042" s="214" t="s">
        <v>688</v>
      </c>
      <c r="F1042" s="214" t="s">
        <v>705</v>
      </c>
      <c r="G1042" s="223">
        <v>46028</v>
      </c>
      <c r="H1042" s="219">
        <v>46030</v>
      </c>
      <c r="I1042" s="21"/>
      <c r="J1042" s="21"/>
      <c r="K1042" s="45">
        <v>0.3125</v>
      </c>
      <c r="L1042" s="48">
        <v>0.72916666666666663</v>
      </c>
      <c r="M1042" s="11">
        <f t="shared" si="16"/>
        <v>10</v>
      </c>
      <c r="N1042" s="214" t="s">
        <v>1</v>
      </c>
      <c r="P1042" s="4"/>
      <c r="Q1042" s="4"/>
      <c r="R1042" s="4"/>
      <c r="S1042" s="4"/>
      <c r="T1042" s="4"/>
      <c r="U1042" s="4"/>
      <c r="V1042" s="4"/>
      <c r="W1042" s="4"/>
    </row>
    <row r="1043" spans="1:23" s="32" customFormat="1" hidden="1" x14ac:dyDescent="0.3">
      <c r="A1043" s="22" t="s">
        <v>21</v>
      </c>
      <c r="B1043" s="21">
        <v>46030</v>
      </c>
      <c r="C1043" s="22" t="s">
        <v>34</v>
      </c>
      <c r="D1043" s="217"/>
      <c r="E1043" s="215"/>
      <c r="F1043" s="215"/>
      <c r="G1043" s="223"/>
      <c r="H1043" s="220"/>
      <c r="I1043" s="21"/>
      <c r="J1043" s="21"/>
      <c r="K1043" s="45">
        <v>0.3125</v>
      </c>
      <c r="L1043" s="48">
        <v>0.72916666666666663</v>
      </c>
      <c r="M1043" s="11">
        <f t="shared" si="16"/>
        <v>10</v>
      </c>
      <c r="N1043" s="215"/>
      <c r="P1043" s="4"/>
      <c r="Q1043" s="4"/>
      <c r="R1043" s="4"/>
      <c r="S1043" s="4"/>
      <c r="T1043" s="4"/>
      <c r="U1043" s="4"/>
      <c r="V1043" s="4"/>
      <c r="W1043" s="4"/>
    </row>
    <row r="1044" spans="1:23" s="32" customFormat="1" hidden="1" x14ac:dyDescent="0.3">
      <c r="A1044" s="22" t="s">
        <v>21</v>
      </c>
      <c r="B1044" s="21">
        <v>46030</v>
      </c>
      <c r="C1044" s="22" t="s">
        <v>55</v>
      </c>
      <c r="D1044" s="13" t="s">
        <v>43</v>
      </c>
      <c r="E1044" s="13" t="s">
        <v>746</v>
      </c>
      <c r="F1044" s="28" t="s">
        <v>413</v>
      </c>
      <c r="G1044" s="23">
        <v>46028</v>
      </c>
      <c r="H1044" s="21">
        <v>46030</v>
      </c>
      <c r="I1044" s="21"/>
      <c r="J1044" s="21"/>
      <c r="K1044" s="45">
        <v>0.27083333333333331</v>
      </c>
      <c r="L1044" s="49">
        <v>0.64583333333333337</v>
      </c>
      <c r="M1044" s="11">
        <f t="shared" si="16"/>
        <v>9.0000000000000018</v>
      </c>
      <c r="N1044" s="11" t="s">
        <v>1</v>
      </c>
      <c r="P1044" s="4"/>
      <c r="Q1044" s="4"/>
      <c r="R1044" s="4"/>
      <c r="S1044" s="4"/>
      <c r="T1044" s="4"/>
      <c r="U1044" s="4"/>
      <c r="V1044" s="4"/>
      <c r="W1044" s="4"/>
    </row>
    <row r="1045" spans="1:23" s="32" customFormat="1" hidden="1" x14ac:dyDescent="0.3">
      <c r="A1045" s="22" t="s">
        <v>21</v>
      </c>
      <c r="B1045" s="21">
        <v>46030</v>
      </c>
      <c r="C1045" s="22" t="s">
        <v>25</v>
      </c>
      <c r="D1045" s="13" t="s">
        <v>43</v>
      </c>
      <c r="E1045" s="24" t="s">
        <v>638</v>
      </c>
      <c r="F1045" s="28" t="s">
        <v>413</v>
      </c>
      <c r="G1045" s="21">
        <v>46028</v>
      </c>
      <c r="H1045" s="21">
        <v>46030</v>
      </c>
      <c r="I1045" s="21">
        <v>46030</v>
      </c>
      <c r="J1045" s="21"/>
      <c r="K1045" s="45">
        <v>0.27083333333333331</v>
      </c>
      <c r="L1045" s="48">
        <v>0.64583333333333337</v>
      </c>
      <c r="M1045" s="11">
        <f t="shared" si="16"/>
        <v>9.0000000000000018</v>
      </c>
      <c r="N1045" s="22" t="s">
        <v>0</v>
      </c>
      <c r="P1045" s="4"/>
      <c r="Q1045" s="4"/>
      <c r="R1045" s="4"/>
      <c r="S1045" s="4"/>
      <c r="T1045" s="4"/>
      <c r="U1045" s="4"/>
      <c r="V1045" s="4"/>
      <c r="W1045" s="4"/>
    </row>
    <row r="1046" spans="1:23" s="32" customFormat="1" hidden="1" x14ac:dyDescent="0.3">
      <c r="A1046" s="22" t="s">
        <v>21</v>
      </c>
      <c r="B1046" s="21">
        <v>46030</v>
      </c>
      <c r="C1046" s="22" t="s">
        <v>25</v>
      </c>
      <c r="D1046" s="13" t="s">
        <v>27</v>
      </c>
      <c r="E1046" s="13" t="s">
        <v>763</v>
      </c>
      <c r="F1046" s="28" t="s">
        <v>764</v>
      </c>
      <c r="G1046" s="21">
        <v>46030</v>
      </c>
      <c r="H1046" s="21">
        <v>46030</v>
      </c>
      <c r="I1046" s="21">
        <v>46030</v>
      </c>
      <c r="J1046" s="21"/>
      <c r="K1046" s="45">
        <v>0.35416666666666669</v>
      </c>
      <c r="L1046" s="48">
        <v>0.72916666666666663</v>
      </c>
      <c r="M1046" s="11">
        <f t="shared" si="16"/>
        <v>8.9999999999999982</v>
      </c>
      <c r="N1046" s="11" t="s">
        <v>0</v>
      </c>
      <c r="P1046" s="4"/>
      <c r="Q1046" s="4"/>
      <c r="R1046" s="4"/>
      <c r="S1046" s="4"/>
      <c r="T1046" s="4"/>
      <c r="U1046" s="4"/>
      <c r="V1046" s="4"/>
      <c r="W1046" s="4"/>
    </row>
    <row r="1047" spans="1:23" s="32" customFormat="1" hidden="1" x14ac:dyDescent="0.3">
      <c r="A1047" s="22" t="s">
        <v>19</v>
      </c>
      <c r="B1047" s="21">
        <v>46030</v>
      </c>
      <c r="C1047" s="22" t="s">
        <v>7</v>
      </c>
      <c r="D1047" s="13" t="s">
        <v>65</v>
      </c>
      <c r="E1047" s="13" t="s">
        <v>736</v>
      </c>
      <c r="F1047" s="26" t="s">
        <v>749</v>
      </c>
      <c r="G1047" s="21">
        <v>46029</v>
      </c>
      <c r="H1047" s="21">
        <v>46030</v>
      </c>
      <c r="I1047" s="21">
        <v>46030</v>
      </c>
      <c r="J1047" s="21"/>
      <c r="K1047" s="45">
        <v>0.27083333333333331</v>
      </c>
      <c r="L1047" s="48">
        <v>0.35416666666666669</v>
      </c>
      <c r="M1047" s="11">
        <f t="shared" si="16"/>
        <v>2.0000000000000009</v>
      </c>
      <c r="N1047" s="11" t="s">
        <v>0</v>
      </c>
      <c r="P1047" s="4"/>
      <c r="Q1047" s="4"/>
      <c r="R1047" s="4"/>
      <c r="S1047" s="4"/>
      <c r="T1047" s="4"/>
      <c r="U1047" s="4"/>
      <c r="V1047" s="4"/>
      <c r="W1047" s="4"/>
    </row>
    <row r="1048" spans="1:23" s="32" customFormat="1" ht="28.8" hidden="1" x14ac:dyDescent="0.3">
      <c r="A1048" s="22" t="s">
        <v>19</v>
      </c>
      <c r="B1048" s="21">
        <v>46030</v>
      </c>
      <c r="C1048" s="22" t="s">
        <v>9</v>
      </c>
      <c r="D1048" s="13" t="s">
        <v>32</v>
      </c>
      <c r="E1048" s="13" t="s">
        <v>750</v>
      </c>
      <c r="F1048" s="26" t="s">
        <v>751</v>
      </c>
      <c r="G1048" s="21">
        <v>46030</v>
      </c>
      <c r="H1048" s="21">
        <v>46030</v>
      </c>
      <c r="I1048" s="21">
        <v>46030</v>
      </c>
      <c r="J1048" s="17"/>
      <c r="K1048" s="47">
        <v>0.27083333333333331</v>
      </c>
      <c r="L1048" s="45">
        <v>0.45833333333333331</v>
      </c>
      <c r="M1048" s="11">
        <f t="shared" si="16"/>
        <v>4.5</v>
      </c>
      <c r="N1048" s="11" t="s">
        <v>0</v>
      </c>
      <c r="P1048" s="4"/>
      <c r="Q1048" s="4"/>
      <c r="R1048" s="4"/>
      <c r="S1048" s="4"/>
      <c r="T1048" s="4"/>
      <c r="U1048" s="4"/>
      <c r="V1048" s="4"/>
      <c r="W1048" s="4"/>
    </row>
    <row r="1049" spans="1:23" s="32" customFormat="1" hidden="1" x14ac:dyDescent="0.3">
      <c r="A1049" s="22" t="s">
        <v>19</v>
      </c>
      <c r="B1049" s="21">
        <v>46030</v>
      </c>
      <c r="C1049" s="22" t="s">
        <v>48</v>
      </c>
      <c r="D1049" s="214" t="s">
        <v>8</v>
      </c>
      <c r="E1049" s="214" t="s">
        <v>242</v>
      </c>
      <c r="F1049" s="214" t="s">
        <v>752</v>
      </c>
      <c r="G1049" s="219">
        <v>46028</v>
      </c>
      <c r="H1049" s="219">
        <v>46030</v>
      </c>
      <c r="I1049" s="219">
        <v>46030</v>
      </c>
      <c r="J1049" s="17"/>
      <c r="K1049" s="47">
        <v>0.35416666666666669</v>
      </c>
      <c r="L1049" s="48">
        <v>0.47916666666666669</v>
      </c>
      <c r="M1049" s="11">
        <f t="shared" si="16"/>
        <v>3</v>
      </c>
      <c r="N1049" s="224" t="s">
        <v>0</v>
      </c>
      <c r="P1049" s="4"/>
      <c r="Q1049" s="4"/>
      <c r="R1049" s="4"/>
      <c r="S1049" s="4"/>
      <c r="T1049" s="4"/>
      <c r="U1049" s="4"/>
      <c r="V1049" s="4"/>
      <c r="W1049" s="4"/>
    </row>
    <row r="1050" spans="1:23" s="32" customFormat="1" hidden="1" x14ac:dyDescent="0.3">
      <c r="A1050" s="22" t="s">
        <v>19</v>
      </c>
      <c r="B1050" s="21">
        <v>46030</v>
      </c>
      <c r="C1050" s="22" t="s">
        <v>208</v>
      </c>
      <c r="D1050" s="215"/>
      <c r="E1050" s="215"/>
      <c r="F1050" s="215"/>
      <c r="G1050" s="220"/>
      <c r="H1050" s="220"/>
      <c r="I1050" s="220"/>
      <c r="J1050" s="23"/>
      <c r="K1050" s="47">
        <v>0.35416666666666669</v>
      </c>
      <c r="L1050" s="48">
        <v>0.47916666666666669</v>
      </c>
      <c r="M1050" s="11">
        <f t="shared" si="16"/>
        <v>3</v>
      </c>
      <c r="N1050" s="225"/>
      <c r="P1050" s="4"/>
      <c r="Q1050" s="4"/>
      <c r="R1050" s="4"/>
      <c r="S1050" s="4"/>
      <c r="T1050" s="4"/>
      <c r="U1050" s="4"/>
      <c r="V1050" s="4"/>
      <c r="W1050" s="4"/>
    </row>
    <row r="1051" spans="1:23" s="32" customFormat="1" hidden="1" x14ac:dyDescent="0.3">
      <c r="A1051" s="22" t="s">
        <v>19</v>
      </c>
      <c r="B1051" s="21">
        <v>46030</v>
      </c>
      <c r="C1051" s="22" t="s">
        <v>48</v>
      </c>
      <c r="D1051" s="214" t="s">
        <v>8</v>
      </c>
      <c r="E1051" s="214" t="s">
        <v>682</v>
      </c>
      <c r="F1051" s="214" t="s">
        <v>760</v>
      </c>
      <c r="G1051" s="219">
        <v>46030</v>
      </c>
      <c r="H1051" s="219">
        <v>46030</v>
      </c>
      <c r="I1051" s="219">
        <v>46030</v>
      </c>
      <c r="J1051" s="17"/>
      <c r="K1051" s="47">
        <v>0.64583333333333337</v>
      </c>
      <c r="L1051" s="48">
        <v>0.72916666666666663</v>
      </c>
      <c r="M1051" s="11">
        <f t="shared" si="16"/>
        <v>1.9999999999999982</v>
      </c>
      <c r="N1051" s="224" t="s">
        <v>0</v>
      </c>
      <c r="P1051" s="4"/>
      <c r="Q1051" s="4"/>
      <c r="R1051" s="4"/>
      <c r="S1051" s="4"/>
      <c r="T1051" s="4"/>
      <c r="U1051" s="4"/>
      <c r="V1051" s="4"/>
      <c r="W1051" s="4"/>
    </row>
    <row r="1052" spans="1:23" s="32" customFormat="1" hidden="1" x14ac:dyDescent="0.3">
      <c r="A1052" s="22" t="s">
        <v>19</v>
      </c>
      <c r="B1052" s="21">
        <v>46030</v>
      </c>
      <c r="C1052" s="22" t="s">
        <v>208</v>
      </c>
      <c r="D1052" s="215"/>
      <c r="E1052" s="215"/>
      <c r="F1052" s="215"/>
      <c r="G1052" s="220"/>
      <c r="H1052" s="220"/>
      <c r="I1052" s="220"/>
      <c r="J1052" s="23"/>
      <c r="K1052" s="47">
        <v>0.64583333333333337</v>
      </c>
      <c r="L1052" s="48">
        <v>0.72916666666666663</v>
      </c>
      <c r="M1052" s="11">
        <f t="shared" si="16"/>
        <v>1.9999999999999982</v>
      </c>
      <c r="N1052" s="225"/>
      <c r="P1052" s="4"/>
      <c r="Q1052" s="4"/>
      <c r="R1052" s="4"/>
      <c r="S1052" s="4"/>
      <c r="T1052" s="4"/>
      <c r="U1052" s="4"/>
      <c r="V1052" s="4"/>
      <c r="W1052" s="4"/>
    </row>
    <row r="1053" spans="1:23" s="32" customFormat="1" hidden="1" x14ac:dyDescent="0.3">
      <c r="A1053" s="22" t="s">
        <v>19</v>
      </c>
      <c r="B1053" s="21">
        <v>46030</v>
      </c>
      <c r="C1053" s="22" t="s">
        <v>7</v>
      </c>
      <c r="D1053" s="12" t="s">
        <v>65</v>
      </c>
      <c r="E1053" s="18" t="s">
        <v>761</v>
      </c>
      <c r="F1053" s="18" t="s">
        <v>182</v>
      </c>
      <c r="G1053" s="19">
        <v>46030</v>
      </c>
      <c r="H1053" s="19">
        <v>46030</v>
      </c>
      <c r="I1053" s="19">
        <v>46030</v>
      </c>
      <c r="J1053" s="23"/>
      <c r="K1053" s="47">
        <v>0.35416666666666669</v>
      </c>
      <c r="L1053" s="48">
        <v>0.58333333333333337</v>
      </c>
      <c r="M1053" s="11">
        <f t="shared" si="16"/>
        <v>5.5</v>
      </c>
      <c r="N1053" s="34" t="s">
        <v>0</v>
      </c>
      <c r="P1053" s="4"/>
      <c r="Q1053" s="4"/>
      <c r="R1053" s="4"/>
      <c r="S1053" s="4"/>
      <c r="T1053" s="4"/>
      <c r="U1053" s="4"/>
      <c r="V1053" s="4"/>
      <c r="W1053" s="4"/>
    </row>
    <row r="1054" spans="1:23" s="32" customFormat="1" hidden="1" x14ac:dyDescent="0.3">
      <c r="A1054" s="22" t="s">
        <v>19</v>
      </c>
      <c r="B1054" s="21">
        <v>46030</v>
      </c>
      <c r="C1054" s="22" t="s">
        <v>208</v>
      </c>
      <c r="D1054" s="214" t="s">
        <v>8</v>
      </c>
      <c r="E1054" s="214" t="s">
        <v>682</v>
      </c>
      <c r="F1054" s="214" t="s">
        <v>762</v>
      </c>
      <c r="G1054" s="219">
        <v>46028</v>
      </c>
      <c r="H1054" s="219">
        <v>46030</v>
      </c>
      <c r="I1054" s="219">
        <v>46030</v>
      </c>
      <c r="J1054" s="17"/>
      <c r="K1054" s="47">
        <v>0.54166666666666663</v>
      </c>
      <c r="L1054" s="48">
        <v>0.64583333333333337</v>
      </c>
      <c r="M1054" s="11">
        <f t="shared" si="16"/>
        <v>2.5000000000000018</v>
      </c>
      <c r="N1054" s="224" t="s">
        <v>0</v>
      </c>
      <c r="P1054" s="4"/>
      <c r="Q1054" s="4"/>
      <c r="R1054" s="4"/>
      <c r="S1054" s="4"/>
      <c r="T1054" s="4"/>
      <c r="U1054" s="4"/>
      <c r="V1054" s="4"/>
      <c r="W1054" s="4"/>
    </row>
    <row r="1055" spans="1:23" s="32" customFormat="1" hidden="1" x14ac:dyDescent="0.3">
      <c r="A1055" s="22" t="s">
        <v>19</v>
      </c>
      <c r="B1055" s="21">
        <v>46030</v>
      </c>
      <c r="C1055" s="22" t="s">
        <v>9</v>
      </c>
      <c r="D1055" s="215"/>
      <c r="E1055" s="215"/>
      <c r="F1055" s="215"/>
      <c r="G1055" s="220"/>
      <c r="H1055" s="220"/>
      <c r="I1055" s="220"/>
      <c r="J1055" s="23"/>
      <c r="K1055" s="47">
        <v>0.54166666666666663</v>
      </c>
      <c r="L1055" s="48">
        <v>0.64583333333333337</v>
      </c>
      <c r="M1055" s="11">
        <f t="shared" si="16"/>
        <v>2.5000000000000018</v>
      </c>
      <c r="N1055" s="225"/>
      <c r="P1055" s="4"/>
      <c r="Q1055" s="4"/>
      <c r="R1055" s="4"/>
      <c r="S1055" s="4"/>
      <c r="T1055" s="4"/>
      <c r="U1055" s="4"/>
      <c r="V1055" s="4"/>
      <c r="W1055" s="4"/>
    </row>
    <row r="1056" spans="1:23" s="32" customFormat="1" hidden="1" x14ac:dyDescent="0.3">
      <c r="A1056" s="22" t="s">
        <v>20</v>
      </c>
      <c r="B1056" s="21">
        <v>46030</v>
      </c>
      <c r="C1056" s="69" t="s">
        <v>12</v>
      </c>
      <c r="D1056" s="233" t="s">
        <v>44</v>
      </c>
      <c r="E1056" s="214" t="s">
        <v>719</v>
      </c>
      <c r="F1056" s="214" t="s">
        <v>757</v>
      </c>
      <c r="G1056" s="223">
        <v>46029</v>
      </c>
      <c r="H1056" s="223">
        <v>46037</v>
      </c>
      <c r="I1056" s="223">
        <v>46037</v>
      </c>
      <c r="J1056" s="17"/>
      <c r="K1056" s="47">
        <v>0.27083333333333331</v>
      </c>
      <c r="L1056" s="48">
        <v>0.35416666666666669</v>
      </c>
      <c r="M1056" s="11">
        <f t="shared" si="16"/>
        <v>2.0000000000000009</v>
      </c>
      <c r="N1056" s="224" t="s">
        <v>0</v>
      </c>
      <c r="P1056" s="4"/>
      <c r="Q1056" s="4"/>
      <c r="R1056" s="4"/>
      <c r="S1056" s="4"/>
      <c r="T1056" s="4"/>
      <c r="U1056" s="4"/>
      <c r="V1056" s="4"/>
      <c r="W1056" s="4"/>
    </row>
    <row r="1057" spans="1:23" s="32" customFormat="1" hidden="1" x14ac:dyDescent="0.3">
      <c r="A1057" s="22" t="s">
        <v>20</v>
      </c>
      <c r="B1057" s="21">
        <v>46030</v>
      </c>
      <c r="C1057" s="69" t="s">
        <v>33</v>
      </c>
      <c r="D1057" s="233"/>
      <c r="E1057" s="215"/>
      <c r="F1057" s="215"/>
      <c r="G1057" s="223"/>
      <c r="H1057" s="223"/>
      <c r="I1057" s="223"/>
      <c r="J1057" s="17"/>
      <c r="K1057" s="47">
        <v>0.35416666666666669</v>
      </c>
      <c r="L1057" s="48">
        <v>0.72916666666666663</v>
      </c>
      <c r="M1057" s="11">
        <f t="shared" si="16"/>
        <v>8.9999999999999982</v>
      </c>
      <c r="N1057" s="231"/>
      <c r="P1057" s="4"/>
      <c r="Q1057" s="4"/>
      <c r="R1057" s="4"/>
      <c r="S1057" s="4"/>
      <c r="T1057" s="4"/>
      <c r="U1057" s="4"/>
      <c r="V1057" s="4"/>
      <c r="W1057" s="4"/>
    </row>
    <row r="1058" spans="1:23" s="32" customFormat="1" hidden="1" x14ac:dyDescent="0.3">
      <c r="A1058" s="22" t="s">
        <v>20</v>
      </c>
      <c r="B1058" s="21">
        <v>46030</v>
      </c>
      <c r="C1058" s="69" t="s">
        <v>12</v>
      </c>
      <c r="D1058" s="214" t="s">
        <v>44</v>
      </c>
      <c r="E1058" s="214" t="s">
        <v>758</v>
      </c>
      <c r="F1058" s="241" t="s">
        <v>740</v>
      </c>
      <c r="G1058" s="219">
        <v>46029</v>
      </c>
      <c r="H1058" s="219">
        <v>46030</v>
      </c>
      <c r="I1058" s="219">
        <v>46030</v>
      </c>
      <c r="J1058" s="17"/>
      <c r="K1058" s="47">
        <v>0.35416666666666669</v>
      </c>
      <c r="L1058" s="48">
        <v>0.54166666666666663</v>
      </c>
      <c r="M1058" s="11">
        <f t="shared" si="16"/>
        <v>4.4999999999999982</v>
      </c>
      <c r="N1058" s="224" t="s">
        <v>0</v>
      </c>
      <c r="P1058" s="4"/>
      <c r="Q1058" s="4"/>
      <c r="R1058" s="4"/>
      <c r="S1058" s="4"/>
      <c r="T1058" s="4"/>
      <c r="U1058" s="4"/>
      <c r="V1058" s="4"/>
      <c r="W1058" s="4"/>
    </row>
    <row r="1059" spans="1:23" s="32" customFormat="1" hidden="1" x14ac:dyDescent="0.3">
      <c r="A1059" s="22" t="s">
        <v>20</v>
      </c>
      <c r="B1059" s="21">
        <v>46030</v>
      </c>
      <c r="C1059" s="69" t="s">
        <v>33</v>
      </c>
      <c r="D1059" s="215"/>
      <c r="E1059" s="226"/>
      <c r="F1059" s="242"/>
      <c r="G1059" s="220"/>
      <c r="H1059" s="220"/>
      <c r="I1059" s="220"/>
      <c r="J1059" s="23"/>
      <c r="K1059" s="47">
        <v>0.35416666666666669</v>
      </c>
      <c r="L1059" s="48">
        <v>0.54166666666666663</v>
      </c>
      <c r="M1059" s="11">
        <f t="shared" si="16"/>
        <v>4.4999999999999982</v>
      </c>
      <c r="N1059" s="225"/>
      <c r="P1059" s="4"/>
      <c r="Q1059" s="4"/>
      <c r="R1059" s="4"/>
      <c r="S1059" s="4"/>
      <c r="T1059" s="4"/>
      <c r="U1059" s="4"/>
      <c r="V1059" s="4"/>
      <c r="W1059" s="4"/>
    </row>
    <row r="1060" spans="1:23" s="32" customFormat="1" ht="28.8" hidden="1" x14ac:dyDescent="0.3">
      <c r="A1060" s="22" t="s">
        <v>20</v>
      </c>
      <c r="B1060" s="21">
        <v>46030</v>
      </c>
      <c r="C1060" s="69" t="s">
        <v>421</v>
      </c>
      <c r="D1060" s="18" t="s">
        <v>44</v>
      </c>
      <c r="E1060" s="18" t="s">
        <v>606</v>
      </c>
      <c r="F1060" s="73" t="s">
        <v>759</v>
      </c>
      <c r="G1060" s="19">
        <v>46030</v>
      </c>
      <c r="H1060" s="19">
        <v>46030</v>
      </c>
      <c r="I1060" s="19">
        <v>46030</v>
      </c>
      <c r="J1060" s="23"/>
      <c r="K1060" s="47">
        <v>0.35416666666666669</v>
      </c>
      <c r="L1060" s="48">
        <v>0.4375</v>
      </c>
      <c r="M1060" s="11">
        <f t="shared" si="16"/>
        <v>1.9999999999999996</v>
      </c>
      <c r="N1060" s="34" t="s">
        <v>0</v>
      </c>
      <c r="P1060" s="4"/>
      <c r="Q1060" s="4"/>
      <c r="R1060" s="4"/>
      <c r="S1060" s="4"/>
      <c r="T1060" s="4"/>
      <c r="U1060" s="4"/>
      <c r="V1060" s="4"/>
      <c r="W1060" s="4"/>
    </row>
    <row r="1061" spans="1:23" s="32" customFormat="1" hidden="1" x14ac:dyDescent="0.3">
      <c r="A1061" s="22" t="s">
        <v>20</v>
      </c>
      <c r="B1061" s="21">
        <v>46030</v>
      </c>
      <c r="C1061" s="69" t="s">
        <v>444</v>
      </c>
      <c r="D1061" s="214" t="s">
        <v>44</v>
      </c>
      <c r="E1061" s="226" t="s">
        <v>767</v>
      </c>
      <c r="F1061" s="242" t="s">
        <v>768</v>
      </c>
      <c r="G1061" s="219">
        <v>46030</v>
      </c>
      <c r="H1061" s="219">
        <v>46030</v>
      </c>
      <c r="I1061" s="21"/>
      <c r="J1061" s="21"/>
      <c r="K1061" s="48">
        <v>0.4375</v>
      </c>
      <c r="L1061" s="48">
        <v>0.72916666666666663</v>
      </c>
      <c r="M1061" s="11">
        <f t="shared" si="16"/>
        <v>6.9999999999999991</v>
      </c>
      <c r="N1061" s="227" t="s">
        <v>1</v>
      </c>
      <c r="P1061" s="4"/>
      <c r="Q1061" s="4"/>
      <c r="R1061" s="4"/>
      <c r="S1061" s="4"/>
      <c r="T1061" s="4"/>
      <c r="U1061" s="4"/>
      <c r="V1061" s="4"/>
      <c r="W1061" s="4"/>
    </row>
    <row r="1062" spans="1:23" s="32" customFormat="1" hidden="1" x14ac:dyDescent="0.3">
      <c r="A1062" s="22" t="s">
        <v>20</v>
      </c>
      <c r="B1062" s="21">
        <v>46030</v>
      </c>
      <c r="C1062" s="69" t="s">
        <v>421</v>
      </c>
      <c r="D1062" s="215"/>
      <c r="E1062" s="215"/>
      <c r="F1062" s="248"/>
      <c r="G1062" s="220"/>
      <c r="H1062" s="220"/>
      <c r="I1062" s="21"/>
      <c r="J1062" s="21"/>
      <c r="K1062" s="48">
        <v>0.4375</v>
      </c>
      <c r="L1062" s="48">
        <v>0.72916666666666663</v>
      </c>
      <c r="M1062" s="11">
        <f t="shared" si="16"/>
        <v>6.9999999999999991</v>
      </c>
      <c r="N1062" s="228"/>
      <c r="P1062" s="4"/>
      <c r="Q1062" s="4"/>
      <c r="R1062" s="4"/>
      <c r="S1062" s="4"/>
      <c r="T1062" s="4"/>
      <c r="U1062" s="4"/>
      <c r="V1062" s="4"/>
      <c r="W1062" s="4"/>
    </row>
    <row r="1063" spans="1:23" s="32" customFormat="1" hidden="1" x14ac:dyDescent="0.3">
      <c r="A1063" s="22" t="s">
        <v>20</v>
      </c>
      <c r="B1063" s="21">
        <v>46030</v>
      </c>
      <c r="C1063" s="22" t="s">
        <v>28</v>
      </c>
      <c r="D1063" s="13" t="s">
        <v>65</v>
      </c>
      <c r="E1063" s="13" t="s">
        <v>278</v>
      </c>
      <c r="F1063" s="26" t="s">
        <v>229</v>
      </c>
      <c r="G1063" s="21">
        <v>46030</v>
      </c>
      <c r="H1063" s="21">
        <v>46030</v>
      </c>
      <c r="I1063" s="21">
        <v>46030</v>
      </c>
      <c r="J1063" s="17"/>
      <c r="K1063" s="47">
        <v>0.27083333333333331</v>
      </c>
      <c r="L1063" s="48">
        <v>0.70833333333333337</v>
      </c>
      <c r="M1063" s="11">
        <f t="shared" si="16"/>
        <v>10.500000000000002</v>
      </c>
      <c r="N1063" s="42" t="s">
        <v>0</v>
      </c>
      <c r="P1063" s="4"/>
      <c r="Q1063" s="4"/>
      <c r="R1063" s="4"/>
      <c r="S1063" s="4"/>
      <c r="T1063" s="4"/>
      <c r="U1063" s="4"/>
      <c r="V1063" s="4"/>
      <c r="W1063" s="4"/>
    </row>
    <row r="1064" spans="1:23" s="32" customFormat="1" hidden="1" x14ac:dyDescent="0.3">
      <c r="A1064" s="22" t="s">
        <v>20</v>
      </c>
      <c r="B1064" s="21">
        <v>46030</v>
      </c>
      <c r="C1064" s="22" t="s">
        <v>47</v>
      </c>
      <c r="D1064" s="216" t="s">
        <v>65</v>
      </c>
      <c r="E1064" s="216" t="s">
        <v>753</v>
      </c>
      <c r="F1064" s="243" t="s">
        <v>754</v>
      </c>
      <c r="G1064" s="219">
        <v>46030</v>
      </c>
      <c r="H1064" s="219">
        <v>46030</v>
      </c>
      <c r="I1064" s="219">
        <v>46030</v>
      </c>
      <c r="J1064" s="17"/>
      <c r="K1064" s="47">
        <v>0.27083333333333331</v>
      </c>
      <c r="L1064" s="48">
        <v>0.72916666666666663</v>
      </c>
      <c r="M1064" s="11">
        <f t="shared" si="16"/>
        <v>11</v>
      </c>
      <c r="N1064" s="231" t="s">
        <v>0</v>
      </c>
      <c r="P1064" s="4"/>
      <c r="Q1064" s="4"/>
      <c r="R1064" s="4"/>
      <c r="S1064" s="4"/>
      <c r="T1064" s="4"/>
      <c r="U1064" s="4"/>
      <c r="V1064" s="4"/>
      <c r="W1064" s="4"/>
    </row>
    <row r="1065" spans="1:23" s="32" customFormat="1" hidden="1" x14ac:dyDescent="0.3">
      <c r="A1065" s="22" t="s">
        <v>20</v>
      </c>
      <c r="B1065" s="21">
        <v>46030</v>
      </c>
      <c r="C1065" s="22" t="s">
        <v>31</v>
      </c>
      <c r="D1065" s="217"/>
      <c r="E1065" s="217"/>
      <c r="F1065" s="244"/>
      <c r="G1065" s="220"/>
      <c r="H1065" s="220"/>
      <c r="I1065" s="220"/>
      <c r="J1065" s="23"/>
      <c r="K1065" s="47">
        <v>0.27083333333333331</v>
      </c>
      <c r="L1065" s="48">
        <v>0.35416666666666669</v>
      </c>
      <c r="M1065" s="11">
        <f t="shared" si="16"/>
        <v>2.0000000000000009</v>
      </c>
      <c r="N1065" s="225"/>
      <c r="P1065" s="4"/>
      <c r="Q1065" s="4"/>
      <c r="R1065" s="4"/>
      <c r="S1065" s="4"/>
      <c r="T1065" s="4"/>
      <c r="U1065" s="4"/>
      <c r="V1065" s="4"/>
      <c r="W1065" s="4"/>
    </row>
    <row r="1066" spans="1:23" s="32" customFormat="1" hidden="1" x14ac:dyDescent="0.3">
      <c r="A1066" s="22" t="s">
        <v>20</v>
      </c>
      <c r="B1066" s="21">
        <v>46030</v>
      </c>
      <c r="C1066" s="22" t="s">
        <v>167</v>
      </c>
      <c r="D1066" s="216" t="s">
        <v>65</v>
      </c>
      <c r="E1066" s="216" t="s">
        <v>742</v>
      </c>
      <c r="F1066" s="243" t="s">
        <v>59</v>
      </c>
      <c r="G1066" s="219">
        <v>46028</v>
      </c>
      <c r="H1066" s="219">
        <v>46030</v>
      </c>
      <c r="I1066" s="219">
        <v>46030</v>
      </c>
      <c r="J1066" s="17"/>
      <c r="K1066" s="47">
        <v>0.27083333333333331</v>
      </c>
      <c r="L1066" s="48">
        <v>0.35416666666666669</v>
      </c>
      <c r="M1066" s="11">
        <f t="shared" si="16"/>
        <v>2.0000000000000009</v>
      </c>
      <c r="N1066" s="249" t="s">
        <v>0</v>
      </c>
      <c r="P1066" s="4"/>
      <c r="Q1066" s="4"/>
      <c r="R1066" s="4"/>
      <c r="S1066" s="4"/>
      <c r="T1066" s="4"/>
      <c r="U1066" s="4"/>
      <c r="V1066" s="4"/>
      <c r="W1066" s="4"/>
    </row>
    <row r="1067" spans="1:23" s="32" customFormat="1" hidden="1" x14ac:dyDescent="0.3">
      <c r="A1067" s="22" t="s">
        <v>20</v>
      </c>
      <c r="B1067" s="21">
        <v>46030</v>
      </c>
      <c r="C1067" s="22" t="s">
        <v>31</v>
      </c>
      <c r="D1067" s="217"/>
      <c r="E1067" s="217"/>
      <c r="F1067" s="244"/>
      <c r="G1067" s="220"/>
      <c r="H1067" s="220"/>
      <c r="I1067" s="220"/>
      <c r="J1067" s="23"/>
      <c r="K1067" s="47">
        <v>0.35416666666666669</v>
      </c>
      <c r="L1067" s="45">
        <v>0.4375</v>
      </c>
      <c r="M1067" s="11">
        <f t="shared" si="16"/>
        <v>1.9999999999999996</v>
      </c>
      <c r="N1067" s="249"/>
      <c r="P1067" s="4"/>
      <c r="Q1067" s="4"/>
      <c r="R1067" s="4"/>
      <c r="S1067" s="4"/>
      <c r="T1067" s="4"/>
      <c r="U1067" s="4"/>
      <c r="V1067" s="4"/>
      <c r="W1067" s="4"/>
    </row>
    <row r="1068" spans="1:23" s="32" customFormat="1" hidden="1" x14ac:dyDescent="0.3">
      <c r="A1068" s="22" t="s">
        <v>20</v>
      </c>
      <c r="B1068" s="21">
        <v>46030</v>
      </c>
      <c r="C1068" s="22" t="s">
        <v>15</v>
      </c>
      <c r="D1068" s="13" t="s">
        <v>65</v>
      </c>
      <c r="E1068" s="24" t="s">
        <v>615</v>
      </c>
      <c r="F1068" s="3" t="s">
        <v>756</v>
      </c>
      <c r="G1068" s="21">
        <v>46020</v>
      </c>
      <c r="H1068" s="21">
        <v>46030</v>
      </c>
      <c r="I1068" s="21">
        <v>46030</v>
      </c>
      <c r="J1068" s="17"/>
      <c r="K1068" s="47">
        <v>0.27083333333333331</v>
      </c>
      <c r="L1068" s="48">
        <v>0.39583333333333331</v>
      </c>
      <c r="M1068" s="11">
        <f t="shared" si="16"/>
        <v>3</v>
      </c>
      <c r="N1068" s="22" t="s">
        <v>0</v>
      </c>
      <c r="P1068" s="4"/>
      <c r="Q1068" s="4"/>
      <c r="R1068" s="4"/>
      <c r="S1068" s="4"/>
      <c r="T1068" s="4"/>
      <c r="U1068" s="4"/>
      <c r="V1068" s="4"/>
      <c r="W1068" s="4"/>
    </row>
    <row r="1069" spans="1:23" s="32" customFormat="1" hidden="1" x14ac:dyDescent="0.3">
      <c r="A1069" s="22" t="s">
        <v>20</v>
      </c>
      <c r="B1069" s="21">
        <v>46030</v>
      </c>
      <c r="C1069" s="22" t="s">
        <v>167</v>
      </c>
      <c r="D1069" s="13" t="s">
        <v>65</v>
      </c>
      <c r="E1069" s="13" t="s">
        <v>766</v>
      </c>
      <c r="F1069" s="3" t="s">
        <v>673</v>
      </c>
      <c r="G1069" s="21">
        <v>46030</v>
      </c>
      <c r="H1069" s="21">
        <v>46030</v>
      </c>
      <c r="I1069" s="21">
        <v>46030</v>
      </c>
      <c r="J1069" s="17"/>
      <c r="K1069" s="47">
        <v>0.35416666666666669</v>
      </c>
      <c r="L1069" s="48">
        <v>0.72916666666666663</v>
      </c>
      <c r="M1069" s="11">
        <f t="shared" si="16"/>
        <v>8.9999999999999982</v>
      </c>
      <c r="N1069" s="11" t="s">
        <v>0</v>
      </c>
      <c r="P1069" s="4"/>
      <c r="Q1069" s="4"/>
      <c r="R1069" s="4"/>
      <c r="S1069" s="4"/>
      <c r="T1069" s="4"/>
      <c r="U1069" s="4"/>
      <c r="V1069" s="4"/>
      <c r="W1069" s="4"/>
    </row>
    <row r="1070" spans="1:23" s="32" customFormat="1" hidden="1" x14ac:dyDescent="0.3">
      <c r="A1070" s="22" t="s">
        <v>20</v>
      </c>
      <c r="B1070" s="21">
        <v>46030</v>
      </c>
      <c r="C1070" s="22" t="s">
        <v>17</v>
      </c>
      <c r="D1070" s="216" t="s">
        <v>65</v>
      </c>
      <c r="E1070" s="214" t="s">
        <v>556</v>
      </c>
      <c r="F1070" s="243" t="s">
        <v>59</v>
      </c>
      <c r="G1070" s="219">
        <v>46029</v>
      </c>
      <c r="H1070" s="219">
        <v>46030</v>
      </c>
      <c r="I1070" s="219">
        <v>46030</v>
      </c>
      <c r="J1070" s="17"/>
      <c r="K1070" s="47">
        <v>0.41666666666666669</v>
      </c>
      <c r="L1070" s="48">
        <v>0.72916666666666663</v>
      </c>
      <c r="M1070" s="11">
        <f t="shared" si="16"/>
        <v>7.4999999999999982</v>
      </c>
      <c r="N1070" s="214" t="s">
        <v>0</v>
      </c>
      <c r="P1070" s="4"/>
      <c r="Q1070" s="4"/>
      <c r="R1070" s="4"/>
      <c r="S1070" s="4"/>
      <c r="T1070" s="4"/>
      <c r="U1070" s="4"/>
      <c r="V1070" s="4"/>
      <c r="W1070" s="4"/>
    </row>
    <row r="1071" spans="1:23" s="32" customFormat="1" hidden="1" x14ac:dyDescent="0.3">
      <c r="A1071" s="22" t="s">
        <v>20</v>
      </c>
      <c r="B1071" s="21">
        <v>46030</v>
      </c>
      <c r="C1071" s="22" t="s">
        <v>31</v>
      </c>
      <c r="D1071" s="217"/>
      <c r="E1071" s="215"/>
      <c r="F1071" s="244"/>
      <c r="G1071" s="220"/>
      <c r="H1071" s="220"/>
      <c r="I1071" s="220"/>
      <c r="J1071" s="23"/>
      <c r="K1071" s="47">
        <v>0.4375</v>
      </c>
      <c r="L1071" s="48">
        <v>0.5</v>
      </c>
      <c r="M1071" s="11">
        <f t="shared" si="16"/>
        <v>1.5</v>
      </c>
      <c r="N1071" s="215"/>
      <c r="P1071" s="4"/>
      <c r="Q1071" s="4"/>
      <c r="R1071" s="4"/>
      <c r="S1071" s="4"/>
      <c r="T1071" s="4"/>
      <c r="U1071" s="4"/>
      <c r="V1071" s="4"/>
      <c r="W1071" s="4"/>
    </row>
    <row r="1072" spans="1:23" s="32" customFormat="1" hidden="1" x14ac:dyDescent="0.3">
      <c r="A1072" s="22" t="s">
        <v>20</v>
      </c>
      <c r="B1072" s="21">
        <v>46030</v>
      </c>
      <c r="C1072" s="69" t="s">
        <v>16</v>
      </c>
      <c r="D1072" s="221" t="s">
        <v>65</v>
      </c>
      <c r="E1072" s="233" t="s">
        <v>611</v>
      </c>
      <c r="F1072" s="245" t="s">
        <v>755</v>
      </c>
      <c r="G1072" s="223">
        <v>46026</v>
      </c>
      <c r="H1072" s="223">
        <v>46030</v>
      </c>
      <c r="I1072" s="223">
        <v>46030</v>
      </c>
      <c r="J1072" s="17"/>
      <c r="K1072" s="47">
        <v>0.27083333333333331</v>
      </c>
      <c r="L1072" s="48">
        <v>0.72916666666666663</v>
      </c>
      <c r="M1072" s="11">
        <f t="shared" si="16"/>
        <v>11</v>
      </c>
      <c r="N1072" s="214" t="s">
        <v>0</v>
      </c>
      <c r="P1072" s="4"/>
      <c r="Q1072" s="4"/>
      <c r="R1072" s="4"/>
      <c r="S1072" s="4"/>
      <c r="T1072" s="4"/>
      <c r="U1072" s="4"/>
      <c r="V1072" s="4"/>
      <c r="W1072" s="4"/>
    </row>
    <row r="1073" spans="1:23" s="32" customFormat="1" hidden="1" x14ac:dyDescent="0.3">
      <c r="A1073" s="22" t="s">
        <v>20</v>
      </c>
      <c r="B1073" s="21">
        <v>46030</v>
      </c>
      <c r="C1073" s="69" t="s">
        <v>31</v>
      </c>
      <c r="D1073" s="221"/>
      <c r="E1073" s="233"/>
      <c r="F1073" s="245"/>
      <c r="G1073" s="223"/>
      <c r="H1073" s="223"/>
      <c r="I1073" s="223"/>
      <c r="J1073" s="21"/>
      <c r="K1073" s="45">
        <v>0.58333333333333337</v>
      </c>
      <c r="L1073" s="48">
        <v>0.66666666666666663</v>
      </c>
      <c r="M1073" s="11">
        <f t="shared" si="16"/>
        <v>1.9999999999999982</v>
      </c>
      <c r="N1073" s="215"/>
      <c r="P1073" s="4"/>
      <c r="Q1073" s="4"/>
      <c r="R1073" s="4"/>
      <c r="S1073" s="4"/>
      <c r="T1073" s="4"/>
      <c r="U1073" s="4"/>
      <c r="V1073" s="4"/>
      <c r="W1073" s="4"/>
    </row>
    <row r="1074" spans="1:23" s="32" customFormat="1" hidden="1" x14ac:dyDescent="0.3">
      <c r="A1074" s="22" t="s">
        <v>21</v>
      </c>
      <c r="B1074" s="21">
        <v>46031</v>
      </c>
      <c r="C1074" s="22" t="s">
        <v>26</v>
      </c>
      <c r="D1074" s="24" t="s">
        <v>24</v>
      </c>
      <c r="E1074" s="22" t="s">
        <v>775</v>
      </c>
      <c r="F1074" s="25" t="s">
        <v>81</v>
      </c>
      <c r="G1074" s="21">
        <v>46031</v>
      </c>
      <c r="H1074" s="21">
        <v>46031</v>
      </c>
      <c r="I1074" s="21"/>
      <c r="J1074" s="23"/>
      <c r="K1074" s="50">
        <v>0.27083333333333331</v>
      </c>
      <c r="L1074" s="48">
        <v>0.64583333333333337</v>
      </c>
      <c r="M1074" s="11">
        <f t="shared" si="16"/>
        <v>9.0000000000000018</v>
      </c>
      <c r="N1074" s="11" t="s">
        <v>1</v>
      </c>
      <c r="P1074" s="4"/>
      <c r="Q1074" s="4"/>
      <c r="R1074" s="4"/>
      <c r="S1074" s="4"/>
      <c r="T1074" s="4"/>
      <c r="U1074" s="4"/>
      <c r="V1074" s="4"/>
      <c r="W1074" s="4"/>
    </row>
    <row r="1075" spans="1:23" s="32" customFormat="1" hidden="1" x14ac:dyDescent="0.3">
      <c r="A1075" s="22" t="s">
        <v>21</v>
      </c>
      <c r="B1075" s="21">
        <v>46031</v>
      </c>
      <c r="C1075" s="22" t="s">
        <v>50</v>
      </c>
      <c r="D1075" s="24" t="s">
        <v>24</v>
      </c>
      <c r="E1075" s="22" t="s">
        <v>744</v>
      </c>
      <c r="F1075" s="25" t="s">
        <v>81</v>
      </c>
      <c r="G1075" s="21">
        <v>46030</v>
      </c>
      <c r="H1075" s="21">
        <v>46031</v>
      </c>
      <c r="I1075" s="17"/>
      <c r="J1075" s="23"/>
      <c r="K1075" s="50">
        <v>0.33333333333333331</v>
      </c>
      <c r="L1075" s="48">
        <v>0.70833333333333337</v>
      </c>
      <c r="M1075" s="11">
        <f t="shared" si="16"/>
        <v>9.0000000000000018</v>
      </c>
      <c r="N1075" s="11" t="s">
        <v>1</v>
      </c>
      <c r="P1075" s="4"/>
      <c r="Q1075" s="4"/>
      <c r="R1075" s="4"/>
      <c r="S1075" s="4"/>
      <c r="T1075" s="4"/>
      <c r="U1075" s="4"/>
      <c r="V1075" s="4"/>
      <c r="W1075" s="4"/>
    </row>
    <row r="1076" spans="1:23" s="32" customFormat="1" hidden="1" x14ac:dyDescent="0.3">
      <c r="A1076" s="22" t="s">
        <v>21</v>
      </c>
      <c r="B1076" s="21">
        <v>46031</v>
      </c>
      <c r="C1076" s="22" t="s">
        <v>37</v>
      </c>
      <c r="D1076" s="24" t="s">
        <v>24</v>
      </c>
      <c r="E1076" s="22" t="s">
        <v>677</v>
      </c>
      <c r="F1076" s="26" t="s">
        <v>745</v>
      </c>
      <c r="G1076" s="21">
        <v>46030</v>
      </c>
      <c r="H1076" s="21">
        <v>46031</v>
      </c>
      <c r="I1076" s="17"/>
      <c r="J1076" s="23"/>
      <c r="K1076" s="50">
        <v>0.27083333333333331</v>
      </c>
      <c r="L1076" s="48">
        <v>0.64583333333333337</v>
      </c>
      <c r="M1076" s="11">
        <f t="shared" si="16"/>
        <v>9.0000000000000018</v>
      </c>
      <c r="N1076" s="11" t="s">
        <v>1</v>
      </c>
      <c r="P1076" s="4"/>
      <c r="Q1076" s="4"/>
      <c r="R1076" s="4"/>
      <c r="S1076" s="4"/>
      <c r="T1076" s="4"/>
      <c r="U1076" s="4"/>
      <c r="V1076" s="4"/>
      <c r="W1076" s="4"/>
    </row>
    <row r="1077" spans="1:23" s="32" customFormat="1" hidden="1" x14ac:dyDescent="0.3">
      <c r="A1077" s="22" t="s">
        <v>21</v>
      </c>
      <c r="B1077" s="21">
        <v>46031</v>
      </c>
      <c r="C1077" s="22" t="s">
        <v>274</v>
      </c>
      <c r="D1077" s="214" t="s">
        <v>8</v>
      </c>
      <c r="E1077" s="214" t="s">
        <v>682</v>
      </c>
      <c r="F1077" s="241" t="s">
        <v>764</v>
      </c>
      <c r="G1077" s="219">
        <v>46031</v>
      </c>
      <c r="H1077" s="219">
        <v>46031</v>
      </c>
      <c r="I1077" s="219"/>
      <c r="J1077" s="23"/>
      <c r="K1077" s="50">
        <v>0.27083333333333331</v>
      </c>
      <c r="L1077" s="48">
        <v>0.72916666666666663</v>
      </c>
      <c r="M1077" s="11">
        <f t="shared" si="16"/>
        <v>11</v>
      </c>
      <c r="N1077" s="214" t="s">
        <v>1</v>
      </c>
      <c r="P1077" s="4"/>
      <c r="Q1077" s="4"/>
      <c r="R1077" s="4"/>
      <c r="S1077" s="4"/>
      <c r="T1077" s="4"/>
      <c r="U1077" s="4"/>
      <c r="V1077" s="4"/>
      <c r="W1077" s="4"/>
    </row>
    <row r="1078" spans="1:23" s="32" customFormat="1" hidden="1" x14ac:dyDescent="0.3">
      <c r="A1078" s="22" t="s">
        <v>21</v>
      </c>
      <c r="B1078" s="21">
        <v>46031</v>
      </c>
      <c r="C1078" s="22" t="s">
        <v>18</v>
      </c>
      <c r="D1078" s="215"/>
      <c r="E1078" s="215"/>
      <c r="F1078" s="248"/>
      <c r="G1078" s="220"/>
      <c r="H1078" s="220"/>
      <c r="I1078" s="220"/>
      <c r="J1078" s="23"/>
      <c r="K1078" s="50">
        <v>0.27083333333333331</v>
      </c>
      <c r="L1078" s="48">
        <v>0.72916666666666663</v>
      </c>
      <c r="M1078" s="11">
        <f t="shared" si="16"/>
        <v>11</v>
      </c>
      <c r="N1078" s="215"/>
      <c r="P1078" s="4"/>
      <c r="Q1078" s="4"/>
      <c r="R1078" s="4"/>
      <c r="S1078" s="4"/>
      <c r="T1078" s="4"/>
      <c r="U1078" s="4"/>
      <c r="V1078" s="4"/>
      <c r="W1078" s="4"/>
    </row>
    <row r="1079" spans="1:23" s="32" customFormat="1" hidden="1" x14ac:dyDescent="0.3">
      <c r="A1079" s="22" t="s">
        <v>21</v>
      </c>
      <c r="B1079" s="21">
        <v>46031</v>
      </c>
      <c r="C1079" s="22" t="s">
        <v>320</v>
      </c>
      <c r="D1079" s="22" t="s">
        <v>43</v>
      </c>
      <c r="E1079" s="22" t="s">
        <v>748</v>
      </c>
      <c r="F1079" s="31" t="s">
        <v>774</v>
      </c>
      <c r="G1079" s="21">
        <v>46030</v>
      </c>
      <c r="H1079" s="21">
        <v>46032</v>
      </c>
      <c r="I1079" s="19"/>
      <c r="J1079" s="19"/>
      <c r="K1079" s="45">
        <v>0.27083333333333331</v>
      </c>
      <c r="L1079" s="48">
        <v>0.64583333333333337</v>
      </c>
      <c r="M1079" s="11">
        <f t="shared" si="16"/>
        <v>9.0000000000000018</v>
      </c>
      <c r="N1079" s="42" t="s">
        <v>0</v>
      </c>
      <c r="P1079" s="4"/>
      <c r="Q1079" s="4"/>
      <c r="R1079" s="4"/>
      <c r="S1079" s="4"/>
      <c r="T1079" s="4"/>
      <c r="U1079" s="4"/>
      <c r="V1079" s="4"/>
      <c r="W1079" s="4"/>
    </row>
    <row r="1080" spans="1:23" s="32" customFormat="1" hidden="1" x14ac:dyDescent="0.3">
      <c r="A1080" s="22" t="s">
        <v>21</v>
      </c>
      <c r="B1080" s="21">
        <v>46031</v>
      </c>
      <c r="C1080" s="22" t="s">
        <v>56</v>
      </c>
      <c r="D1080" s="22" t="s">
        <v>8</v>
      </c>
      <c r="E1080" s="22" t="s">
        <v>406</v>
      </c>
      <c r="F1080" s="31" t="s">
        <v>565</v>
      </c>
      <c r="G1080" s="19">
        <v>46031</v>
      </c>
      <c r="H1080" s="19">
        <v>46031</v>
      </c>
      <c r="I1080" s="21"/>
      <c r="J1080" s="21"/>
      <c r="K1080" s="45">
        <v>0.27083333333333331</v>
      </c>
      <c r="L1080" s="48">
        <v>0.64583333333333337</v>
      </c>
      <c r="M1080" s="11">
        <f t="shared" si="16"/>
        <v>9.0000000000000018</v>
      </c>
      <c r="N1080" s="67" t="s">
        <v>1</v>
      </c>
      <c r="P1080" s="4"/>
      <c r="Q1080" s="4"/>
      <c r="R1080" s="4"/>
      <c r="S1080" s="4"/>
      <c r="T1080" s="4"/>
      <c r="U1080" s="4"/>
      <c r="V1080" s="4"/>
      <c r="W1080" s="4"/>
    </row>
    <row r="1081" spans="1:23" s="32" customFormat="1" hidden="1" x14ac:dyDescent="0.3">
      <c r="A1081" s="22" t="s">
        <v>21</v>
      </c>
      <c r="B1081" s="21">
        <v>46031</v>
      </c>
      <c r="C1081" s="22" t="s">
        <v>771</v>
      </c>
      <c r="D1081" s="11" t="s">
        <v>43</v>
      </c>
      <c r="E1081" s="11" t="s">
        <v>772</v>
      </c>
      <c r="F1081" s="28" t="s">
        <v>773</v>
      </c>
      <c r="G1081" s="19">
        <v>46031</v>
      </c>
      <c r="H1081" s="19">
        <v>46032</v>
      </c>
      <c r="I1081" s="21"/>
      <c r="J1081" s="21"/>
      <c r="K1081" s="45">
        <v>0.35416666666666669</v>
      </c>
      <c r="L1081" s="48">
        <v>0.72916666666666663</v>
      </c>
      <c r="M1081" s="11">
        <f t="shared" si="16"/>
        <v>8.9999999999999982</v>
      </c>
      <c r="N1081" s="11" t="s">
        <v>1</v>
      </c>
      <c r="P1081" s="4"/>
      <c r="Q1081" s="4"/>
      <c r="R1081" s="4"/>
      <c r="S1081" s="4"/>
      <c r="T1081" s="4"/>
      <c r="U1081" s="4"/>
      <c r="V1081" s="4"/>
      <c r="W1081" s="4"/>
    </row>
    <row r="1082" spans="1:23" s="32" customFormat="1" hidden="1" x14ac:dyDescent="0.3">
      <c r="A1082" s="22" t="s">
        <v>21</v>
      </c>
      <c r="B1082" s="21">
        <v>46031</v>
      </c>
      <c r="C1082" s="22" t="s">
        <v>118</v>
      </c>
      <c r="D1082" s="216" t="s">
        <v>54</v>
      </c>
      <c r="E1082" s="214" t="s">
        <v>688</v>
      </c>
      <c r="F1082" s="214" t="s">
        <v>705</v>
      </c>
      <c r="G1082" s="219">
        <v>46028</v>
      </c>
      <c r="H1082" s="219">
        <v>46031</v>
      </c>
      <c r="I1082" s="21"/>
      <c r="J1082" s="21"/>
      <c r="K1082" s="45">
        <v>0.35416666666666669</v>
      </c>
      <c r="L1082" s="48">
        <v>0.72916666666666663</v>
      </c>
      <c r="M1082" s="11">
        <f t="shared" si="16"/>
        <v>8.9999999999999982</v>
      </c>
      <c r="N1082" s="214" t="s">
        <v>1</v>
      </c>
      <c r="P1082" s="4"/>
      <c r="Q1082" s="4"/>
      <c r="R1082" s="4"/>
      <c r="S1082" s="4"/>
      <c r="T1082" s="4"/>
      <c r="U1082" s="4"/>
      <c r="V1082" s="4"/>
      <c r="W1082" s="4"/>
    </row>
    <row r="1083" spans="1:23" s="32" customFormat="1" hidden="1" x14ac:dyDescent="0.3">
      <c r="A1083" s="22" t="s">
        <v>21</v>
      </c>
      <c r="B1083" s="21">
        <v>46031</v>
      </c>
      <c r="C1083" s="22" t="s">
        <v>34</v>
      </c>
      <c r="D1083" s="217"/>
      <c r="E1083" s="215"/>
      <c r="F1083" s="215"/>
      <c r="G1083" s="220"/>
      <c r="H1083" s="220"/>
      <c r="I1083" s="21"/>
      <c r="J1083" s="21"/>
      <c r="K1083" s="45">
        <v>0.35416666666666669</v>
      </c>
      <c r="L1083" s="48">
        <v>0.72916666666666663</v>
      </c>
      <c r="M1083" s="11">
        <f t="shared" si="16"/>
        <v>8.9999999999999982</v>
      </c>
      <c r="N1083" s="215"/>
      <c r="P1083" s="4"/>
      <c r="Q1083" s="4"/>
      <c r="R1083" s="4"/>
      <c r="S1083" s="4"/>
      <c r="T1083" s="4"/>
      <c r="U1083" s="4"/>
      <c r="V1083" s="4"/>
      <c r="W1083" s="4"/>
    </row>
    <row r="1084" spans="1:23" s="32" customFormat="1" hidden="1" x14ac:dyDescent="0.3">
      <c r="A1084" s="22" t="s">
        <v>21</v>
      </c>
      <c r="B1084" s="21">
        <v>46031</v>
      </c>
      <c r="C1084" s="22" t="s">
        <v>55</v>
      </c>
      <c r="D1084" s="13" t="s">
        <v>43</v>
      </c>
      <c r="E1084" s="13" t="s">
        <v>769</v>
      </c>
      <c r="F1084" s="28" t="s">
        <v>770</v>
      </c>
      <c r="G1084" s="23">
        <v>46031</v>
      </c>
      <c r="H1084" s="21">
        <v>46034</v>
      </c>
      <c r="I1084" s="21"/>
      <c r="J1084" s="21"/>
      <c r="K1084" s="45">
        <v>0.27083333333333331</v>
      </c>
      <c r="L1084" s="49">
        <v>0.64583333333333337</v>
      </c>
      <c r="M1084" s="11">
        <f t="shared" si="16"/>
        <v>9.0000000000000018</v>
      </c>
      <c r="N1084" s="11" t="s">
        <v>1</v>
      </c>
      <c r="P1084" s="4"/>
      <c r="Q1084" s="4"/>
      <c r="R1084" s="4"/>
      <c r="S1084" s="4"/>
      <c r="T1084" s="4"/>
      <c r="U1084" s="4"/>
      <c r="V1084" s="4"/>
      <c r="W1084" s="4"/>
    </row>
    <row r="1085" spans="1:23" s="32" customFormat="1" hidden="1" x14ac:dyDescent="0.3">
      <c r="A1085" s="22" t="s">
        <v>21</v>
      </c>
      <c r="B1085" s="21">
        <v>46031</v>
      </c>
      <c r="C1085" s="22" t="s">
        <v>25</v>
      </c>
      <c r="D1085" s="13" t="s">
        <v>43</v>
      </c>
      <c r="E1085" s="24" t="s">
        <v>746</v>
      </c>
      <c r="F1085" s="28" t="s">
        <v>773</v>
      </c>
      <c r="G1085" s="23">
        <v>46031</v>
      </c>
      <c r="H1085" s="21">
        <v>46032</v>
      </c>
      <c r="I1085" s="21"/>
      <c r="J1085" s="21"/>
      <c r="K1085" s="45">
        <v>0.27083333333333331</v>
      </c>
      <c r="L1085" s="48">
        <v>0.64583333333333337</v>
      </c>
      <c r="M1085" s="11">
        <f t="shared" si="16"/>
        <v>9.0000000000000018</v>
      </c>
      <c r="N1085" s="11" t="s">
        <v>0</v>
      </c>
      <c r="P1085" s="4"/>
      <c r="Q1085" s="4"/>
      <c r="R1085" s="4"/>
      <c r="S1085" s="4"/>
      <c r="T1085" s="4"/>
      <c r="U1085" s="4"/>
      <c r="V1085" s="4"/>
      <c r="W1085" s="4"/>
    </row>
    <row r="1086" spans="1:23" s="32" customFormat="1" hidden="1" x14ac:dyDescent="0.3">
      <c r="A1086" s="22" t="s">
        <v>19</v>
      </c>
      <c r="B1086" s="21">
        <v>46031</v>
      </c>
      <c r="C1086" s="22" t="s">
        <v>7</v>
      </c>
      <c r="D1086" s="216" t="s">
        <v>8</v>
      </c>
      <c r="E1086" s="216" t="s">
        <v>682</v>
      </c>
      <c r="F1086" s="216" t="s">
        <v>683</v>
      </c>
      <c r="G1086" s="219">
        <v>46028</v>
      </c>
      <c r="H1086" s="219">
        <v>46031</v>
      </c>
      <c r="I1086" s="21"/>
      <c r="J1086" s="21"/>
      <c r="K1086" s="45">
        <v>0.27083333333333331</v>
      </c>
      <c r="L1086" s="48">
        <v>0.64583333333333337</v>
      </c>
      <c r="M1086" s="11">
        <f t="shared" si="16"/>
        <v>9.0000000000000018</v>
      </c>
      <c r="N1086" s="214" t="s">
        <v>30</v>
      </c>
      <c r="P1086" s="4"/>
      <c r="Q1086" s="4"/>
      <c r="R1086" s="4"/>
      <c r="S1086" s="4"/>
      <c r="T1086" s="4"/>
      <c r="U1086" s="4"/>
      <c r="V1086" s="4"/>
      <c r="W1086" s="4"/>
    </row>
    <row r="1087" spans="1:23" s="32" customFormat="1" hidden="1" x14ac:dyDescent="0.3">
      <c r="A1087" s="22" t="s">
        <v>19</v>
      </c>
      <c r="B1087" s="21">
        <v>46031</v>
      </c>
      <c r="C1087" s="22" t="s">
        <v>9</v>
      </c>
      <c r="D1087" s="217"/>
      <c r="E1087" s="217"/>
      <c r="F1087" s="217"/>
      <c r="G1087" s="220"/>
      <c r="H1087" s="220"/>
      <c r="I1087" s="21"/>
      <c r="J1087" s="17"/>
      <c r="K1087" s="47">
        <v>0.27083333333333331</v>
      </c>
      <c r="L1087" s="48">
        <v>0.64583333333333337</v>
      </c>
      <c r="M1087" s="11">
        <f t="shared" si="16"/>
        <v>9.0000000000000018</v>
      </c>
      <c r="N1087" s="215"/>
      <c r="P1087" s="4"/>
      <c r="Q1087" s="4"/>
      <c r="R1087" s="4"/>
      <c r="S1087" s="4"/>
      <c r="T1087" s="4"/>
      <c r="U1087" s="4"/>
      <c r="V1087" s="4"/>
      <c r="W1087" s="4"/>
    </row>
    <row r="1088" spans="1:23" s="32" customFormat="1" hidden="1" x14ac:dyDescent="0.3">
      <c r="A1088" s="22" t="s">
        <v>19</v>
      </c>
      <c r="B1088" s="21">
        <v>46031</v>
      </c>
      <c r="C1088" s="22" t="s">
        <v>7</v>
      </c>
      <c r="D1088" s="14" t="s">
        <v>29</v>
      </c>
      <c r="E1088" s="20" t="s">
        <v>518</v>
      </c>
      <c r="F1088" s="20" t="s">
        <v>182</v>
      </c>
      <c r="G1088" s="23">
        <v>46031</v>
      </c>
      <c r="H1088" s="23">
        <v>46031</v>
      </c>
      <c r="I1088" s="21"/>
      <c r="J1088" s="17"/>
      <c r="K1088" s="47">
        <v>0.375</v>
      </c>
      <c r="L1088" s="48">
        <v>0.5</v>
      </c>
      <c r="M1088" s="11">
        <f t="shared" si="16"/>
        <v>3</v>
      </c>
      <c r="N1088" s="34" t="s">
        <v>0</v>
      </c>
      <c r="P1088" s="4"/>
      <c r="Q1088" s="4"/>
      <c r="R1088" s="4"/>
      <c r="S1088" s="4"/>
      <c r="T1088" s="4"/>
      <c r="U1088" s="4"/>
      <c r="V1088" s="4"/>
      <c r="W1088" s="4"/>
    </row>
    <row r="1089" spans="1:23" s="32" customFormat="1" hidden="1" x14ac:dyDescent="0.3">
      <c r="A1089" s="22" t="s">
        <v>19</v>
      </c>
      <c r="B1089" s="21">
        <v>46031</v>
      </c>
      <c r="C1089" s="22" t="s">
        <v>48</v>
      </c>
      <c r="D1089" s="216" t="s">
        <v>27</v>
      </c>
      <c r="E1089" s="222" t="s">
        <v>82</v>
      </c>
      <c r="F1089" s="222" t="s">
        <v>781</v>
      </c>
      <c r="G1089" s="219">
        <v>46031</v>
      </c>
      <c r="H1089" s="219">
        <v>46031</v>
      </c>
      <c r="I1089" s="21"/>
      <c r="J1089" s="17"/>
      <c r="K1089" s="47">
        <v>0.35416666666666669</v>
      </c>
      <c r="L1089" s="48">
        <v>0.52083333333333337</v>
      </c>
      <c r="M1089" s="11">
        <f t="shared" si="16"/>
        <v>4</v>
      </c>
      <c r="N1089" s="249" t="s">
        <v>0</v>
      </c>
      <c r="P1089" s="4"/>
      <c r="Q1089" s="4"/>
      <c r="R1089" s="4"/>
      <c r="S1089" s="4"/>
      <c r="T1089" s="4"/>
      <c r="U1089" s="4"/>
      <c r="V1089" s="4"/>
      <c r="W1089" s="4"/>
    </row>
    <row r="1090" spans="1:23" s="32" customFormat="1" hidden="1" x14ac:dyDescent="0.3">
      <c r="A1090" s="22" t="s">
        <v>19</v>
      </c>
      <c r="B1090" s="21">
        <v>46031</v>
      </c>
      <c r="C1090" s="22" t="s">
        <v>208</v>
      </c>
      <c r="D1090" s="217"/>
      <c r="E1090" s="217"/>
      <c r="F1090" s="217"/>
      <c r="G1090" s="220"/>
      <c r="H1090" s="220"/>
      <c r="I1090" s="21"/>
      <c r="J1090" s="17"/>
      <c r="K1090" s="47">
        <v>0.35416666666666669</v>
      </c>
      <c r="L1090" s="48">
        <v>0.52083333333333337</v>
      </c>
      <c r="M1090" s="11">
        <f t="shared" ref="M1090:M1153" si="17">MOD(L1090-K1090,1)*24</f>
        <v>4</v>
      </c>
      <c r="N1090" s="249"/>
      <c r="P1090" s="4"/>
      <c r="Q1090" s="4"/>
      <c r="R1090" s="4"/>
      <c r="S1090" s="4"/>
      <c r="T1090" s="4"/>
      <c r="U1090" s="4"/>
      <c r="V1090" s="4"/>
      <c r="W1090" s="4"/>
    </row>
    <row r="1091" spans="1:23" s="32" customFormat="1" hidden="1" x14ac:dyDescent="0.3">
      <c r="A1091" s="22" t="s">
        <v>19</v>
      </c>
      <c r="B1091" s="21">
        <v>46031</v>
      </c>
      <c r="C1091" s="22" t="s">
        <v>48</v>
      </c>
      <c r="D1091" s="216" t="s">
        <v>8</v>
      </c>
      <c r="E1091" s="216" t="s">
        <v>782</v>
      </c>
      <c r="F1091" s="216" t="s">
        <v>783</v>
      </c>
      <c r="G1091" s="218">
        <v>46031</v>
      </c>
      <c r="H1091" s="218">
        <v>46031</v>
      </c>
      <c r="I1091" s="216"/>
      <c r="J1091" s="13"/>
      <c r="K1091" s="47">
        <v>0.5625</v>
      </c>
      <c r="L1091" s="48">
        <v>0.72916666666666663</v>
      </c>
      <c r="M1091" s="11">
        <f t="shared" si="17"/>
        <v>3.9999999999999991</v>
      </c>
      <c r="N1091" s="224" t="s">
        <v>0</v>
      </c>
      <c r="P1091" s="4"/>
      <c r="Q1091" s="4"/>
      <c r="R1091" s="4"/>
      <c r="S1091" s="4"/>
      <c r="T1091" s="4"/>
      <c r="U1091" s="4"/>
      <c r="V1091" s="4"/>
      <c r="W1091" s="4"/>
    </row>
    <row r="1092" spans="1:23" s="32" customFormat="1" hidden="1" x14ac:dyDescent="0.3">
      <c r="A1092" s="22" t="s">
        <v>19</v>
      </c>
      <c r="B1092" s="21">
        <v>46031</v>
      </c>
      <c r="C1092" s="22" t="s">
        <v>208</v>
      </c>
      <c r="D1092" s="222"/>
      <c r="E1092" s="222"/>
      <c r="F1092" s="222"/>
      <c r="G1092" s="222"/>
      <c r="H1092" s="222"/>
      <c r="I1092" s="222"/>
      <c r="J1092" s="20"/>
      <c r="K1092" s="47">
        <v>0.5625</v>
      </c>
      <c r="L1092" s="48">
        <v>0.72916666666666663</v>
      </c>
      <c r="M1092" s="11">
        <f t="shared" si="17"/>
        <v>3.9999999999999991</v>
      </c>
      <c r="N1092" s="231"/>
      <c r="P1092" s="4"/>
      <c r="Q1092" s="4"/>
      <c r="R1092" s="4"/>
      <c r="S1092" s="4"/>
      <c r="T1092" s="4"/>
      <c r="U1092" s="4"/>
      <c r="V1092" s="4"/>
      <c r="W1092" s="4"/>
    </row>
    <row r="1093" spans="1:23" s="32" customFormat="1" hidden="1" x14ac:dyDescent="0.3">
      <c r="A1093" s="22" t="s">
        <v>19</v>
      </c>
      <c r="B1093" s="21">
        <v>46031</v>
      </c>
      <c r="C1093" s="22" t="s">
        <v>56</v>
      </c>
      <c r="D1093" s="217"/>
      <c r="E1093" s="217"/>
      <c r="F1093" s="217"/>
      <c r="G1093" s="217"/>
      <c r="H1093" s="217"/>
      <c r="I1093" s="217"/>
      <c r="J1093" s="20"/>
      <c r="K1093" s="47">
        <v>0.5625</v>
      </c>
      <c r="L1093" s="48">
        <v>0.72916666666666663</v>
      </c>
      <c r="M1093" s="11">
        <f t="shared" si="17"/>
        <v>3.9999999999999991</v>
      </c>
      <c r="N1093" s="225"/>
      <c r="P1093" s="4"/>
      <c r="Q1093" s="4"/>
      <c r="R1093" s="4"/>
      <c r="S1093" s="4"/>
      <c r="T1093" s="4"/>
      <c r="U1093" s="4"/>
      <c r="V1093" s="4"/>
      <c r="W1093" s="4"/>
    </row>
    <row r="1094" spans="1:23" s="32" customFormat="1" hidden="1" x14ac:dyDescent="0.3">
      <c r="A1094" s="22" t="s">
        <v>20</v>
      </c>
      <c r="B1094" s="21">
        <v>46031</v>
      </c>
      <c r="C1094" s="69" t="s">
        <v>12</v>
      </c>
      <c r="D1094" s="233" t="s">
        <v>27</v>
      </c>
      <c r="E1094" s="214" t="s">
        <v>802</v>
      </c>
      <c r="F1094" s="214" t="s">
        <v>776</v>
      </c>
      <c r="G1094" s="223">
        <v>46031</v>
      </c>
      <c r="H1094" s="223">
        <v>46031</v>
      </c>
      <c r="I1094" s="223"/>
      <c r="J1094" s="17"/>
      <c r="K1094" s="47">
        <v>0.27083333333333331</v>
      </c>
      <c r="L1094" s="48">
        <v>0.5</v>
      </c>
      <c r="M1094" s="11">
        <f t="shared" si="17"/>
        <v>5.5</v>
      </c>
      <c r="N1094" s="224" t="s">
        <v>0</v>
      </c>
      <c r="P1094" s="4"/>
      <c r="Q1094" s="4"/>
      <c r="R1094" s="4"/>
      <c r="S1094" s="4"/>
      <c r="T1094" s="4"/>
      <c r="U1094" s="4"/>
      <c r="V1094" s="4"/>
      <c r="W1094" s="4"/>
    </row>
    <row r="1095" spans="1:23" s="32" customFormat="1" hidden="1" x14ac:dyDescent="0.3">
      <c r="A1095" s="22" t="s">
        <v>20</v>
      </c>
      <c r="B1095" s="21">
        <v>46031</v>
      </c>
      <c r="C1095" s="69" t="s">
        <v>33</v>
      </c>
      <c r="D1095" s="233"/>
      <c r="E1095" s="215"/>
      <c r="F1095" s="215"/>
      <c r="G1095" s="223"/>
      <c r="H1095" s="223"/>
      <c r="I1095" s="223"/>
      <c r="J1095" s="17"/>
      <c r="K1095" s="47">
        <v>0.27083333333333331</v>
      </c>
      <c r="L1095" s="48">
        <v>0.5</v>
      </c>
      <c r="M1095" s="11">
        <f t="shared" si="17"/>
        <v>5.5</v>
      </c>
      <c r="N1095" s="231"/>
      <c r="P1095" s="4"/>
      <c r="Q1095" s="4"/>
      <c r="R1095" s="4"/>
      <c r="S1095" s="4"/>
      <c r="T1095" s="4"/>
      <c r="U1095" s="4"/>
      <c r="V1095" s="4"/>
      <c r="W1095" s="4"/>
    </row>
    <row r="1096" spans="1:23" s="32" customFormat="1" hidden="1" x14ac:dyDescent="0.3">
      <c r="A1096" s="22" t="s">
        <v>20</v>
      </c>
      <c r="B1096" s="21">
        <v>46031</v>
      </c>
      <c r="C1096" s="69" t="s">
        <v>12</v>
      </c>
      <c r="D1096" s="214" t="s">
        <v>44</v>
      </c>
      <c r="E1096" s="233" t="s">
        <v>767</v>
      </c>
      <c r="F1096" s="242" t="s">
        <v>768</v>
      </c>
      <c r="G1096" s="223">
        <v>46031</v>
      </c>
      <c r="H1096" s="223">
        <v>46031</v>
      </c>
      <c r="I1096" s="219"/>
      <c r="J1096" s="17"/>
      <c r="K1096" s="48">
        <v>0.5</v>
      </c>
      <c r="L1096" s="48">
        <v>0.64583333333333337</v>
      </c>
      <c r="M1096" s="11">
        <f t="shared" si="17"/>
        <v>3.5000000000000009</v>
      </c>
      <c r="N1096" s="227" t="s">
        <v>1</v>
      </c>
      <c r="P1096" s="4"/>
      <c r="Q1096" s="4"/>
      <c r="R1096" s="4"/>
      <c r="S1096" s="4"/>
      <c r="T1096" s="4"/>
      <c r="U1096" s="4"/>
      <c r="V1096" s="4"/>
      <c r="W1096" s="4"/>
    </row>
    <row r="1097" spans="1:23" s="32" customFormat="1" hidden="1" x14ac:dyDescent="0.3">
      <c r="A1097" s="22" t="s">
        <v>20</v>
      </c>
      <c r="B1097" s="21">
        <v>46031</v>
      </c>
      <c r="C1097" s="69" t="s">
        <v>33</v>
      </c>
      <c r="D1097" s="215"/>
      <c r="E1097" s="233"/>
      <c r="F1097" s="248"/>
      <c r="G1097" s="223"/>
      <c r="H1097" s="223"/>
      <c r="I1097" s="220"/>
      <c r="J1097" s="19"/>
      <c r="K1097" s="48">
        <v>0.5</v>
      </c>
      <c r="L1097" s="48">
        <v>0.64583333333333337</v>
      </c>
      <c r="M1097" s="11">
        <f t="shared" si="17"/>
        <v>3.5000000000000009</v>
      </c>
      <c r="N1097" s="228"/>
      <c r="P1097" s="4"/>
      <c r="Q1097" s="4"/>
      <c r="R1097" s="4"/>
      <c r="S1097" s="4"/>
      <c r="T1097" s="4"/>
      <c r="U1097" s="4"/>
      <c r="V1097" s="4"/>
      <c r="W1097" s="4"/>
    </row>
    <row r="1098" spans="1:23" s="32" customFormat="1" hidden="1" x14ac:dyDescent="0.3">
      <c r="A1098" s="22" t="s">
        <v>20</v>
      </c>
      <c r="B1098" s="21">
        <v>46031</v>
      </c>
      <c r="C1098" s="69" t="s">
        <v>444</v>
      </c>
      <c r="D1098" s="214" t="s">
        <v>44</v>
      </c>
      <c r="E1098" s="226" t="s">
        <v>777</v>
      </c>
      <c r="F1098" s="242" t="s">
        <v>778</v>
      </c>
      <c r="G1098" s="223">
        <v>46031</v>
      </c>
      <c r="H1098" s="223">
        <v>46031</v>
      </c>
      <c r="I1098" s="21"/>
      <c r="J1098" s="21"/>
      <c r="K1098" s="48">
        <v>0.35416666666666669</v>
      </c>
      <c r="L1098" s="48">
        <v>0.4375</v>
      </c>
      <c r="M1098" s="11">
        <f t="shared" si="17"/>
        <v>1.9999999999999996</v>
      </c>
      <c r="N1098" s="224" t="s">
        <v>0</v>
      </c>
      <c r="P1098" s="4"/>
      <c r="Q1098" s="4"/>
      <c r="R1098" s="4"/>
      <c r="S1098" s="4"/>
      <c r="T1098" s="4"/>
      <c r="U1098" s="4"/>
      <c r="V1098" s="4"/>
      <c r="W1098" s="4"/>
    </row>
    <row r="1099" spans="1:23" s="32" customFormat="1" hidden="1" x14ac:dyDescent="0.3">
      <c r="A1099" s="22" t="s">
        <v>20</v>
      </c>
      <c r="B1099" s="21">
        <v>46031</v>
      </c>
      <c r="C1099" s="69" t="s">
        <v>421</v>
      </c>
      <c r="D1099" s="215"/>
      <c r="E1099" s="215"/>
      <c r="F1099" s="248"/>
      <c r="G1099" s="223"/>
      <c r="H1099" s="223"/>
      <c r="I1099" s="21"/>
      <c r="J1099" s="21"/>
      <c r="K1099" s="48">
        <v>0.35416666666666669</v>
      </c>
      <c r="L1099" s="48">
        <v>0.4375</v>
      </c>
      <c r="M1099" s="11">
        <f t="shared" si="17"/>
        <v>1.9999999999999996</v>
      </c>
      <c r="N1099" s="225"/>
      <c r="P1099" s="4"/>
      <c r="Q1099" s="4"/>
      <c r="R1099" s="4"/>
      <c r="S1099" s="4"/>
      <c r="T1099" s="4"/>
      <c r="U1099" s="4"/>
      <c r="V1099" s="4"/>
      <c r="W1099" s="4"/>
    </row>
    <row r="1100" spans="1:23" s="32" customFormat="1" hidden="1" x14ac:dyDescent="0.3">
      <c r="A1100" s="22" t="s">
        <v>20</v>
      </c>
      <c r="B1100" s="21">
        <v>46031</v>
      </c>
      <c r="C1100" s="69" t="s">
        <v>444</v>
      </c>
      <c r="D1100" s="214" t="s">
        <v>44</v>
      </c>
      <c r="E1100" s="214" t="s">
        <v>779</v>
      </c>
      <c r="F1100" s="214" t="s">
        <v>780</v>
      </c>
      <c r="G1100" s="223">
        <v>46031</v>
      </c>
      <c r="H1100" s="223">
        <v>46031</v>
      </c>
      <c r="I1100" s="21"/>
      <c r="J1100" s="21"/>
      <c r="K1100" s="48">
        <v>0.4375</v>
      </c>
      <c r="L1100" s="48">
        <v>0.72916666666666663</v>
      </c>
      <c r="M1100" s="11">
        <f t="shared" si="17"/>
        <v>6.9999999999999991</v>
      </c>
      <c r="N1100" s="227" t="s">
        <v>1</v>
      </c>
      <c r="P1100" s="4"/>
      <c r="Q1100" s="4"/>
      <c r="R1100" s="4"/>
      <c r="S1100" s="4"/>
      <c r="T1100" s="4"/>
      <c r="U1100" s="4"/>
      <c r="V1100" s="4"/>
      <c r="W1100" s="4"/>
    </row>
    <row r="1101" spans="1:23" s="32" customFormat="1" hidden="1" x14ac:dyDescent="0.3">
      <c r="A1101" s="22" t="s">
        <v>20</v>
      </c>
      <c r="B1101" s="21">
        <v>46031</v>
      </c>
      <c r="C1101" s="69" t="s">
        <v>421</v>
      </c>
      <c r="D1101" s="215"/>
      <c r="E1101" s="215"/>
      <c r="F1101" s="215"/>
      <c r="G1101" s="223"/>
      <c r="H1101" s="223"/>
      <c r="I1101" s="21"/>
      <c r="J1101" s="21"/>
      <c r="K1101" s="48">
        <v>0.4375</v>
      </c>
      <c r="L1101" s="48">
        <v>0.72916666666666663</v>
      </c>
      <c r="M1101" s="11">
        <f t="shared" si="17"/>
        <v>6.9999999999999991</v>
      </c>
      <c r="N1101" s="228"/>
      <c r="P1101" s="4"/>
      <c r="Q1101" s="4"/>
      <c r="R1101" s="4"/>
      <c r="S1101" s="4"/>
      <c r="T1101" s="4"/>
      <c r="U1101" s="4"/>
      <c r="V1101" s="4"/>
      <c r="W1101" s="4"/>
    </row>
    <row r="1102" spans="1:23" s="32" customFormat="1" hidden="1" x14ac:dyDescent="0.3">
      <c r="A1102" s="22" t="s">
        <v>20</v>
      </c>
      <c r="B1102" s="21">
        <v>46031</v>
      </c>
      <c r="C1102" s="22" t="s">
        <v>28</v>
      </c>
      <c r="D1102" s="13" t="s">
        <v>65</v>
      </c>
      <c r="E1102" s="13" t="s">
        <v>787</v>
      </c>
      <c r="F1102" s="26" t="s">
        <v>229</v>
      </c>
      <c r="G1102" s="21">
        <v>46031</v>
      </c>
      <c r="H1102" s="21">
        <v>46031</v>
      </c>
      <c r="I1102" s="21"/>
      <c r="J1102" s="17"/>
      <c r="K1102" s="47">
        <v>0.27083333333333331</v>
      </c>
      <c r="L1102" s="48">
        <v>0.72916666666666663</v>
      </c>
      <c r="M1102" s="11">
        <f t="shared" si="17"/>
        <v>11</v>
      </c>
      <c r="N1102" s="42" t="s">
        <v>0</v>
      </c>
      <c r="P1102" s="4"/>
      <c r="Q1102" s="4"/>
      <c r="R1102" s="4"/>
      <c r="S1102" s="4"/>
      <c r="T1102" s="4"/>
      <c r="U1102" s="4"/>
      <c r="V1102" s="4"/>
      <c r="W1102" s="4"/>
    </row>
    <row r="1103" spans="1:23" s="32" customFormat="1" hidden="1" x14ac:dyDescent="0.3">
      <c r="A1103" s="22" t="s">
        <v>20</v>
      </c>
      <c r="B1103" s="21">
        <v>46031</v>
      </c>
      <c r="C1103" s="22" t="s">
        <v>47</v>
      </c>
      <c r="D1103" s="216" t="s">
        <v>65</v>
      </c>
      <c r="E1103" s="216" t="s">
        <v>753</v>
      </c>
      <c r="F1103" s="243" t="s">
        <v>788</v>
      </c>
      <c r="G1103" s="219">
        <v>46030</v>
      </c>
      <c r="H1103" s="219">
        <v>46031</v>
      </c>
      <c r="I1103" s="219"/>
      <c r="J1103" s="17"/>
      <c r="K1103" s="47">
        <v>0.27083333333333331</v>
      </c>
      <c r="L1103" s="48">
        <v>0.72916666666666663</v>
      </c>
      <c r="M1103" s="11">
        <f t="shared" si="17"/>
        <v>11</v>
      </c>
      <c r="N1103" s="231" t="s">
        <v>0</v>
      </c>
      <c r="P1103" s="4"/>
      <c r="Q1103" s="4"/>
      <c r="R1103" s="4"/>
      <c r="S1103" s="4"/>
      <c r="T1103" s="4"/>
      <c r="U1103" s="4"/>
      <c r="V1103" s="4"/>
      <c r="W1103" s="4"/>
    </row>
    <row r="1104" spans="1:23" s="32" customFormat="1" hidden="1" x14ac:dyDescent="0.3">
      <c r="A1104" s="22" t="s">
        <v>20</v>
      </c>
      <c r="B1104" s="21">
        <v>46031</v>
      </c>
      <c r="C1104" s="22" t="s">
        <v>31</v>
      </c>
      <c r="D1104" s="217"/>
      <c r="E1104" s="217"/>
      <c r="F1104" s="244"/>
      <c r="G1104" s="220"/>
      <c r="H1104" s="220"/>
      <c r="I1104" s="220"/>
      <c r="J1104" s="23"/>
      <c r="K1104" s="47">
        <v>0.27083333333333331</v>
      </c>
      <c r="L1104" s="48">
        <v>0.35416666666666669</v>
      </c>
      <c r="M1104" s="11">
        <f t="shared" si="17"/>
        <v>2.0000000000000009</v>
      </c>
      <c r="N1104" s="225"/>
      <c r="P1104" s="4"/>
      <c r="Q1104" s="4"/>
      <c r="R1104" s="4"/>
      <c r="S1104" s="4"/>
      <c r="T1104" s="4"/>
      <c r="U1104" s="4"/>
      <c r="V1104" s="4"/>
      <c r="W1104" s="4"/>
    </row>
    <row r="1105" spans="1:23" s="32" customFormat="1" hidden="1" x14ac:dyDescent="0.3">
      <c r="A1105" s="22" t="s">
        <v>20</v>
      </c>
      <c r="B1105" s="21">
        <v>46031</v>
      </c>
      <c r="C1105" s="22" t="s">
        <v>167</v>
      </c>
      <c r="D1105" s="216" t="s">
        <v>65</v>
      </c>
      <c r="E1105" s="216" t="s">
        <v>785</v>
      </c>
      <c r="F1105" s="243" t="s">
        <v>786</v>
      </c>
      <c r="G1105" s="219">
        <v>46031</v>
      </c>
      <c r="H1105" s="219">
        <v>46031</v>
      </c>
      <c r="I1105" s="219"/>
      <c r="J1105" s="17"/>
      <c r="K1105" s="47">
        <v>0.4375</v>
      </c>
      <c r="L1105" s="48">
        <v>0.72916666666666663</v>
      </c>
      <c r="M1105" s="11">
        <f t="shared" si="17"/>
        <v>6.9999999999999991</v>
      </c>
      <c r="N1105" s="249" t="s">
        <v>0</v>
      </c>
      <c r="P1105" s="4"/>
      <c r="Q1105" s="4"/>
      <c r="R1105" s="4"/>
      <c r="S1105" s="4"/>
      <c r="T1105" s="4"/>
      <c r="U1105" s="4"/>
      <c r="V1105" s="4"/>
      <c r="W1105" s="4"/>
    </row>
    <row r="1106" spans="1:23" s="32" customFormat="1" hidden="1" x14ac:dyDescent="0.3">
      <c r="A1106" s="22" t="s">
        <v>20</v>
      </c>
      <c r="B1106" s="21">
        <v>46031</v>
      </c>
      <c r="C1106" s="22" t="s">
        <v>31</v>
      </c>
      <c r="D1106" s="217"/>
      <c r="E1106" s="217"/>
      <c r="F1106" s="244"/>
      <c r="G1106" s="220"/>
      <c r="H1106" s="220"/>
      <c r="I1106" s="220"/>
      <c r="J1106" s="23"/>
      <c r="K1106" s="47">
        <v>0.35416666666666669</v>
      </c>
      <c r="L1106" s="45">
        <v>0.4375</v>
      </c>
      <c r="M1106" s="11">
        <f t="shared" si="17"/>
        <v>1.9999999999999996</v>
      </c>
      <c r="N1106" s="249"/>
      <c r="P1106" s="4"/>
      <c r="Q1106" s="4"/>
      <c r="R1106" s="4"/>
      <c r="S1106" s="4"/>
      <c r="T1106" s="4"/>
      <c r="U1106" s="4"/>
      <c r="V1106" s="4"/>
      <c r="W1106" s="4"/>
    </row>
    <row r="1107" spans="1:23" s="32" customFormat="1" hidden="1" x14ac:dyDescent="0.3">
      <c r="A1107" s="22" t="s">
        <v>20</v>
      </c>
      <c r="B1107" s="21">
        <v>46031</v>
      </c>
      <c r="C1107" s="22" t="s">
        <v>15</v>
      </c>
      <c r="D1107" s="13" t="s">
        <v>65</v>
      </c>
      <c r="E1107" s="24" t="s">
        <v>791</v>
      </c>
      <c r="F1107" s="3" t="s">
        <v>792</v>
      </c>
      <c r="G1107" s="21">
        <v>46030</v>
      </c>
      <c r="H1107" s="21">
        <v>46031</v>
      </c>
      <c r="I1107" s="21"/>
      <c r="J1107" s="17"/>
      <c r="K1107" s="47">
        <v>0.27083333333333331</v>
      </c>
      <c r="L1107" s="48">
        <v>0.39583333333333331</v>
      </c>
      <c r="M1107" s="11">
        <f t="shared" si="17"/>
        <v>3</v>
      </c>
      <c r="N1107" s="22" t="s">
        <v>1</v>
      </c>
      <c r="P1107" s="4"/>
      <c r="Q1107" s="4"/>
      <c r="R1107" s="4"/>
      <c r="S1107" s="4"/>
      <c r="T1107" s="4"/>
      <c r="U1107" s="4"/>
      <c r="V1107" s="4"/>
      <c r="W1107" s="4"/>
    </row>
    <row r="1108" spans="1:23" s="32" customFormat="1" hidden="1" x14ac:dyDescent="0.3">
      <c r="A1108" s="22" t="s">
        <v>20</v>
      </c>
      <c r="B1108" s="21">
        <v>46031</v>
      </c>
      <c r="C1108" s="22" t="s">
        <v>167</v>
      </c>
      <c r="D1108" s="13" t="s">
        <v>65</v>
      </c>
      <c r="E1108" s="13" t="s">
        <v>766</v>
      </c>
      <c r="F1108" s="3" t="s">
        <v>673</v>
      </c>
      <c r="G1108" s="21">
        <v>46030</v>
      </c>
      <c r="H1108" s="21">
        <v>46031</v>
      </c>
      <c r="I1108" s="21"/>
      <c r="J1108" s="17"/>
      <c r="K1108" s="47">
        <v>0.27083333333333331</v>
      </c>
      <c r="L1108" s="48">
        <v>0.72916666666666663</v>
      </c>
      <c r="M1108" s="11">
        <f t="shared" si="17"/>
        <v>11</v>
      </c>
      <c r="N1108" s="11" t="s">
        <v>0</v>
      </c>
      <c r="P1108" s="4"/>
      <c r="Q1108" s="4"/>
      <c r="R1108" s="4"/>
      <c r="S1108" s="4"/>
      <c r="T1108" s="4"/>
      <c r="U1108" s="4"/>
      <c r="V1108" s="4"/>
      <c r="W1108" s="4"/>
    </row>
    <row r="1109" spans="1:23" s="32" customFormat="1" hidden="1" x14ac:dyDescent="0.3">
      <c r="A1109" s="22" t="s">
        <v>20</v>
      </c>
      <c r="B1109" s="21">
        <v>46031</v>
      </c>
      <c r="C1109" s="22" t="s">
        <v>17</v>
      </c>
      <c r="D1109" s="216" t="s">
        <v>65</v>
      </c>
      <c r="E1109" s="214" t="s">
        <v>784</v>
      </c>
      <c r="F1109" s="243" t="s">
        <v>115</v>
      </c>
      <c r="G1109" s="219">
        <v>46029</v>
      </c>
      <c r="H1109" s="219">
        <v>46031</v>
      </c>
      <c r="I1109" s="219"/>
      <c r="J1109" s="17"/>
      <c r="K1109" s="47">
        <v>0.27083333333333331</v>
      </c>
      <c r="L1109" s="48">
        <v>0.72916666666666663</v>
      </c>
      <c r="M1109" s="11">
        <f t="shared" si="17"/>
        <v>11</v>
      </c>
      <c r="N1109" s="214" t="s">
        <v>0</v>
      </c>
      <c r="P1109" s="4"/>
      <c r="Q1109" s="4"/>
      <c r="R1109" s="4"/>
      <c r="S1109" s="4"/>
      <c r="T1109" s="4"/>
      <c r="U1109" s="4"/>
      <c r="V1109" s="4"/>
      <c r="W1109" s="4"/>
    </row>
    <row r="1110" spans="1:23" s="32" customFormat="1" hidden="1" x14ac:dyDescent="0.3">
      <c r="A1110" s="22" t="s">
        <v>20</v>
      </c>
      <c r="B1110" s="21">
        <v>46031</v>
      </c>
      <c r="C1110" s="22" t="s">
        <v>31</v>
      </c>
      <c r="D1110" s="217"/>
      <c r="E1110" s="215"/>
      <c r="F1110" s="244"/>
      <c r="G1110" s="220"/>
      <c r="H1110" s="220"/>
      <c r="I1110" s="220"/>
      <c r="J1110" s="23"/>
      <c r="K1110" s="47">
        <v>0.4375</v>
      </c>
      <c r="L1110" s="48">
        <v>0.5</v>
      </c>
      <c r="M1110" s="11">
        <f t="shared" si="17"/>
        <v>1.5</v>
      </c>
      <c r="N1110" s="215"/>
      <c r="P1110" s="4"/>
      <c r="Q1110" s="4"/>
      <c r="R1110" s="4"/>
      <c r="S1110" s="4"/>
      <c r="T1110" s="4"/>
      <c r="U1110" s="4"/>
      <c r="V1110" s="4"/>
      <c r="W1110" s="4"/>
    </row>
    <row r="1111" spans="1:23" s="32" customFormat="1" hidden="1" x14ac:dyDescent="0.3">
      <c r="A1111" s="22" t="s">
        <v>20</v>
      </c>
      <c r="B1111" s="21">
        <v>46031</v>
      </c>
      <c r="C1111" s="69" t="s">
        <v>16</v>
      </c>
      <c r="D1111" s="221" t="s">
        <v>65</v>
      </c>
      <c r="E1111" s="233" t="s">
        <v>447</v>
      </c>
      <c r="F1111" s="245" t="s">
        <v>789</v>
      </c>
      <c r="G1111" s="223">
        <v>46026</v>
      </c>
      <c r="H1111" s="223">
        <v>46031</v>
      </c>
      <c r="I1111" s="223"/>
      <c r="J1111" s="17"/>
      <c r="K1111" s="47">
        <v>0.27083333333333331</v>
      </c>
      <c r="L1111" s="48">
        <v>0.64583333333333337</v>
      </c>
      <c r="M1111" s="11">
        <f t="shared" si="17"/>
        <v>9.0000000000000018</v>
      </c>
      <c r="N1111" s="214" t="s">
        <v>0</v>
      </c>
      <c r="P1111" s="4"/>
      <c r="Q1111" s="4"/>
      <c r="R1111" s="4"/>
      <c r="S1111" s="4"/>
      <c r="T1111" s="4"/>
      <c r="U1111" s="4"/>
      <c r="V1111" s="4"/>
      <c r="W1111" s="4"/>
    </row>
    <row r="1112" spans="1:23" s="32" customFormat="1" hidden="1" x14ac:dyDescent="0.3">
      <c r="A1112" s="22" t="s">
        <v>20</v>
      </c>
      <c r="B1112" s="21">
        <v>46031</v>
      </c>
      <c r="C1112" s="69" t="s">
        <v>31</v>
      </c>
      <c r="D1112" s="221"/>
      <c r="E1112" s="233"/>
      <c r="F1112" s="245"/>
      <c r="G1112" s="223"/>
      <c r="H1112" s="223"/>
      <c r="I1112" s="223"/>
      <c r="J1112" s="21"/>
      <c r="K1112" s="45">
        <v>0.58333333333333337</v>
      </c>
      <c r="L1112" s="48">
        <v>0.66666666666666663</v>
      </c>
      <c r="M1112" s="11">
        <f t="shared" si="17"/>
        <v>1.9999999999999982</v>
      </c>
      <c r="N1112" s="215"/>
      <c r="P1112" s="4"/>
      <c r="Q1112" s="4"/>
      <c r="R1112" s="4"/>
      <c r="S1112" s="4"/>
      <c r="T1112" s="4"/>
      <c r="U1112" s="4"/>
      <c r="V1112" s="4"/>
      <c r="W1112" s="4"/>
    </row>
    <row r="1113" spans="1:23" s="32" customFormat="1" hidden="1" x14ac:dyDescent="0.3">
      <c r="A1113" s="11" t="s">
        <v>20</v>
      </c>
      <c r="B1113" s="17">
        <v>46031</v>
      </c>
      <c r="C1113" s="76" t="s">
        <v>16</v>
      </c>
      <c r="D1113" s="13" t="s">
        <v>65</v>
      </c>
      <c r="E1113" s="11" t="s">
        <v>753</v>
      </c>
      <c r="F1113" s="26" t="s">
        <v>790</v>
      </c>
      <c r="G1113" s="17">
        <v>46031</v>
      </c>
      <c r="H1113" s="17">
        <v>46031</v>
      </c>
      <c r="I1113" s="17"/>
      <c r="J1113" s="17"/>
      <c r="K1113" s="47">
        <v>0.64583333333333337</v>
      </c>
      <c r="L1113" s="49">
        <v>0.72916666666666663</v>
      </c>
      <c r="M1113" s="11">
        <f t="shared" si="17"/>
        <v>1.9999999999999982</v>
      </c>
      <c r="N1113" s="62" t="s">
        <v>0</v>
      </c>
      <c r="P1113" s="4"/>
      <c r="Q1113" s="4"/>
      <c r="R1113" s="4"/>
      <c r="S1113" s="4"/>
      <c r="T1113" s="4"/>
      <c r="U1113" s="4"/>
      <c r="V1113" s="4"/>
      <c r="W1113" s="4"/>
    </row>
    <row r="1114" spans="1:23" s="32" customFormat="1" ht="15.6" hidden="1" x14ac:dyDescent="0.3">
      <c r="A1114" s="40" t="s">
        <v>21</v>
      </c>
      <c r="B1114" s="19">
        <v>46032</v>
      </c>
      <c r="C1114" s="40" t="s">
        <v>26</v>
      </c>
      <c r="D1114" s="40" t="s">
        <v>24</v>
      </c>
      <c r="E1114" s="40" t="s">
        <v>793</v>
      </c>
      <c r="F1114" s="84" t="s">
        <v>81</v>
      </c>
      <c r="G1114" s="41">
        <v>46031</v>
      </c>
      <c r="H1114" s="41">
        <v>46032</v>
      </c>
      <c r="I1114" s="85"/>
      <c r="J1114" s="85"/>
      <c r="K1114" s="51">
        <v>0.27083333333333331</v>
      </c>
      <c r="L1114" s="51">
        <v>0.64583333333333337</v>
      </c>
      <c r="M1114" s="11">
        <f t="shared" si="17"/>
        <v>9.0000000000000018</v>
      </c>
      <c r="N1114" s="22" t="s">
        <v>1</v>
      </c>
      <c r="P1114" s="4"/>
      <c r="Q1114" s="4"/>
      <c r="R1114" s="4"/>
      <c r="S1114" s="4"/>
      <c r="T1114" s="4"/>
      <c r="U1114" s="4"/>
      <c r="V1114" s="4"/>
      <c r="W1114" s="4"/>
    </row>
    <row r="1115" spans="1:23" s="32" customFormat="1" ht="15.6" hidden="1" x14ac:dyDescent="0.3">
      <c r="A1115" s="40" t="s">
        <v>21</v>
      </c>
      <c r="B1115" s="21">
        <v>46032</v>
      </c>
      <c r="C1115" s="40" t="s">
        <v>50</v>
      </c>
      <c r="D1115" s="40" t="s">
        <v>24</v>
      </c>
      <c r="E1115" s="40" t="s">
        <v>744</v>
      </c>
      <c r="F1115" s="84" t="s">
        <v>81</v>
      </c>
      <c r="G1115" s="41">
        <v>46030</v>
      </c>
      <c r="H1115" s="41">
        <v>46032</v>
      </c>
      <c r="I1115" s="85"/>
      <c r="J1115" s="85"/>
      <c r="K1115" s="51">
        <v>0.33333333333333331</v>
      </c>
      <c r="L1115" s="51">
        <v>0.70833333333333337</v>
      </c>
      <c r="M1115" s="11">
        <f t="shared" si="17"/>
        <v>9.0000000000000018</v>
      </c>
      <c r="N1115" s="22" t="s">
        <v>1</v>
      </c>
      <c r="P1115" s="4"/>
      <c r="Q1115" s="4"/>
      <c r="R1115" s="4"/>
      <c r="S1115" s="4"/>
      <c r="T1115" s="4"/>
      <c r="U1115" s="4"/>
      <c r="V1115" s="4"/>
      <c r="W1115" s="4"/>
    </row>
    <row r="1116" spans="1:23" s="32" customFormat="1" ht="15.6" hidden="1" x14ac:dyDescent="0.3">
      <c r="A1116" s="40" t="s">
        <v>21</v>
      </c>
      <c r="B1116" s="21">
        <v>46032</v>
      </c>
      <c r="C1116" s="40" t="s">
        <v>37</v>
      </c>
      <c r="D1116" s="40" t="s">
        <v>24</v>
      </c>
      <c r="E1116" s="40" t="s">
        <v>677</v>
      </c>
      <c r="F1116" s="84" t="s">
        <v>745</v>
      </c>
      <c r="G1116" s="41">
        <v>46030</v>
      </c>
      <c r="H1116" s="41">
        <v>46032</v>
      </c>
      <c r="I1116" s="85"/>
      <c r="J1116" s="85"/>
      <c r="K1116" s="51">
        <v>0.27083333333333331</v>
      </c>
      <c r="L1116" s="51">
        <v>0.64583333333333337</v>
      </c>
      <c r="M1116" s="11">
        <f t="shared" si="17"/>
        <v>9.0000000000000018</v>
      </c>
      <c r="N1116" s="22" t="s">
        <v>1</v>
      </c>
      <c r="P1116" s="4"/>
      <c r="Q1116" s="4"/>
      <c r="R1116" s="4"/>
      <c r="S1116" s="4"/>
      <c r="T1116" s="4"/>
      <c r="U1116" s="4"/>
      <c r="V1116" s="4"/>
      <c r="W1116" s="4"/>
    </row>
    <row r="1117" spans="1:23" s="32" customFormat="1" hidden="1" x14ac:dyDescent="0.3">
      <c r="A1117" s="40" t="s">
        <v>21</v>
      </c>
      <c r="B1117" s="21">
        <v>46032</v>
      </c>
      <c r="C1117" s="40" t="s">
        <v>274</v>
      </c>
      <c r="D1117" s="260" t="s">
        <v>8</v>
      </c>
      <c r="E1117" s="260" t="s">
        <v>794</v>
      </c>
      <c r="F1117" s="261" t="s">
        <v>795</v>
      </c>
      <c r="G1117" s="259">
        <v>46031</v>
      </c>
      <c r="H1117" s="259">
        <v>46032</v>
      </c>
      <c r="I1117" s="259">
        <v>46032</v>
      </c>
      <c r="J1117" s="41"/>
      <c r="K1117" s="51">
        <v>0.27083333333333331</v>
      </c>
      <c r="L1117" s="51">
        <v>0.5</v>
      </c>
      <c r="M1117" s="11">
        <f t="shared" si="17"/>
        <v>5.5</v>
      </c>
      <c r="N1117" s="233" t="s">
        <v>0</v>
      </c>
      <c r="P1117" s="4"/>
      <c r="Q1117" s="4"/>
      <c r="R1117" s="4"/>
      <c r="S1117" s="4"/>
      <c r="T1117" s="4"/>
      <c r="U1117" s="4"/>
      <c r="V1117" s="4"/>
      <c r="W1117" s="4"/>
    </row>
    <row r="1118" spans="1:23" s="32" customFormat="1" hidden="1" x14ac:dyDescent="0.3">
      <c r="A1118" s="40" t="s">
        <v>21</v>
      </c>
      <c r="B1118" s="21">
        <v>46032</v>
      </c>
      <c r="C1118" s="40" t="s">
        <v>18</v>
      </c>
      <c r="D1118" s="260"/>
      <c r="E1118" s="260"/>
      <c r="F1118" s="261"/>
      <c r="G1118" s="259"/>
      <c r="H1118" s="259"/>
      <c r="I1118" s="259"/>
      <c r="J1118" s="41"/>
      <c r="K1118" s="51">
        <v>0.27083333333333331</v>
      </c>
      <c r="L1118" s="51">
        <v>0.5</v>
      </c>
      <c r="M1118" s="11">
        <f t="shared" si="17"/>
        <v>5.5</v>
      </c>
      <c r="N1118" s="233"/>
      <c r="P1118" s="4"/>
      <c r="Q1118" s="4"/>
      <c r="R1118" s="4"/>
      <c r="S1118" s="4"/>
      <c r="T1118" s="4"/>
      <c r="U1118" s="4"/>
      <c r="V1118" s="4"/>
      <c r="W1118" s="4"/>
    </row>
    <row r="1119" spans="1:23" s="32" customFormat="1" ht="15.6" hidden="1" x14ac:dyDescent="0.3">
      <c r="A1119" s="40" t="s">
        <v>21</v>
      </c>
      <c r="B1119" s="21">
        <v>46032</v>
      </c>
      <c r="C1119" s="40" t="s">
        <v>320</v>
      </c>
      <c r="D1119" s="40" t="s">
        <v>43</v>
      </c>
      <c r="E1119" s="40" t="s">
        <v>772</v>
      </c>
      <c r="F1119" s="84" t="s">
        <v>798</v>
      </c>
      <c r="G1119" s="41">
        <v>46032</v>
      </c>
      <c r="H1119" s="41">
        <v>46032</v>
      </c>
      <c r="I1119" s="85"/>
      <c r="J1119" s="85"/>
      <c r="K1119" s="51">
        <v>0.27083333333333331</v>
      </c>
      <c r="L1119" s="51">
        <v>0.64583333333333337</v>
      </c>
      <c r="M1119" s="11">
        <f t="shared" si="17"/>
        <v>9.0000000000000018</v>
      </c>
      <c r="N1119" s="67" t="s">
        <v>1</v>
      </c>
      <c r="P1119" s="4"/>
      <c r="Q1119" s="4"/>
      <c r="R1119" s="4"/>
      <c r="S1119" s="4"/>
      <c r="T1119" s="4"/>
      <c r="U1119" s="4"/>
      <c r="V1119" s="4"/>
      <c r="W1119" s="4"/>
    </row>
    <row r="1120" spans="1:23" s="32" customFormat="1" hidden="1" x14ac:dyDescent="0.3">
      <c r="A1120" s="40" t="s">
        <v>21</v>
      </c>
      <c r="B1120" s="21">
        <v>46032</v>
      </c>
      <c r="C1120" s="40" t="s">
        <v>56</v>
      </c>
      <c r="D1120" s="40" t="s">
        <v>8</v>
      </c>
      <c r="E1120" s="40" t="s">
        <v>406</v>
      </c>
      <c r="F1120" s="84" t="s">
        <v>565</v>
      </c>
      <c r="G1120" s="41">
        <v>46031</v>
      </c>
      <c r="H1120" s="41">
        <v>46032</v>
      </c>
      <c r="I1120" s="41">
        <v>46032</v>
      </c>
      <c r="J1120" s="41"/>
      <c r="K1120" s="51">
        <v>0.27083333333333331</v>
      </c>
      <c r="L1120" s="51">
        <v>0.5</v>
      </c>
      <c r="M1120" s="11">
        <f t="shared" si="17"/>
        <v>5.5</v>
      </c>
      <c r="N1120" s="42" t="s">
        <v>0</v>
      </c>
      <c r="P1120" s="4"/>
      <c r="Q1120" s="4"/>
      <c r="R1120" s="4"/>
      <c r="S1120" s="4"/>
      <c r="T1120" s="4"/>
      <c r="U1120" s="4"/>
      <c r="V1120" s="4"/>
      <c r="W1120" s="4"/>
    </row>
    <row r="1121" spans="1:23" s="32" customFormat="1" ht="15.6" hidden="1" x14ac:dyDescent="0.3">
      <c r="A1121" s="40" t="s">
        <v>21</v>
      </c>
      <c r="B1121" s="21">
        <v>46032</v>
      </c>
      <c r="C1121" s="40" t="s">
        <v>771</v>
      </c>
      <c r="D1121" s="40" t="s">
        <v>43</v>
      </c>
      <c r="E1121" s="40" t="s">
        <v>796</v>
      </c>
      <c r="F1121" s="84" t="s">
        <v>773</v>
      </c>
      <c r="G1121" s="41">
        <v>46031</v>
      </c>
      <c r="H1121" s="41">
        <v>46032</v>
      </c>
      <c r="I1121" s="85"/>
      <c r="J1121" s="85"/>
      <c r="K1121" s="51">
        <v>0.35416666666666669</v>
      </c>
      <c r="L1121" s="51">
        <v>0.72916666666666663</v>
      </c>
      <c r="M1121" s="11">
        <f t="shared" si="17"/>
        <v>8.9999999999999982</v>
      </c>
      <c r="N1121" s="22" t="s">
        <v>1</v>
      </c>
      <c r="P1121" s="4"/>
      <c r="Q1121" s="4"/>
      <c r="R1121" s="4"/>
      <c r="S1121" s="4"/>
      <c r="T1121" s="4"/>
      <c r="U1121" s="4"/>
      <c r="V1121" s="4"/>
      <c r="W1121" s="4"/>
    </row>
    <row r="1122" spans="1:23" s="32" customFormat="1" hidden="1" x14ac:dyDescent="0.3">
      <c r="A1122" s="40" t="s">
        <v>21</v>
      </c>
      <c r="B1122" s="21">
        <v>46032</v>
      </c>
      <c r="C1122" s="40" t="s">
        <v>118</v>
      </c>
      <c r="D1122" s="260" t="s">
        <v>54</v>
      </c>
      <c r="E1122" s="260" t="s">
        <v>688</v>
      </c>
      <c r="F1122" s="260" t="s">
        <v>797</v>
      </c>
      <c r="G1122" s="259">
        <v>46032</v>
      </c>
      <c r="H1122" s="259">
        <v>46032</v>
      </c>
      <c r="I1122" s="259">
        <v>46032</v>
      </c>
      <c r="J1122" s="41"/>
      <c r="K1122" s="51">
        <v>0.35416666666666669</v>
      </c>
      <c r="L1122" s="51">
        <v>0.72916666666666663</v>
      </c>
      <c r="M1122" s="11">
        <f t="shared" si="17"/>
        <v>8.9999999999999982</v>
      </c>
      <c r="N1122" s="233" t="s">
        <v>0</v>
      </c>
      <c r="P1122" s="4"/>
      <c r="Q1122" s="4"/>
      <c r="R1122" s="4"/>
      <c r="S1122" s="4"/>
      <c r="T1122" s="4"/>
      <c r="U1122" s="4"/>
      <c r="V1122" s="4"/>
      <c r="W1122" s="4"/>
    </row>
    <row r="1123" spans="1:23" s="32" customFormat="1" hidden="1" x14ac:dyDescent="0.3">
      <c r="A1123" s="40" t="s">
        <v>21</v>
      </c>
      <c r="B1123" s="21">
        <v>46032</v>
      </c>
      <c r="C1123" s="40" t="s">
        <v>34</v>
      </c>
      <c r="D1123" s="260"/>
      <c r="E1123" s="260"/>
      <c r="F1123" s="260"/>
      <c r="G1123" s="259"/>
      <c r="H1123" s="259"/>
      <c r="I1123" s="259"/>
      <c r="J1123" s="41"/>
      <c r="K1123" s="51">
        <v>0.35416666666666669</v>
      </c>
      <c r="L1123" s="51">
        <v>0.72916666666666663</v>
      </c>
      <c r="M1123" s="11">
        <f t="shared" si="17"/>
        <v>8.9999999999999982</v>
      </c>
      <c r="N1123" s="233"/>
      <c r="P1123" s="4"/>
      <c r="Q1123" s="4"/>
      <c r="R1123" s="4"/>
      <c r="S1123" s="4"/>
      <c r="T1123" s="4"/>
      <c r="U1123" s="4"/>
      <c r="V1123" s="4"/>
      <c r="W1123" s="4"/>
    </row>
    <row r="1124" spans="1:23" s="32" customFormat="1" hidden="1" x14ac:dyDescent="0.3">
      <c r="A1124" s="40" t="s">
        <v>21</v>
      </c>
      <c r="B1124" s="21">
        <v>46032</v>
      </c>
      <c r="C1124" s="40" t="s">
        <v>55</v>
      </c>
      <c r="D1124" s="40" t="s">
        <v>43</v>
      </c>
      <c r="E1124" s="40" t="s">
        <v>769</v>
      </c>
      <c r="F1124" s="84" t="s">
        <v>770</v>
      </c>
      <c r="G1124" s="41">
        <v>46031</v>
      </c>
      <c r="H1124" s="41">
        <v>46034</v>
      </c>
      <c r="I1124" s="41">
        <v>46034</v>
      </c>
      <c r="J1124" s="41"/>
      <c r="K1124" s="51">
        <v>0.27083333333333331</v>
      </c>
      <c r="L1124" s="51">
        <v>0.64583333333333337</v>
      </c>
      <c r="M1124" s="11">
        <f t="shared" si="17"/>
        <v>9.0000000000000018</v>
      </c>
      <c r="N1124" s="22" t="s">
        <v>0</v>
      </c>
      <c r="P1124" s="4"/>
      <c r="Q1124" s="4"/>
      <c r="R1124" s="4"/>
      <c r="S1124" s="4"/>
      <c r="T1124" s="4"/>
      <c r="U1124" s="4"/>
      <c r="V1124" s="4"/>
      <c r="W1124" s="4"/>
    </row>
    <row r="1125" spans="1:23" s="32" customFormat="1" ht="28.8" hidden="1" x14ac:dyDescent="0.3">
      <c r="A1125" s="12" t="s">
        <v>21</v>
      </c>
      <c r="B1125" s="21">
        <v>46032</v>
      </c>
      <c r="C1125" s="12" t="s">
        <v>25</v>
      </c>
      <c r="D1125" s="20" t="s">
        <v>27</v>
      </c>
      <c r="E1125" s="14" t="s">
        <v>810</v>
      </c>
      <c r="F1125" s="73" t="s">
        <v>811</v>
      </c>
      <c r="G1125" s="19">
        <v>46032</v>
      </c>
      <c r="H1125" s="19">
        <v>46032</v>
      </c>
      <c r="I1125" s="19"/>
      <c r="J1125" s="19"/>
      <c r="K1125" s="46">
        <v>0.27083333333333331</v>
      </c>
      <c r="L1125" s="53">
        <v>0.64583333333333337</v>
      </c>
      <c r="M1125" s="11">
        <f t="shared" si="17"/>
        <v>9.0000000000000018</v>
      </c>
      <c r="N1125" s="18" t="s">
        <v>1</v>
      </c>
      <c r="P1125" s="4"/>
      <c r="Q1125" s="4"/>
      <c r="R1125" s="4"/>
      <c r="S1125" s="4"/>
      <c r="T1125" s="4"/>
      <c r="U1125" s="4"/>
      <c r="V1125" s="4"/>
      <c r="W1125" s="4"/>
    </row>
    <row r="1126" spans="1:23" s="32" customFormat="1" hidden="1" x14ac:dyDescent="0.3">
      <c r="A1126" s="22" t="s">
        <v>19</v>
      </c>
      <c r="B1126" s="21">
        <v>46032</v>
      </c>
      <c r="C1126" s="22" t="s">
        <v>7</v>
      </c>
      <c r="D1126" s="216" t="s">
        <v>8</v>
      </c>
      <c r="E1126" s="216" t="s">
        <v>682</v>
      </c>
      <c r="F1126" s="216" t="s">
        <v>799</v>
      </c>
      <c r="G1126" s="219">
        <v>46028</v>
      </c>
      <c r="H1126" s="219">
        <v>46031</v>
      </c>
      <c r="I1126" s="21"/>
      <c r="J1126" s="21"/>
      <c r="K1126" s="45">
        <v>0.27083333333333331</v>
      </c>
      <c r="L1126" s="48">
        <v>0.64583333333333337</v>
      </c>
      <c r="M1126" s="11">
        <f t="shared" si="17"/>
        <v>9.0000000000000018</v>
      </c>
      <c r="N1126" s="214" t="s">
        <v>1</v>
      </c>
      <c r="P1126" s="4"/>
      <c r="Q1126" s="4"/>
      <c r="R1126" s="4"/>
      <c r="S1126" s="4"/>
      <c r="T1126" s="4"/>
      <c r="U1126" s="4"/>
      <c r="V1126" s="4"/>
      <c r="W1126" s="4"/>
    </row>
    <row r="1127" spans="1:23" s="32" customFormat="1" hidden="1" x14ac:dyDescent="0.3">
      <c r="A1127" s="22" t="s">
        <v>19</v>
      </c>
      <c r="B1127" s="21">
        <v>46032</v>
      </c>
      <c r="C1127" s="22" t="s">
        <v>9</v>
      </c>
      <c r="D1127" s="221"/>
      <c r="E1127" s="221"/>
      <c r="F1127" s="221"/>
      <c r="G1127" s="220"/>
      <c r="H1127" s="220"/>
      <c r="I1127" s="21"/>
      <c r="J1127" s="17"/>
      <c r="K1127" s="47">
        <v>0.3125</v>
      </c>
      <c r="L1127" s="48">
        <v>0.64583333333333337</v>
      </c>
      <c r="M1127" s="22">
        <f t="shared" si="17"/>
        <v>8</v>
      </c>
      <c r="N1127" s="233"/>
      <c r="O1127" s="22"/>
      <c r="P1127" s="4"/>
      <c r="Q1127" s="4"/>
      <c r="R1127" s="4"/>
      <c r="S1127" s="4"/>
      <c r="T1127" s="4"/>
      <c r="U1127" s="4"/>
      <c r="V1127" s="4"/>
      <c r="W1127" s="4"/>
    </row>
    <row r="1128" spans="1:23" s="32" customFormat="1" hidden="1" x14ac:dyDescent="0.3">
      <c r="A1128" s="22" t="s">
        <v>19</v>
      </c>
      <c r="B1128" s="21">
        <v>46032</v>
      </c>
      <c r="C1128" s="22" t="s">
        <v>9</v>
      </c>
      <c r="D1128" s="14" t="s">
        <v>32</v>
      </c>
      <c r="E1128" s="24" t="s">
        <v>800</v>
      </c>
      <c r="F1128" s="24" t="s">
        <v>801</v>
      </c>
      <c r="G1128" s="19">
        <v>46032</v>
      </c>
      <c r="H1128" s="19">
        <v>46032</v>
      </c>
      <c r="I1128" s="19">
        <v>46032</v>
      </c>
      <c r="J1128" s="19"/>
      <c r="K1128" s="45">
        <v>0.27083333333333331</v>
      </c>
      <c r="L1128" s="48">
        <v>0.29166666666666669</v>
      </c>
      <c r="M1128" s="18">
        <f t="shared" si="17"/>
        <v>0.50000000000000089</v>
      </c>
      <c r="N1128" s="34" t="s">
        <v>0</v>
      </c>
      <c r="P1128" s="4"/>
      <c r="Q1128" s="4"/>
      <c r="R1128" s="4"/>
      <c r="S1128" s="4"/>
      <c r="T1128" s="4"/>
      <c r="U1128" s="4"/>
      <c r="V1128" s="4"/>
      <c r="W1128" s="4"/>
    </row>
    <row r="1129" spans="1:23" s="32" customFormat="1" hidden="1" x14ac:dyDescent="0.3">
      <c r="A1129" s="22" t="s">
        <v>19</v>
      </c>
      <c r="B1129" s="21">
        <v>46032</v>
      </c>
      <c r="C1129" s="22" t="s">
        <v>48</v>
      </c>
      <c r="D1129" s="216" t="s">
        <v>8</v>
      </c>
      <c r="E1129" s="222" t="s">
        <v>812</v>
      </c>
      <c r="F1129" s="222" t="s">
        <v>813</v>
      </c>
      <c r="G1129" s="219">
        <v>46032</v>
      </c>
      <c r="H1129" s="219">
        <v>46032</v>
      </c>
      <c r="I1129" s="21"/>
      <c r="J1129" s="17"/>
      <c r="K1129" s="47">
        <v>0.35416666666666669</v>
      </c>
      <c r="L1129" s="48">
        <v>0.54166666666666663</v>
      </c>
      <c r="M1129" s="11">
        <f t="shared" si="17"/>
        <v>4.4999999999999982</v>
      </c>
      <c r="N1129" s="254" t="s">
        <v>1</v>
      </c>
      <c r="P1129" s="4"/>
      <c r="Q1129" s="4"/>
      <c r="R1129" s="4"/>
      <c r="S1129" s="4"/>
      <c r="T1129" s="4"/>
      <c r="U1129" s="4"/>
      <c r="V1129" s="4"/>
      <c r="W1129" s="4"/>
    </row>
    <row r="1130" spans="1:23" s="32" customFormat="1" hidden="1" x14ac:dyDescent="0.3">
      <c r="A1130" s="22" t="s">
        <v>19</v>
      </c>
      <c r="B1130" s="21">
        <v>46032</v>
      </c>
      <c r="C1130" s="22" t="s">
        <v>208</v>
      </c>
      <c r="D1130" s="217"/>
      <c r="E1130" s="217"/>
      <c r="F1130" s="217"/>
      <c r="G1130" s="220"/>
      <c r="H1130" s="220"/>
      <c r="I1130" s="21"/>
      <c r="J1130" s="17"/>
      <c r="K1130" s="47">
        <v>0.35416666666666669</v>
      </c>
      <c r="L1130" s="48">
        <v>0.54166666666666663</v>
      </c>
      <c r="M1130" s="11">
        <f t="shared" si="17"/>
        <v>4.4999999999999982</v>
      </c>
      <c r="N1130" s="254"/>
      <c r="P1130" s="4"/>
      <c r="Q1130" s="4"/>
      <c r="R1130" s="4"/>
      <c r="S1130" s="4"/>
      <c r="T1130" s="4"/>
      <c r="U1130" s="4"/>
      <c r="V1130" s="4"/>
      <c r="W1130" s="4"/>
    </row>
    <row r="1131" spans="1:23" s="32" customFormat="1" hidden="1" x14ac:dyDescent="0.3">
      <c r="A1131" s="22" t="s">
        <v>19</v>
      </c>
      <c r="B1131" s="21">
        <v>46032</v>
      </c>
      <c r="C1131" s="22" t="s">
        <v>48</v>
      </c>
      <c r="D1131" s="20" t="s">
        <v>27</v>
      </c>
      <c r="E1131" s="14" t="s">
        <v>82</v>
      </c>
      <c r="F1131" s="20" t="s">
        <v>82</v>
      </c>
      <c r="G1131" s="19">
        <v>46032</v>
      </c>
      <c r="H1131" s="19">
        <v>46032</v>
      </c>
      <c r="I1131" s="17"/>
      <c r="J1131" s="17"/>
      <c r="K1131" s="47">
        <v>0.58333333333333337</v>
      </c>
      <c r="L1131" s="48">
        <v>0.72916666666666663</v>
      </c>
      <c r="M1131" s="11">
        <f t="shared" si="17"/>
        <v>3.4999999999999982</v>
      </c>
      <c r="N1131" s="18" t="s">
        <v>1</v>
      </c>
      <c r="P1131" s="4"/>
      <c r="Q1131" s="4"/>
      <c r="R1131" s="4"/>
      <c r="S1131" s="4"/>
      <c r="T1131" s="4"/>
      <c r="U1131" s="4"/>
      <c r="V1131" s="4"/>
      <c r="W1131" s="4"/>
    </row>
    <row r="1132" spans="1:23" s="32" customFormat="1" hidden="1" x14ac:dyDescent="0.3">
      <c r="A1132" s="22" t="s">
        <v>20</v>
      </c>
      <c r="B1132" s="21">
        <v>46032</v>
      </c>
      <c r="C1132" s="69" t="s">
        <v>12</v>
      </c>
      <c r="D1132" s="214" t="s">
        <v>44</v>
      </c>
      <c r="E1132" s="233" t="s">
        <v>767</v>
      </c>
      <c r="F1132" s="242" t="s">
        <v>803</v>
      </c>
      <c r="G1132" s="223">
        <v>46031</v>
      </c>
      <c r="H1132" s="223">
        <v>46032</v>
      </c>
      <c r="I1132" s="223">
        <v>46032</v>
      </c>
      <c r="J1132" s="21"/>
      <c r="K1132" s="45">
        <v>0.27083333333333331</v>
      </c>
      <c r="L1132" s="48">
        <v>0.64583333333333337</v>
      </c>
      <c r="M1132" s="11">
        <f t="shared" si="17"/>
        <v>9.0000000000000018</v>
      </c>
      <c r="N1132" s="224" t="s">
        <v>0</v>
      </c>
      <c r="P1132" s="4"/>
      <c r="Q1132" s="4"/>
      <c r="R1132" s="4"/>
      <c r="S1132" s="4"/>
      <c r="T1132" s="4"/>
      <c r="U1132" s="4"/>
      <c r="V1132" s="4"/>
      <c r="W1132" s="4"/>
    </row>
    <row r="1133" spans="1:23" s="32" customFormat="1" hidden="1" x14ac:dyDescent="0.3">
      <c r="A1133" s="22" t="s">
        <v>20</v>
      </c>
      <c r="B1133" s="21">
        <v>46032</v>
      </c>
      <c r="C1133" s="69" t="s">
        <v>33</v>
      </c>
      <c r="D1133" s="215"/>
      <c r="E1133" s="233"/>
      <c r="F1133" s="248"/>
      <c r="G1133" s="223"/>
      <c r="H1133" s="223"/>
      <c r="I1133" s="223"/>
      <c r="J1133" s="21"/>
      <c r="K1133" s="45">
        <v>0.27083333333333331</v>
      </c>
      <c r="L1133" s="48">
        <v>0.64583333333333337</v>
      </c>
      <c r="M1133" s="11">
        <f t="shared" si="17"/>
        <v>9.0000000000000018</v>
      </c>
      <c r="N1133" s="225"/>
      <c r="P1133" s="4"/>
      <c r="Q1133" s="4"/>
      <c r="R1133" s="4"/>
      <c r="S1133" s="4"/>
      <c r="T1133" s="4"/>
      <c r="U1133" s="4"/>
      <c r="V1133" s="4"/>
      <c r="W1133" s="4"/>
    </row>
    <row r="1134" spans="1:23" s="32" customFormat="1" hidden="1" x14ac:dyDescent="0.3">
      <c r="A1134" s="22" t="s">
        <v>20</v>
      </c>
      <c r="B1134" s="21">
        <v>46032</v>
      </c>
      <c r="C1134" s="69" t="s">
        <v>444</v>
      </c>
      <c r="D1134" s="214" t="s">
        <v>44</v>
      </c>
      <c r="E1134" s="226" t="s">
        <v>804</v>
      </c>
      <c r="F1134" s="242" t="s">
        <v>805</v>
      </c>
      <c r="G1134" s="223">
        <v>46031</v>
      </c>
      <c r="H1134" s="223">
        <v>46032</v>
      </c>
      <c r="I1134" s="223">
        <v>46032</v>
      </c>
      <c r="J1134" s="21"/>
      <c r="K1134" s="48">
        <v>0.64583333333333337</v>
      </c>
      <c r="L1134" s="48">
        <v>0.72916666666666663</v>
      </c>
      <c r="M1134" s="11">
        <f t="shared" si="17"/>
        <v>1.9999999999999982</v>
      </c>
      <c r="N1134" s="224" t="s">
        <v>0</v>
      </c>
      <c r="P1134" s="4"/>
      <c r="Q1134" s="4"/>
      <c r="R1134" s="4"/>
      <c r="S1134" s="4"/>
      <c r="T1134" s="4"/>
      <c r="U1134" s="4"/>
      <c r="V1134" s="4"/>
      <c r="W1134" s="4"/>
    </row>
    <row r="1135" spans="1:23" s="32" customFormat="1" hidden="1" x14ac:dyDescent="0.3">
      <c r="A1135" s="22" t="s">
        <v>20</v>
      </c>
      <c r="B1135" s="21">
        <v>46032</v>
      </c>
      <c r="C1135" s="69" t="s">
        <v>421</v>
      </c>
      <c r="D1135" s="215"/>
      <c r="E1135" s="215"/>
      <c r="F1135" s="248"/>
      <c r="G1135" s="223"/>
      <c r="H1135" s="223"/>
      <c r="I1135" s="223"/>
      <c r="J1135" s="21"/>
      <c r="K1135" s="48">
        <v>0.64583333333333337</v>
      </c>
      <c r="L1135" s="48">
        <v>0.72916666666666663</v>
      </c>
      <c r="M1135" s="11">
        <f t="shared" si="17"/>
        <v>1.9999999999999982</v>
      </c>
      <c r="N1135" s="225"/>
      <c r="P1135" s="4"/>
      <c r="Q1135" s="4"/>
      <c r="R1135" s="4"/>
      <c r="S1135" s="4"/>
      <c r="T1135" s="4"/>
      <c r="U1135" s="4"/>
      <c r="V1135" s="4"/>
      <c r="W1135" s="4"/>
    </row>
    <row r="1136" spans="1:23" s="32" customFormat="1" hidden="1" x14ac:dyDescent="0.3">
      <c r="A1136" s="22" t="s">
        <v>20</v>
      </c>
      <c r="B1136" s="21">
        <v>46032</v>
      </c>
      <c r="C1136" s="22" t="s">
        <v>28</v>
      </c>
      <c r="D1136" s="13" t="s">
        <v>65</v>
      </c>
      <c r="E1136" s="13" t="s">
        <v>806</v>
      </c>
      <c r="F1136" s="26" t="s">
        <v>807</v>
      </c>
      <c r="G1136" s="21">
        <v>46032</v>
      </c>
      <c r="H1136" s="21">
        <v>46032</v>
      </c>
      <c r="I1136" s="21">
        <v>46032</v>
      </c>
      <c r="J1136" s="17"/>
      <c r="K1136" s="47">
        <v>0.27083333333333331</v>
      </c>
      <c r="L1136" s="48">
        <v>0.72916666666666663</v>
      </c>
      <c r="M1136" s="11">
        <f t="shared" si="17"/>
        <v>11</v>
      </c>
      <c r="N1136" s="42" t="s">
        <v>0</v>
      </c>
      <c r="P1136" s="4"/>
      <c r="Q1136" s="4"/>
      <c r="R1136" s="4"/>
      <c r="S1136" s="4"/>
      <c r="T1136" s="4"/>
      <c r="U1136" s="4"/>
      <c r="V1136" s="4"/>
      <c r="W1136" s="4"/>
    </row>
    <row r="1137" spans="1:23" s="32" customFormat="1" hidden="1" x14ac:dyDescent="0.3">
      <c r="A1137" s="22" t="s">
        <v>20</v>
      </c>
      <c r="B1137" s="21">
        <v>46032</v>
      </c>
      <c r="C1137" s="22" t="s">
        <v>47</v>
      </c>
      <c r="D1137" s="216" t="s">
        <v>65</v>
      </c>
      <c r="E1137" s="216" t="s">
        <v>753</v>
      </c>
      <c r="F1137" s="243" t="s">
        <v>788</v>
      </c>
      <c r="G1137" s="219">
        <v>46030</v>
      </c>
      <c r="H1137" s="219">
        <v>46032</v>
      </c>
      <c r="I1137" s="219">
        <v>46032</v>
      </c>
      <c r="J1137" s="17"/>
      <c r="K1137" s="47">
        <v>0.27083333333333331</v>
      </c>
      <c r="L1137" s="48">
        <v>0.72916666666666663</v>
      </c>
      <c r="M1137" s="11">
        <f t="shared" si="17"/>
        <v>11</v>
      </c>
      <c r="N1137" s="231" t="s">
        <v>0</v>
      </c>
      <c r="P1137" s="4"/>
      <c r="Q1137" s="4"/>
      <c r="R1137" s="4"/>
      <c r="S1137" s="4"/>
      <c r="T1137" s="4"/>
      <c r="U1137" s="4"/>
      <c r="V1137" s="4"/>
      <c r="W1137" s="4"/>
    </row>
    <row r="1138" spans="1:23" s="32" customFormat="1" hidden="1" x14ac:dyDescent="0.3">
      <c r="A1138" s="22" t="s">
        <v>20</v>
      </c>
      <c r="B1138" s="21">
        <v>46032</v>
      </c>
      <c r="C1138" s="22" t="s">
        <v>31</v>
      </c>
      <c r="D1138" s="217"/>
      <c r="E1138" s="217"/>
      <c r="F1138" s="244"/>
      <c r="G1138" s="220"/>
      <c r="H1138" s="220"/>
      <c r="I1138" s="220"/>
      <c r="J1138" s="23"/>
      <c r="K1138" s="47">
        <v>0.27083333333333331</v>
      </c>
      <c r="L1138" s="48">
        <v>0.35416666666666669</v>
      </c>
      <c r="M1138" s="11">
        <f t="shared" si="17"/>
        <v>2.0000000000000009</v>
      </c>
      <c r="N1138" s="225"/>
      <c r="P1138" s="4"/>
      <c r="Q1138" s="4"/>
      <c r="R1138" s="4"/>
      <c r="S1138" s="4"/>
      <c r="T1138" s="4"/>
      <c r="U1138" s="4"/>
      <c r="V1138" s="4"/>
      <c r="W1138" s="4"/>
    </row>
    <row r="1139" spans="1:23" s="32" customFormat="1" hidden="1" x14ac:dyDescent="0.3">
      <c r="A1139" s="22" t="s">
        <v>20</v>
      </c>
      <c r="B1139" s="21">
        <v>46032</v>
      </c>
      <c r="C1139" s="22" t="s">
        <v>167</v>
      </c>
      <c r="D1139" s="216" t="s">
        <v>65</v>
      </c>
      <c r="E1139" s="216" t="s">
        <v>785</v>
      </c>
      <c r="F1139" s="243" t="s">
        <v>808</v>
      </c>
      <c r="G1139" s="219">
        <v>46031</v>
      </c>
      <c r="H1139" s="219">
        <v>46032</v>
      </c>
      <c r="I1139" s="219">
        <v>46032</v>
      </c>
      <c r="J1139" s="17"/>
      <c r="K1139" s="47">
        <v>0.27083333333333331</v>
      </c>
      <c r="L1139" s="48">
        <v>0.72916666666666663</v>
      </c>
      <c r="M1139" s="11">
        <f t="shared" si="17"/>
        <v>11</v>
      </c>
      <c r="N1139" s="249" t="s">
        <v>0</v>
      </c>
      <c r="P1139" s="4"/>
      <c r="Q1139" s="4"/>
      <c r="R1139" s="4"/>
      <c r="S1139" s="4"/>
      <c r="T1139" s="4"/>
      <c r="U1139" s="4"/>
      <c r="V1139" s="4"/>
      <c r="W1139" s="4"/>
    </row>
    <row r="1140" spans="1:23" s="32" customFormat="1" hidden="1" x14ac:dyDescent="0.3">
      <c r="A1140" s="22" t="s">
        <v>20</v>
      </c>
      <c r="B1140" s="21">
        <v>46032</v>
      </c>
      <c r="C1140" s="22" t="s">
        <v>31</v>
      </c>
      <c r="D1140" s="217"/>
      <c r="E1140" s="217"/>
      <c r="F1140" s="244"/>
      <c r="G1140" s="220"/>
      <c r="H1140" s="220"/>
      <c r="I1140" s="220"/>
      <c r="J1140" s="23"/>
      <c r="K1140" s="47">
        <v>0.35416666666666669</v>
      </c>
      <c r="L1140" s="45">
        <v>0.4375</v>
      </c>
      <c r="M1140" s="11">
        <f t="shared" si="17"/>
        <v>1.9999999999999996</v>
      </c>
      <c r="N1140" s="249"/>
      <c r="P1140" s="4"/>
      <c r="Q1140" s="4"/>
      <c r="R1140" s="4"/>
      <c r="S1140" s="4"/>
      <c r="T1140" s="4"/>
      <c r="U1140" s="4"/>
      <c r="V1140" s="4"/>
      <c r="W1140" s="4"/>
    </row>
    <row r="1141" spans="1:23" s="32" customFormat="1" hidden="1" x14ac:dyDescent="0.3">
      <c r="A1141" s="22" t="s">
        <v>20</v>
      </c>
      <c r="B1141" s="21">
        <v>46032</v>
      </c>
      <c r="C1141" s="22" t="s">
        <v>17</v>
      </c>
      <c r="D1141" s="216" t="s">
        <v>65</v>
      </c>
      <c r="E1141" s="214" t="s">
        <v>784</v>
      </c>
      <c r="F1141" s="243" t="s">
        <v>115</v>
      </c>
      <c r="G1141" s="219">
        <v>46029</v>
      </c>
      <c r="H1141" s="219">
        <v>46032</v>
      </c>
      <c r="I1141" s="219">
        <v>46032</v>
      </c>
      <c r="J1141" s="17"/>
      <c r="K1141" s="47">
        <v>0.27083333333333331</v>
      </c>
      <c r="L1141" s="48">
        <v>0.72916666666666663</v>
      </c>
      <c r="M1141" s="11">
        <f t="shared" si="17"/>
        <v>11</v>
      </c>
      <c r="N1141" s="214" t="s">
        <v>0</v>
      </c>
      <c r="P1141" s="4"/>
      <c r="Q1141" s="4"/>
      <c r="R1141" s="4"/>
      <c r="S1141" s="4"/>
      <c r="T1141" s="4"/>
      <c r="U1141" s="4"/>
      <c r="V1141" s="4"/>
      <c r="W1141" s="4"/>
    </row>
    <row r="1142" spans="1:23" s="32" customFormat="1" hidden="1" x14ac:dyDescent="0.3">
      <c r="A1142" s="22" t="s">
        <v>20</v>
      </c>
      <c r="B1142" s="21">
        <v>46032</v>
      </c>
      <c r="C1142" s="22" t="s">
        <v>31</v>
      </c>
      <c r="D1142" s="217"/>
      <c r="E1142" s="215"/>
      <c r="F1142" s="244"/>
      <c r="G1142" s="220"/>
      <c r="H1142" s="220"/>
      <c r="I1142" s="220"/>
      <c r="J1142" s="23"/>
      <c r="K1142" s="47">
        <v>0.4375</v>
      </c>
      <c r="L1142" s="48">
        <v>0.5</v>
      </c>
      <c r="M1142" s="11">
        <f t="shared" si="17"/>
        <v>1.5</v>
      </c>
      <c r="N1142" s="215"/>
      <c r="P1142" s="4"/>
      <c r="Q1142" s="4"/>
      <c r="R1142" s="4"/>
      <c r="S1142" s="4"/>
      <c r="T1142" s="4"/>
      <c r="U1142" s="4"/>
      <c r="V1142" s="4"/>
      <c r="W1142" s="4"/>
    </row>
    <row r="1143" spans="1:23" s="32" customFormat="1" hidden="1" x14ac:dyDescent="0.3">
      <c r="A1143" s="22" t="s">
        <v>20</v>
      </c>
      <c r="B1143" s="21">
        <v>46032</v>
      </c>
      <c r="C1143" s="69" t="s">
        <v>16</v>
      </c>
      <c r="D1143" s="221" t="s">
        <v>65</v>
      </c>
      <c r="E1143" s="233" t="s">
        <v>753</v>
      </c>
      <c r="F1143" s="245" t="s">
        <v>809</v>
      </c>
      <c r="G1143" s="219">
        <v>46032</v>
      </c>
      <c r="H1143" s="219">
        <v>46032</v>
      </c>
      <c r="I1143" s="219">
        <v>46032</v>
      </c>
      <c r="J1143" s="17"/>
      <c r="K1143" s="47">
        <v>0.27083333333333331</v>
      </c>
      <c r="L1143" s="48">
        <v>0.72916666666666663</v>
      </c>
      <c r="M1143" s="11">
        <f t="shared" si="17"/>
        <v>11</v>
      </c>
      <c r="N1143" s="214" t="s">
        <v>0</v>
      </c>
      <c r="P1143" s="4"/>
      <c r="Q1143" s="4"/>
      <c r="R1143" s="4"/>
      <c r="S1143" s="4"/>
      <c r="T1143" s="4"/>
      <c r="U1143" s="4"/>
      <c r="V1143" s="4"/>
      <c r="W1143" s="4"/>
    </row>
    <row r="1144" spans="1:23" s="32" customFormat="1" hidden="1" x14ac:dyDescent="0.3">
      <c r="A1144" s="22" t="s">
        <v>20</v>
      </c>
      <c r="B1144" s="21">
        <v>46032</v>
      </c>
      <c r="C1144" s="69" t="s">
        <v>31</v>
      </c>
      <c r="D1144" s="221"/>
      <c r="E1144" s="233"/>
      <c r="F1144" s="245"/>
      <c r="G1144" s="220"/>
      <c r="H1144" s="220"/>
      <c r="I1144" s="220"/>
      <c r="J1144" s="19"/>
      <c r="K1144" s="45">
        <v>0.58333333333333337</v>
      </c>
      <c r="L1144" s="48">
        <v>0.66666666666666663</v>
      </c>
      <c r="M1144" s="11">
        <f t="shared" si="17"/>
        <v>1.9999999999999982</v>
      </c>
      <c r="N1144" s="215"/>
      <c r="P1144" s="4"/>
      <c r="Q1144" s="4"/>
      <c r="R1144" s="4"/>
      <c r="S1144" s="4"/>
      <c r="T1144" s="4"/>
      <c r="U1144" s="4"/>
      <c r="V1144" s="4"/>
      <c r="W1144" s="4"/>
    </row>
    <row r="1145" spans="1:23" s="32" customFormat="1" hidden="1" x14ac:dyDescent="0.3">
      <c r="A1145" s="22" t="s">
        <v>20</v>
      </c>
      <c r="B1145" s="21">
        <v>46032</v>
      </c>
      <c r="C1145" s="69" t="s">
        <v>15</v>
      </c>
      <c r="D1145" s="13" t="s">
        <v>65</v>
      </c>
      <c r="E1145" s="22" t="s">
        <v>791</v>
      </c>
      <c r="F1145" s="25" t="s">
        <v>59</v>
      </c>
      <c r="G1145" s="21">
        <v>46032</v>
      </c>
      <c r="H1145" s="21">
        <v>46032</v>
      </c>
      <c r="I1145" s="21">
        <v>46032</v>
      </c>
      <c r="J1145" s="17"/>
      <c r="K1145" s="47">
        <v>0.27083333333333331</v>
      </c>
      <c r="L1145" s="48">
        <v>0.72916666666666663</v>
      </c>
      <c r="M1145" s="11">
        <f t="shared" si="17"/>
        <v>11</v>
      </c>
      <c r="N1145" s="42" t="s">
        <v>0</v>
      </c>
      <c r="P1145" s="4"/>
      <c r="Q1145" s="4"/>
      <c r="R1145" s="4"/>
      <c r="S1145" s="4"/>
      <c r="T1145" s="4"/>
      <c r="U1145" s="4"/>
      <c r="V1145" s="4"/>
      <c r="W1145" s="4"/>
    </row>
    <row r="1146" spans="1:23" s="32" customFormat="1" hidden="1" x14ac:dyDescent="0.3">
      <c r="A1146" s="40" t="s">
        <v>21</v>
      </c>
      <c r="B1146" s="21">
        <v>46034</v>
      </c>
      <c r="C1146" s="40" t="s">
        <v>26</v>
      </c>
      <c r="D1146" s="40" t="s">
        <v>24</v>
      </c>
      <c r="E1146" s="40" t="s">
        <v>793</v>
      </c>
      <c r="F1146" s="84" t="s">
        <v>81</v>
      </c>
      <c r="G1146" s="41">
        <v>46031</v>
      </c>
      <c r="H1146" s="41">
        <v>46034</v>
      </c>
      <c r="I1146" s="41">
        <v>46034</v>
      </c>
      <c r="J1146" s="41"/>
      <c r="K1146" s="51">
        <v>0.27083333333333331</v>
      </c>
      <c r="L1146" s="51">
        <v>0.64583333333333337</v>
      </c>
      <c r="M1146" s="11">
        <f t="shared" si="17"/>
        <v>9.0000000000000018</v>
      </c>
      <c r="N1146" s="22" t="s">
        <v>0</v>
      </c>
      <c r="P1146" s="4"/>
      <c r="Q1146" s="4"/>
      <c r="R1146" s="4"/>
      <c r="S1146" s="4"/>
      <c r="T1146" s="4"/>
      <c r="U1146" s="4"/>
      <c r="V1146" s="4"/>
      <c r="W1146" s="4"/>
    </row>
    <row r="1147" spans="1:23" s="32" customFormat="1" ht="15.6" hidden="1" x14ac:dyDescent="0.3">
      <c r="A1147" s="40" t="s">
        <v>21</v>
      </c>
      <c r="B1147" s="21">
        <v>46034</v>
      </c>
      <c r="C1147" s="40" t="s">
        <v>50</v>
      </c>
      <c r="D1147" s="40" t="s">
        <v>24</v>
      </c>
      <c r="E1147" s="40" t="s">
        <v>744</v>
      </c>
      <c r="F1147" s="84" t="s">
        <v>81</v>
      </c>
      <c r="G1147" s="41">
        <v>46030</v>
      </c>
      <c r="H1147" s="41">
        <v>46032</v>
      </c>
      <c r="I1147" s="85"/>
      <c r="J1147" s="85"/>
      <c r="K1147" s="51">
        <v>0.33333333333333331</v>
      </c>
      <c r="L1147" s="51">
        <v>0.70833333333333337</v>
      </c>
      <c r="M1147" s="11">
        <f t="shared" si="17"/>
        <v>9.0000000000000018</v>
      </c>
      <c r="N1147" s="22" t="s">
        <v>1</v>
      </c>
      <c r="P1147" s="4"/>
      <c r="Q1147" s="4"/>
      <c r="R1147" s="4"/>
      <c r="S1147" s="4"/>
      <c r="T1147" s="4"/>
      <c r="U1147" s="4"/>
      <c r="V1147" s="4"/>
      <c r="W1147" s="4"/>
    </row>
    <row r="1148" spans="1:23" s="32" customFormat="1" ht="28.8" hidden="1" x14ac:dyDescent="0.3">
      <c r="A1148" s="40" t="s">
        <v>21</v>
      </c>
      <c r="B1148" s="21">
        <v>46034</v>
      </c>
      <c r="C1148" s="40" t="s">
        <v>37</v>
      </c>
      <c r="D1148" s="40" t="s">
        <v>24</v>
      </c>
      <c r="E1148" s="40" t="s">
        <v>677</v>
      </c>
      <c r="F1148" s="84" t="s">
        <v>820</v>
      </c>
      <c r="G1148" s="41">
        <v>46030</v>
      </c>
      <c r="H1148" s="41">
        <v>46032</v>
      </c>
      <c r="I1148" s="41">
        <v>46032</v>
      </c>
      <c r="J1148" s="41"/>
      <c r="K1148" s="51">
        <v>0.27083333333333331</v>
      </c>
      <c r="L1148" s="51">
        <v>0.64583333333333337</v>
      </c>
      <c r="M1148" s="11">
        <f t="shared" si="17"/>
        <v>9.0000000000000018</v>
      </c>
      <c r="N1148" s="22" t="s">
        <v>0</v>
      </c>
      <c r="P1148" s="4"/>
      <c r="Q1148" s="4"/>
      <c r="R1148" s="4"/>
      <c r="S1148" s="4"/>
      <c r="T1148" s="4"/>
      <c r="U1148" s="4"/>
      <c r="V1148" s="4"/>
      <c r="W1148" s="4"/>
    </row>
    <row r="1149" spans="1:23" s="32" customFormat="1" ht="15.6" hidden="1" x14ac:dyDescent="0.3">
      <c r="A1149" s="40" t="s">
        <v>21</v>
      </c>
      <c r="B1149" s="21">
        <v>46034</v>
      </c>
      <c r="C1149" s="40" t="s">
        <v>274</v>
      </c>
      <c r="D1149" s="260" t="s">
        <v>8</v>
      </c>
      <c r="E1149" s="260" t="s">
        <v>340</v>
      </c>
      <c r="F1149" s="261" t="s">
        <v>795</v>
      </c>
      <c r="G1149" s="259">
        <v>46034</v>
      </c>
      <c r="H1149" s="259">
        <v>46034</v>
      </c>
      <c r="I1149" s="85"/>
      <c r="J1149" s="85"/>
      <c r="K1149" s="51">
        <v>0.27083333333333331</v>
      </c>
      <c r="L1149" s="51">
        <v>0.54166666666666663</v>
      </c>
      <c r="M1149" s="11">
        <f t="shared" si="17"/>
        <v>6.5</v>
      </c>
      <c r="N1149" s="233" t="s">
        <v>1</v>
      </c>
      <c r="P1149" s="4"/>
      <c r="Q1149" s="4"/>
      <c r="R1149" s="4"/>
      <c r="S1149" s="4"/>
      <c r="T1149" s="4"/>
      <c r="U1149" s="4"/>
      <c r="V1149" s="4"/>
      <c r="W1149" s="4"/>
    </row>
    <row r="1150" spans="1:23" s="32" customFormat="1" ht="15.6" hidden="1" x14ac:dyDescent="0.3">
      <c r="A1150" s="40" t="s">
        <v>21</v>
      </c>
      <c r="B1150" s="21">
        <v>46034</v>
      </c>
      <c r="C1150" s="40" t="s">
        <v>18</v>
      </c>
      <c r="D1150" s="260"/>
      <c r="E1150" s="260"/>
      <c r="F1150" s="261"/>
      <c r="G1150" s="259"/>
      <c r="H1150" s="259"/>
      <c r="I1150" s="85"/>
      <c r="J1150" s="85"/>
      <c r="K1150" s="51">
        <v>0.27083333333333331</v>
      </c>
      <c r="L1150" s="51">
        <v>0.54166666666666663</v>
      </c>
      <c r="M1150" s="11">
        <f t="shared" si="17"/>
        <v>6.5</v>
      </c>
      <c r="N1150" s="233"/>
      <c r="P1150" s="4"/>
      <c r="Q1150" s="4"/>
      <c r="R1150" s="4"/>
      <c r="S1150" s="4"/>
      <c r="T1150" s="4"/>
      <c r="U1150" s="4"/>
      <c r="V1150" s="4"/>
      <c r="W1150" s="4"/>
    </row>
    <row r="1151" spans="1:23" s="32" customFormat="1" hidden="1" x14ac:dyDescent="0.3">
      <c r="A1151" s="40" t="s">
        <v>21</v>
      </c>
      <c r="B1151" s="21">
        <v>46034</v>
      </c>
      <c r="C1151" s="40" t="s">
        <v>320</v>
      </c>
      <c r="D1151" s="40" t="s">
        <v>43</v>
      </c>
      <c r="E1151" s="40" t="s">
        <v>772</v>
      </c>
      <c r="F1151" s="84" t="s">
        <v>798</v>
      </c>
      <c r="G1151" s="41">
        <v>46032</v>
      </c>
      <c r="H1151" s="41">
        <v>46032</v>
      </c>
      <c r="I1151" s="41">
        <v>46032</v>
      </c>
      <c r="J1151" s="41"/>
      <c r="K1151" s="51">
        <v>0.27083333333333331</v>
      </c>
      <c r="L1151" s="51">
        <v>0.64583333333333337</v>
      </c>
      <c r="M1151" s="11">
        <f t="shared" si="17"/>
        <v>9.0000000000000018</v>
      </c>
      <c r="N1151" s="42" t="s">
        <v>0</v>
      </c>
      <c r="P1151" s="4"/>
      <c r="Q1151" s="4"/>
      <c r="R1151" s="4"/>
      <c r="S1151" s="4"/>
      <c r="T1151" s="4"/>
      <c r="U1151" s="4"/>
      <c r="V1151" s="4"/>
      <c r="W1151" s="4"/>
    </row>
    <row r="1152" spans="1:23" s="32" customFormat="1" ht="15.6" hidden="1" x14ac:dyDescent="0.3">
      <c r="A1152" s="40" t="s">
        <v>21</v>
      </c>
      <c r="B1152" s="21">
        <v>46034</v>
      </c>
      <c r="C1152" s="40" t="s">
        <v>56</v>
      </c>
      <c r="D1152" s="40" t="s">
        <v>43</v>
      </c>
      <c r="E1152" s="40" t="s">
        <v>686</v>
      </c>
      <c r="F1152" s="84" t="s">
        <v>815</v>
      </c>
      <c r="G1152" s="41">
        <v>46034</v>
      </c>
      <c r="H1152" s="41">
        <v>46036</v>
      </c>
      <c r="I1152" s="85"/>
      <c r="J1152" s="85"/>
      <c r="K1152" s="51">
        <v>0.27083333333333331</v>
      </c>
      <c r="L1152" s="51">
        <v>0.64583333333333337</v>
      </c>
      <c r="M1152" s="11">
        <f t="shared" si="17"/>
        <v>9.0000000000000018</v>
      </c>
      <c r="N1152" s="67" t="s">
        <v>1</v>
      </c>
      <c r="P1152" s="4"/>
      <c r="Q1152" s="4"/>
      <c r="R1152" s="4"/>
      <c r="S1152" s="4"/>
      <c r="T1152" s="4"/>
      <c r="U1152" s="4"/>
      <c r="V1152" s="4"/>
      <c r="W1152" s="4"/>
    </row>
    <row r="1153" spans="1:23" s="32" customFormat="1" ht="15.6" hidden="1" x14ac:dyDescent="0.3">
      <c r="A1153" s="40" t="s">
        <v>21</v>
      </c>
      <c r="B1153" s="21">
        <v>46034</v>
      </c>
      <c r="C1153" s="40" t="s">
        <v>771</v>
      </c>
      <c r="D1153" s="40" t="s">
        <v>43</v>
      </c>
      <c r="E1153" s="40" t="s">
        <v>796</v>
      </c>
      <c r="F1153" s="84" t="s">
        <v>773</v>
      </c>
      <c r="G1153" s="41">
        <v>46034</v>
      </c>
      <c r="H1153" s="41">
        <v>46034</v>
      </c>
      <c r="I1153" s="85"/>
      <c r="J1153" s="85"/>
      <c r="K1153" s="51">
        <v>0.35416666666666669</v>
      </c>
      <c r="L1153" s="51">
        <v>0.72916666666666663</v>
      </c>
      <c r="M1153" s="11">
        <f t="shared" si="17"/>
        <v>8.9999999999999982</v>
      </c>
      <c r="N1153" s="22" t="s">
        <v>1</v>
      </c>
      <c r="P1153" s="4"/>
      <c r="Q1153" s="4"/>
      <c r="R1153" s="4"/>
      <c r="S1153" s="4"/>
      <c r="T1153" s="4"/>
      <c r="U1153" s="4"/>
      <c r="V1153" s="4"/>
      <c r="W1153" s="4"/>
    </row>
    <row r="1154" spans="1:23" s="32" customFormat="1" hidden="1" x14ac:dyDescent="0.3">
      <c r="A1154" s="40" t="s">
        <v>21</v>
      </c>
      <c r="B1154" s="21">
        <v>46034</v>
      </c>
      <c r="C1154" s="40" t="s">
        <v>118</v>
      </c>
      <c r="D1154" s="260" t="s">
        <v>54</v>
      </c>
      <c r="E1154" s="260" t="s">
        <v>688</v>
      </c>
      <c r="F1154" s="260" t="s">
        <v>816</v>
      </c>
      <c r="G1154" s="259">
        <v>46034</v>
      </c>
      <c r="H1154" s="259">
        <v>46034</v>
      </c>
      <c r="I1154" s="259">
        <v>46034</v>
      </c>
      <c r="J1154" s="41"/>
      <c r="K1154" s="51">
        <v>0.35416666666666669</v>
      </c>
      <c r="L1154" s="51">
        <v>0.72916666666666663</v>
      </c>
      <c r="M1154" s="11">
        <f t="shared" ref="M1154:M1217" si="18">MOD(L1154-K1154,1)*24</f>
        <v>8.9999999999999982</v>
      </c>
      <c r="N1154" s="233" t="s">
        <v>0</v>
      </c>
      <c r="P1154" s="4"/>
      <c r="Q1154" s="4"/>
      <c r="R1154" s="4"/>
      <c r="S1154" s="4"/>
      <c r="T1154" s="4"/>
      <c r="U1154" s="4"/>
      <c r="V1154" s="4"/>
      <c r="W1154" s="4"/>
    </row>
    <row r="1155" spans="1:23" s="32" customFormat="1" hidden="1" x14ac:dyDescent="0.3">
      <c r="A1155" s="40" t="s">
        <v>21</v>
      </c>
      <c r="B1155" s="21">
        <v>46034</v>
      </c>
      <c r="C1155" s="40" t="s">
        <v>34</v>
      </c>
      <c r="D1155" s="260"/>
      <c r="E1155" s="260"/>
      <c r="F1155" s="260"/>
      <c r="G1155" s="259"/>
      <c r="H1155" s="259"/>
      <c r="I1155" s="259"/>
      <c r="J1155" s="41"/>
      <c r="K1155" s="51">
        <v>0.35416666666666669</v>
      </c>
      <c r="L1155" s="51">
        <v>0.72916666666666663</v>
      </c>
      <c r="M1155" s="11">
        <f t="shared" si="18"/>
        <v>8.9999999999999982</v>
      </c>
      <c r="N1155" s="233"/>
      <c r="P1155" s="4"/>
      <c r="Q1155" s="4"/>
      <c r="R1155" s="4"/>
      <c r="S1155" s="4"/>
      <c r="T1155" s="4"/>
      <c r="U1155" s="4"/>
      <c r="V1155" s="4"/>
      <c r="W1155" s="4"/>
    </row>
    <row r="1156" spans="1:23" s="32" customFormat="1" ht="15.6" hidden="1" x14ac:dyDescent="0.3">
      <c r="A1156" s="40" t="s">
        <v>21</v>
      </c>
      <c r="B1156" s="21">
        <v>46034</v>
      </c>
      <c r="C1156" s="40" t="s">
        <v>55</v>
      </c>
      <c r="D1156" s="40" t="s">
        <v>43</v>
      </c>
      <c r="E1156" s="40" t="s">
        <v>814</v>
      </c>
      <c r="F1156" s="84" t="s">
        <v>770</v>
      </c>
      <c r="G1156" s="41">
        <v>46034</v>
      </c>
      <c r="H1156" s="41">
        <v>46035</v>
      </c>
      <c r="I1156" s="85"/>
      <c r="J1156" s="85"/>
      <c r="K1156" s="51">
        <v>0.27083333333333331</v>
      </c>
      <c r="L1156" s="51">
        <v>0.64583333333333337</v>
      </c>
      <c r="M1156" s="11">
        <f t="shared" si="18"/>
        <v>9.0000000000000018</v>
      </c>
      <c r="N1156" s="22" t="s">
        <v>1</v>
      </c>
      <c r="P1156" s="4"/>
      <c r="Q1156" s="4"/>
      <c r="R1156" s="4"/>
      <c r="S1156" s="4"/>
      <c r="T1156" s="4"/>
      <c r="U1156" s="4"/>
      <c r="V1156" s="4"/>
      <c r="W1156" s="4"/>
    </row>
    <row r="1157" spans="1:23" s="32" customFormat="1" hidden="1" x14ac:dyDescent="0.3">
      <c r="A1157" s="12" t="s">
        <v>21</v>
      </c>
      <c r="B1157" s="21">
        <v>46034</v>
      </c>
      <c r="C1157" s="12" t="s">
        <v>25</v>
      </c>
      <c r="D1157" s="20" t="s">
        <v>43</v>
      </c>
      <c r="E1157" s="14" t="s">
        <v>769</v>
      </c>
      <c r="F1157" s="73" t="s">
        <v>798</v>
      </c>
      <c r="G1157" s="41">
        <v>46034</v>
      </c>
      <c r="H1157" s="41">
        <v>46034</v>
      </c>
      <c r="I1157" s="19"/>
      <c r="J1157" s="19"/>
      <c r="K1157" s="46">
        <v>0.27083333333333331</v>
      </c>
      <c r="L1157" s="53">
        <v>0.64583333333333337</v>
      </c>
      <c r="M1157" s="11">
        <f t="shared" si="18"/>
        <v>9.0000000000000018</v>
      </c>
      <c r="N1157" s="18" t="s">
        <v>1</v>
      </c>
      <c r="P1157" s="4"/>
      <c r="Q1157" s="4"/>
      <c r="R1157" s="4"/>
      <c r="S1157" s="4"/>
      <c r="T1157" s="4"/>
      <c r="U1157" s="4"/>
      <c r="V1157" s="4"/>
      <c r="W1157" s="4"/>
    </row>
    <row r="1158" spans="1:23" s="32" customFormat="1" hidden="1" x14ac:dyDescent="0.3">
      <c r="A1158" s="22" t="s">
        <v>19</v>
      </c>
      <c r="B1158" s="21">
        <v>46034</v>
      </c>
      <c r="C1158" s="22" t="s">
        <v>7</v>
      </c>
      <c r="D1158" s="13" t="s">
        <v>8</v>
      </c>
      <c r="E1158" s="13" t="s">
        <v>682</v>
      </c>
      <c r="F1158" s="13" t="s">
        <v>818</v>
      </c>
      <c r="G1158" s="17">
        <v>46028</v>
      </c>
      <c r="H1158" s="41">
        <v>46034</v>
      </c>
      <c r="I1158" s="21"/>
      <c r="J1158" s="21"/>
      <c r="K1158" s="45">
        <v>0.27083333333333331</v>
      </c>
      <c r="L1158" s="48">
        <v>0.64583333333333337</v>
      </c>
      <c r="M1158" s="11">
        <f t="shared" si="18"/>
        <v>9.0000000000000018</v>
      </c>
      <c r="N1158" s="11" t="s">
        <v>1</v>
      </c>
      <c r="P1158" s="4"/>
      <c r="Q1158" s="4"/>
      <c r="R1158" s="4"/>
      <c r="S1158" s="4"/>
      <c r="T1158" s="4"/>
      <c r="U1158" s="4"/>
      <c r="V1158" s="4"/>
      <c r="W1158" s="4"/>
    </row>
    <row r="1159" spans="1:23" s="32" customFormat="1" hidden="1" x14ac:dyDescent="0.3">
      <c r="A1159" s="22" t="s">
        <v>19</v>
      </c>
      <c r="B1159" s="21">
        <v>46034</v>
      </c>
      <c r="C1159" s="22" t="s">
        <v>9</v>
      </c>
      <c r="D1159" s="13" t="s">
        <v>8</v>
      </c>
      <c r="E1159" s="14" t="s">
        <v>817</v>
      </c>
      <c r="F1159" s="14" t="s">
        <v>819</v>
      </c>
      <c r="G1159" s="41">
        <v>46034</v>
      </c>
      <c r="H1159" s="41">
        <v>46034</v>
      </c>
      <c r="I1159" s="21"/>
      <c r="J1159" s="21"/>
      <c r="K1159" s="45">
        <v>0.27083333333333331</v>
      </c>
      <c r="L1159" s="48">
        <v>0.39583333333333331</v>
      </c>
      <c r="M1159" s="11">
        <f t="shared" si="18"/>
        <v>3</v>
      </c>
      <c r="N1159" s="22" t="s">
        <v>1</v>
      </c>
      <c r="P1159" s="4"/>
      <c r="Q1159" s="4"/>
      <c r="R1159" s="4"/>
      <c r="S1159" s="4"/>
      <c r="T1159" s="4"/>
      <c r="U1159" s="4"/>
      <c r="V1159" s="4"/>
      <c r="W1159" s="4"/>
    </row>
    <row r="1160" spans="1:23" s="32" customFormat="1" hidden="1" x14ac:dyDescent="0.3">
      <c r="A1160" s="22" t="s">
        <v>19</v>
      </c>
      <c r="B1160" s="21">
        <v>46034</v>
      </c>
      <c r="C1160" s="22" t="s">
        <v>9</v>
      </c>
      <c r="D1160" s="14" t="s">
        <v>32</v>
      </c>
      <c r="E1160" s="24" t="s">
        <v>800</v>
      </c>
      <c r="F1160" s="24" t="s">
        <v>801</v>
      </c>
      <c r="G1160" s="19">
        <v>46032</v>
      </c>
      <c r="H1160" s="19">
        <v>46032</v>
      </c>
      <c r="I1160" s="21"/>
      <c r="J1160" s="21"/>
      <c r="K1160" s="45">
        <v>0.27083333333333331</v>
      </c>
      <c r="L1160" s="48">
        <v>0.29166666666666669</v>
      </c>
      <c r="M1160" s="11">
        <f t="shared" si="18"/>
        <v>0.50000000000000089</v>
      </c>
      <c r="N1160" s="67" t="s">
        <v>1</v>
      </c>
      <c r="P1160" s="4"/>
      <c r="Q1160" s="4"/>
      <c r="R1160" s="4"/>
      <c r="S1160" s="4"/>
      <c r="T1160" s="4"/>
      <c r="U1160" s="4"/>
      <c r="V1160" s="4"/>
      <c r="W1160" s="4"/>
    </row>
    <row r="1161" spans="1:23" s="32" customFormat="1" hidden="1" x14ac:dyDescent="0.3">
      <c r="A1161" s="22" t="s">
        <v>19</v>
      </c>
      <c r="B1161" s="21">
        <v>46034</v>
      </c>
      <c r="C1161" s="22" t="s">
        <v>48</v>
      </c>
      <c r="D1161" s="216" t="s">
        <v>8</v>
      </c>
      <c r="E1161" s="222" t="s">
        <v>416</v>
      </c>
      <c r="F1161" s="222" t="s">
        <v>825</v>
      </c>
      <c r="G1161" s="219">
        <v>46034</v>
      </c>
      <c r="H1161" s="219">
        <v>46034</v>
      </c>
      <c r="I1161" s="219">
        <v>46034</v>
      </c>
      <c r="J1161" s="17"/>
      <c r="K1161" s="47">
        <v>0.35416666666666669</v>
      </c>
      <c r="L1161" s="48">
        <v>0.54166666666666663</v>
      </c>
      <c r="M1161" s="11">
        <f t="shared" si="18"/>
        <v>4.4999999999999982</v>
      </c>
      <c r="N1161" s="249" t="s">
        <v>0</v>
      </c>
      <c r="P1161" s="4"/>
      <c r="Q1161" s="4"/>
      <c r="R1161" s="4"/>
      <c r="S1161" s="4"/>
      <c r="T1161" s="4"/>
      <c r="U1161" s="4"/>
      <c r="V1161" s="4"/>
      <c r="W1161" s="4"/>
    </row>
    <row r="1162" spans="1:23" s="32" customFormat="1" hidden="1" x14ac:dyDescent="0.3">
      <c r="A1162" s="22" t="s">
        <v>19</v>
      </c>
      <c r="B1162" s="21">
        <v>46034</v>
      </c>
      <c r="C1162" s="22" t="s">
        <v>208</v>
      </c>
      <c r="D1162" s="217"/>
      <c r="E1162" s="217"/>
      <c r="F1162" s="217"/>
      <c r="G1162" s="220"/>
      <c r="H1162" s="220"/>
      <c r="I1162" s="220"/>
      <c r="J1162" s="23"/>
      <c r="K1162" s="47">
        <v>0.35416666666666669</v>
      </c>
      <c r="L1162" s="48">
        <v>0.54166666666666663</v>
      </c>
      <c r="M1162" s="11">
        <f t="shared" si="18"/>
        <v>4.4999999999999982</v>
      </c>
      <c r="N1162" s="249"/>
      <c r="P1162" s="4"/>
      <c r="Q1162" s="4"/>
      <c r="R1162" s="4"/>
      <c r="S1162" s="4"/>
      <c r="T1162" s="4"/>
      <c r="U1162" s="4"/>
      <c r="V1162" s="4"/>
      <c r="W1162" s="4"/>
    </row>
    <row r="1163" spans="1:23" s="32" customFormat="1" hidden="1" x14ac:dyDescent="0.3">
      <c r="A1163" s="22" t="s">
        <v>19</v>
      </c>
      <c r="B1163" s="21">
        <v>46034</v>
      </c>
      <c r="C1163" s="22" t="s">
        <v>48</v>
      </c>
      <c r="D1163" s="216" t="s">
        <v>8</v>
      </c>
      <c r="E1163" s="216" t="s">
        <v>406</v>
      </c>
      <c r="F1163" s="216" t="s">
        <v>826</v>
      </c>
      <c r="G1163" s="219">
        <v>46034</v>
      </c>
      <c r="H1163" s="219">
        <v>46034</v>
      </c>
      <c r="I1163" s="219">
        <v>46034</v>
      </c>
      <c r="J1163" s="17"/>
      <c r="K1163" s="47">
        <v>0.58333333333333337</v>
      </c>
      <c r="L1163" s="48">
        <v>0.72916666666666663</v>
      </c>
      <c r="M1163" s="11">
        <f t="shared" si="18"/>
        <v>3.4999999999999982</v>
      </c>
      <c r="N1163" s="249" t="s">
        <v>0</v>
      </c>
      <c r="P1163" s="4"/>
      <c r="Q1163" s="4"/>
      <c r="R1163" s="4"/>
      <c r="S1163" s="4"/>
      <c r="T1163" s="4"/>
      <c r="U1163" s="4"/>
      <c r="V1163" s="4"/>
      <c r="W1163" s="4"/>
    </row>
    <row r="1164" spans="1:23" s="32" customFormat="1" hidden="1" x14ac:dyDescent="0.3">
      <c r="A1164" s="22" t="s">
        <v>19</v>
      </c>
      <c r="B1164" s="21">
        <v>46034</v>
      </c>
      <c r="C1164" s="22" t="s">
        <v>208</v>
      </c>
      <c r="D1164" s="217"/>
      <c r="E1164" s="217"/>
      <c r="F1164" s="222"/>
      <c r="G1164" s="220"/>
      <c r="H1164" s="220"/>
      <c r="I1164" s="220"/>
      <c r="J1164" s="23"/>
      <c r="K1164" s="47">
        <v>0.58333333333333337</v>
      </c>
      <c r="L1164" s="48">
        <v>0.72916666666666663</v>
      </c>
      <c r="M1164" s="11">
        <f t="shared" si="18"/>
        <v>3.4999999999999982</v>
      </c>
      <c r="N1164" s="249"/>
      <c r="P1164" s="4"/>
      <c r="Q1164" s="4"/>
      <c r="R1164" s="4"/>
      <c r="S1164" s="4"/>
      <c r="T1164" s="4"/>
      <c r="U1164" s="4"/>
      <c r="V1164" s="4"/>
      <c r="W1164" s="4"/>
    </row>
    <row r="1165" spans="1:23" s="32" customFormat="1" hidden="1" x14ac:dyDescent="0.3">
      <c r="A1165" s="22" t="s">
        <v>20</v>
      </c>
      <c r="B1165" s="21">
        <v>46034</v>
      </c>
      <c r="C1165" s="69" t="s">
        <v>12</v>
      </c>
      <c r="D1165" s="214" t="s">
        <v>44</v>
      </c>
      <c r="E1165" s="233" t="s">
        <v>821</v>
      </c>
      <c r="F1165" s="242" t="s">
        <v>822</v>
      </c>
      <c r="G1165" s="223">
        <v>46034</v>
      </c>
      <c r="H1165" s="223">
        <v>46034</v>
      </c>
      <c r="I1165" s="223">
        <v>46034</v>
      </c>
      <c r="J1165" s="21"/>
      <c r="K1165" s="45">
        <v>0.27083333333333331</v>
      </c>
      <c r="L1165" s="48">
        <v>0.375</v>
      </c>
      <c r="M1165" s="11">
        <f t="shared" si="18"/>
        <v>2.5000000000000004</v>
      </c>
      <c r="N1165" s="224" t="s">
        <v>0</v>
      </c>
      <c r="P1165" s="4"/>
      <c r="Q1165" s="4"/>
      <c r="R1165" s="4"/>
      <c r="S1165" s="4"/>
      <c r="T1165" s="4"/>
      <c r="U1165" s="4"/>
      <c r="V1165" s="4"/>
      <c r="W1165" s="4"/>
    </row>
    <row r="1166" spans="1:23" s="32" customFormat="1" hidden="1" x14ac:dyDescent="0.3">
      <c r="A1166" s="22" t="s">
        <v>20</v>
      </c>
      <c r="B1166" s="21">
        <v>46034</v>
      </c>
      <c r="C1166" s="69" t="s">
        <v>33</v>
      </c>
      <c r="D1166" s="215"/>
      <c r="E1166" s="233"/>
      <c r="F1166" s="248"/>
      <c r="G1166" s="223"/>
      <c r="H1166" s="223"/>
      <c r="I1166" s="223"/>
      <c r="J1166" s="21"/>
      <c r="K1166" s="45">
        <v>0.27083333333333331</v>
      </c>
      <c r="L1166" s="48">
        <v>0.375</v>
      </c>
      <c r="M1166" s="11">
        <f t="shared" si="18"/>
        <v>2.5000000000000004</v>
      </c>
      <c r="N1166" s="225"/>
      <c r="P1166" s="4"/>
      <c r="Q1166" s="4"/>
      <c r="R1166" s="4"/>
      <c r="S1166" s="4"/>
      <c r="T1166" s="4"/>
      <c r="U1166" s="4"/>
      <c r="V1166" s="4"/>
      <c r="W1166" s="4"/>
    </row>
    <row r="1167" spans="1:23" s="32" customFormat="1" hidden="1" x14ac:dyDescent="0.3">
      <c r="A1167" s="22" t="s">
        <v>20</v>
      </c>
      <c r="B1167" s="21">
        <v>46034</v>
      </c>
      <c r="C1167" s="69" t="s">
        <v>12</v>
      </c>
      <c r="D1167" s="214" t="s">
        <v>44</v>
      </c>
      <c r="E1167" s="214" t="s">
        <v>823</v>
      </c>
      <c r="F1167" s="214" t="s">
        <v>824</v>
      </c>
      <c r="G1167" s="223">
        <v>46034</v>
      </c>
      <c r="H1167" s="223">
        <v>46034</v>
      </c>
      <c r="I1167" s="223">
        <v>46034</v>
      </c>
      <c r="J1167" s="21"/>
      <c r="K1167" s="48">
        <v>0.375</v>
      </c>
      <c r="L1167" s="48">
        <v>0.54166666666666663</v>
      </c>
      <c r="M1167" s="11">
        <f t="shared" si="18"/>
        <v>3.9999999999999991</v>
      </c>
      <c r="N1167" s="224" t="s">
        <v>0</v>
      </c>
      <c r="P1167" s="4"/>
      <c r="Q1167" s="4"/>
      <c r="R1167" s="4"/>
      <c r="S1167" s="4"/>
      <c r="T1167" s="4"/>
      <c r="U1167" s="4"/>
      <c r="V1167" s="4"/>
      <c r="W1167" s="4"/>
    </row>
    <row r="1168" spans="1:23" s="32" customFormat="1" hidden="1" x14ac:dyDescent="0.3">
      <c r="A1168" s="22" t="s">
        <v>20</v>
      </c>
      <c r="B1168" s="21">
        <v>46034</v>
      </c>
      <c r="C1168" s="69" t="s">
        <v>33</v>
      </c>
      <c r="D1168" s="215"/>
      <c r="E1168" s="226"/>
      <c r="F1168" s="226"/>
      <c r="G1168" s="223"/>
      <c r="H1168" s="223"/>
      <c r="I1168" s="223"/>
      <c r="J1168" s="21"/>
      <c r="K1168" s="48">
        <v>0.375</v>
      </c>
      <c r="L1168" s="48">
        <v>0.54166666666666663</v>
      </c>
      <c r="M1168" s="11">
        <f t="shared" si="18"/>
        <v>3.9999999999999991</v>
      </c>
      <c r="N1168" s="225"/>
      <c r="P1168" s="4"/>
      <c r="Q1168" s="4"/>
      <c r="R1168" s="4"/>
      <c r="S1168" s="4"/>
      <c r="T1168" s="4"/>
      <c r="U1168" s="4"/>
      <c r="V1168" s="4"/>
      <c r="W1168" s="4"/>
    </row>
    <row r="1169" spans="1:23" s="32" customFormat="1" hidden="1" x14ac:dyDescent="0.3">
      <c r="A1169" s="22" t="s">
        <v>20</v>
      </c>
      <c r="B1169" s="21">
        <v>46034</v>
      </c>
      <c r="C1169" s="69" t="s">
        <v>444</v>
      </c>
      <c r="D1169" s="214" t="s">
        <v>44</v>
      </c>
      <c r="E1169" s="226" t="s">
        <v>804</v>
      </c>
      <c r="F1169" s="242" t="s">
        <v>805</v>
      </c>
      <c r="G1169" s="223">
        <v>46031</v>
      </c>
      <c r="H1169" s="223">
        <v>46037</v>
      </c>
      <c r="I1169" s="223">
        <v>46037</v>
      </c>
      <c r="J1169" s="17"/>
      <c r="K1169" s="47">
        <v>0.35416666666666669</v>
      </c>
      <c r="L1169" s="48">
        <v>0.72916666666666663</v>
      </c>
      <c r="M1169" s="11">
        <f t="shared" si="18"/>
        <v>8.9999999999999982</v>
      </c>
      <c r="N1169" s="224" t="s">
        <v>0</v>
      </c>
      <c r="P1169" s="4"/>
      <c r="Q1169" s="4"/>
      <c r="R1169" s="4"/>
      <c r="S1169" s="4"/>
      <c r="T1169" s="4"/>
      <c r="U1169" s="4"/>
      <c r="V1169" s="4"/>
      <c r="W1169" s="4"/>
    </row>
    <row r="1170" spans="1:23" s="32" customFormat="1" hidden="1" x14ac:dyDescent="0.3">
      <c r="A1170" s="22" t="s">
        <v>20</v>
      </c>
      <c r="B1170" s="21">
        <v>46034</v>
      </c>
      <c r="C1170" s="69" t="s">
        <v>421</v>
      </c>
      <c r="D1170" s="215"/>
      <c r="E1170" s="215"/>
      <c r="F1170" s="248"/>
      <c r="G1170" s="223"/>
      <c r="H1170" s="223"/>
      <c r="I1170" s="223"/>
      <c r="J1170" s="17"/>
      <c r="K1170" s="47">
        <v>0.35416666666666669</v>
      </c>
      <c r="L1170" s="48">
        <v>0.72916666666666663</v>
      </c>
      <c r="M1170" s="11">
        <f t="shared" si="18"/>
        <v>8.9999999999999982</v>
      </c>
      <c r="N1170" s="225"/>
      <c r="P1170" s="4"/>
      <c r="Q1170" s="4"/>
      <c r="R1170" s="4"/>
      <c r="S1170" s="4"/>
      <c r="T1170" s="4"/>
      <c r="U1170" s="4"/>
      <c r="V1170" s="4"/>
      <c r="W1170" s="4"/>
    </row>
    <row r="1171" spans="1:23" s="32" customFormat="1" hidden="1" x14ac:dyDescent="0.3">
      <c r="A1171" s="22" t="s">
        <v>20</v>
      </c>
      <c r="B1171" s="21">
        <v>46034</v>
      </c>
      <c r="C1171" s="22" t="s">
        <v>28</v>
      </c>
      <c r="D1171" s="13" t="s">
        <v>65</v>
      </c>
      <c r="E1171" s="13" t="s">
        <v>806</v>
      </c>
      <c r="F1171" s="26" t="s">
        <v>807</v>
      </c>
      <c r="G1171" s="21">
        <v>46032</v>
      </c>
      <c r="H1171" s="21">
        <v>46032</v>
      </c>
      <c r="I1171" s="21">
        <v>46032</v>
      </c>
      <c r="J1171" s="17"/>
      <c r="K1171" s="47">
        <v>0.27083333333333331</v>
      </c>
      <c r="L1171" s="48">
        <v>0.72916666666666663</v>
      </c>
      <c r="M1171" s="11">
        <f t="shared" si="18"/>
        <v>11</v>
      </c>
      <c r="N1171" s="42" t="s">
        <v>0</v>
      </c>
      <c r="P1171" s="4"/>
      <c r="Q1171" s="4"/>
      <c r="R1171" s="4"/>
      <c r="S1171" s="4"/>
      <c r="T1171" s="4"/>
      <c r="U1171" s="4"/>
      <c r="V1171" s="4"/>
      <c r="W1171" s="4"/>
    </row>
    <row r="1172" spans="1:23" s="32" customFormat="1" hidden="1" x14ac:dyDescent="0.3">
      <c r="A1172" s="22" t="s">
        <v>20</v>
      </c>
      <c r="B1172" s="21">
        <v>46034</v>
      </c>
      <c r="C1172" s="22" t="s">
        <v>47</v>
      </c>
      <c r="D1172" s="216" t="s">
        <v>65</v>
      </c>
      <c r="E1172" s="216" t="s">
        <v>753</v>
      </c>
      <c r="F1172" s="243" t="s">
        <v>788</v>
      </c>
      <c r="G1172" s="219">
        <v>46030</v>
      </c>
      <c r="H1172" s="219">
        <v>46032</v>
      </c>
      <c r="I1172" s="219">
        <v>46032</v>
      </c>
      <c r="J1172" s="17"/>
      <c r="K1172" s="47">
        <v>0.27083333333333331</v>
      </c>
      <c r="L1172" s="48">
        <v>0.72916666666666663</v>
      </c>
      <c r="M1172" s="11">
        <f t="shared" si="18"/>
        <v>11</v>
      </c>
      <c r="N1172" s="231" t="s">
        <v>0</v>
      </c>
      <c r="P1172" s="4"/>
      <c r="Q1172" s="4"/>
      <c r="R1172" s="4"/>
      <c r="S1172" s="4"/>
      <c r="T1172" s="4"/>
      <c r="U1172" s="4"/>
      <c r="V1172" s="4"/>
      <c r="W1172" s="4"/>
    </row>
    <row r="1173" spans="1:23" s="32" customFormat="1" hidden="1" x14ac:dyDescent="0.3">
      <c r="A1173" s="22" t="s">
        <v>20</v>
      </c>
      <c r="B1173" s="21">
        <v>46034</v>
      </c>
      <c r="C1173" s="22" t="s">
        <v>31</v>
      </c>
      <c r="D1173" s="217"/>
      <c r="E1173" s="217"/>
      <c r="F1173" s="244"/>
      <c r="G1173" s="220"/>
      <c r="H1173" s="220"/>
      <c r="I1173" s="220"/>
      <c r="J1173" s="23"/>
      <c r="K1173" s="47">
        <v>0.27083333333333331</v>
      </c>
      <c r="L1173" s="48">
        <v>0.35416666666666669</v>
      </c>
      <c r="M1173" s="11">
        <f t="shared" si="18"/>
        <v>2.0000000000000009</v>
      </c>
      <c r="N1173" s="225"/>
      <c r="P1173" s="4"/>
      <c r="Q1173" s="4"/>
      <c r="R1173" s="4"/>
      <c r="S1173" s="4"/>
      <c r="T1173" s="4"/>
      <c r="U1173" s="4"/>
      <c r="V1173" s="4"/>
      <c r="W1173" s="4"/>
    </row>
    <row r="1174" spans="1:23" s="32" customFormat="1" hidden="1" x14ac:dyDescent="0.3">
      <c r="A1174" s="22" t="s">
        <v>20</v>
      </c>
      <c r="B1174" s="21">
        <v>46034</v>
      </c>
      <c r="C1174" s="22" t="s">
        <v>167</v>
      </c>
      <c r="D1174" s="216" t="s">
        <v>65</v>
      </c>
      <c r="E1174" s="216" t="s">
        <v>785</v>
      </c>
      <c r="F1174" s="243" t="s">
        <v>808</v>
      </c>
      <c r="G1174" s="219">
        <v>46031</v>
      </c>
      <c r="H1174" s="219">
        <v>46032</v>
      </c>
      <c r="I1174" s="219">
        <v>46032</v>
      </c>
      <c r="J1174" s="17"/>
      <c r="K1174" s="47">
        <v>0.27083333333333331</v>
      </c>
      <c r="L1174" s="48">
        <v>0.72916666666666663</v>
      </c>
      <c r="M1174" s="11">
        <f t="shared" si="18"/>
        <v>11</v>
      </c>
      <c r="N1174" s="231" t="s">
        <v>0</v>
      </c>
      <c r="P1174" s="4"/>
      <c r="Q1174" s="4"/>
      <c r="R1174" s="4"/>
      <c r="S1174" s="4"/>
      <c r="T1174" s="4"/>
      <c r="U1174" s="4"/>
      <c r="V1174" s="4"/>
      <c r="W1174" s="4"/>
    </row>
    <row r="1175" spans="1:23" s="32" customFormat="1" hidden="1" x14ac:dyDescent="0.3">
      <c r="A1175" s="22" t="s">
        <v>20</v>
      </c>
      <c r="B1175" s="21">
        <v>46034</v>
      </c>
      <c r="C1175" s="22" t="s">
        <v>31</v>
      </c>
      <c r="D1175" s="217"/>
      <c r="E1175" s="217"/>
      <c r="F1175" s="244"/>
      <c r="G1175" s="220"/>
      <c r="H1175" s="220"/>
      <c r="I1175" s="220"/>
      <c r="J1175" s="23"/>
      <c r="K1175" s="47">
        <v>0.35416666666666669</v>
      </c>
      <c r="L1175" s="45">
        <v>0.4375</v>
      </c>
      <c r="M1175" s="11">
        <f t="shared" si="18"/>
        <v>1.9999999999999996</v>
      </c>
      <c r="N1175" s="225"/>
      <c r="P1175" s="4"/>
      <c r="Q1175" s="4"/>
      <c r="R1175" s="4"/>
      <c r="S1175" s="4"/>
      <c r="T1175" s="4"/>
      <c r="U1175" s="4"/>
      <c r="V1175" s="4"/>
      <c r="W1175" s="4"/>
    </row>
    <row r="1176" spans="1:23" s="32" customFormat="1" hidden="1" x14ac:dyDescent="0.3">
      <c r="A1176" s="22" t="s">
        <v>20</v>
      </c>
      <c r="B1176" s="21">
        <v>46034</v>
      </c>
      <c r="C1176" s="22" t="s">
        <v>17</v>
      </c>
      <c r="D1176" s="216" t="s">
        <v>65</v>
      </c>
      <c r="E1176" s="214" t="s">
        <v>784</v>
      </c>
      <c r="F1176" s="243" t="s">
        <v>115</v>
      </c>
      <c r="G1176" s="219">
        <v>46029</v>
      </c>
      <c r="H1176" s="219">
        <v>46032</v>
      </c>
      <c r="I1176" s="219"/>
      <c r="J1176" s="17"/>
      <c r="K1176" s="47">
        <v>0.27083333333333331</v>
      </c>
      <c r="L1176" s="48">
        <v>0.72916666666666663</v>
      </c>
      <c r="M1176" s="11">
        <f t="shared" si="18"/>
        <v>11</v>
      </c>
      <c r="N1176" s="214" t="s">
        <v>1</v>
      </c>
      <c r="P1176" s="4"/>
      <c r="Q1176" s="4"/>
      <c r="R1176" s="4"/>
      <c r="S1176" s="4"/>
      <c r="T1176" s="4"/>
      <c r="U1176" s="4"/>
      <c r="V1176" s="4"/>
      <c r="W1176" s="4"/>
    </row>
    <row r="1177" spans="1:23" s="32" customFormat="1" hidden="1" x14ac:dyDescent="0.3">
      <c r="A1177" s="22" t="s">
        <v>20</v>
      </c>
      <c r="B1177" s="21">
        <v>46034</v>
      </c>
      <c r="C1177" s="22" t="s">
        <v>31</v>
      </c>
      <c r="D1177" s="217"/>
      <c r="E1177" s="215"/>
      <c r="F1177" s="244"/>
      <c r="G1177" s="220"/>
      <c r="H1177" s="220"/>
      <c r="I1177" s="220"/>
      <c r="J1177" s="23"/>
      <c r="K1177" s="47">
        <v>0.4375</v>
      </c>
      <c r="L1177" s="48">
        <v>0.5</v>
      </c>
      <c r="M1177" s="11">
        <f t="shared" si="18"/>
        <v>1.5</v>
      </c>
      <c r="N1177" s="215"/>
      <c r="P1177" s="4"/>
      <c r="Q1177" s="4"/>
      <c r="R1177" s="4"/>
      <c r="S1177" s="4"/>
      <c r="T1177" s="4"/>
      <c r="U1177" s="4"/>
      <c r="V1177" s="4"/>
      <c r="W1177" s="4"/>
    </row>
    <row r="1178" spans="1:23" s="32" customFormat="1" hidden="1" x14ac:dyDescent="0.3">
      <c r="A1178" s="22" t="s">
        <v>20</v>
      </c>
      <c r="B1178" s="21">
        <v>46034</v>
      </c>
      <c r="C1178" s="69" t="s">
        <v>16</v>
      </c>
      <c r="D1178" s="221" t="s">
        <v>65</v>
      </c>
      <c r="E1178" s="233" t="s">
        <v>447</v>
      </c>
      <c r="F1178" s="245" t="s">
        <v>809</v>
      </c>
      <c r="G1178" s="219">
        <v>46034</v>
      </c>
      <c r="H1178" s="219">
        <v>46034</v>
      </c>
      <c r="I1178" s="223"/>
      <c r="J1178" s="17"/>
      <c r="K1178" s="47">
        <v>0.27083333333333331</v>
      </c>
      <c r="L1178" s="48">
        <v>0.41666666666666669</v>
      </c>
      <c r="M1178" s="11">
        <f t="shared" si="18"/>
        <v>3.5000000000000009</v>
      </c>
      <c r="N1178" s="214" t="s">
        <v>1</v>
      </c>
      <c r="P1178" s="4"/>
      <c r="Q1178" s="4"/>
      <c r="R1178" s="4"/>
      <c r="S1178" s="4"/>
      <c r="T1178" s="4"/>
      <c r="U1178" s="4"/>
      <c r="V1178" s="4"/>
      <c r="W1178" s="4"/>
    </row>
    <row r="1179" spans="1:23" s="32" customFormat="1" hidden="1" x14ac:dyDescent="0.3">
      <c r="A1179" s="22" t="s">
        <v>20</v>
      </c>
      <c r="B1179" s="21">
        <v>46034</v>
      </c>
      <c r="C1179" s="69" t="s">
        <v>31</v>
      </c>
      <c r="D1179" s="221"/>
      <c r="E1179" s="233"/>
      <c r="F1179" s="245"/>
      <c r="G1179" s="220"/>
      <c r="H1179" s="220"/>
      <c r="I1179" s="223"/>
      <c r="J1179" s="21"/>
      <c r="K1179" s="45">
        <v>0.58333333333333337</v>
      </c>
      <c r="L1179" s="48">
        <v>0.66666666666666663</v>
      </c>
      <c r="M1179" s="11">
        <f t="shared" si="18"/>
        <v>1.9999999999999982</v>
      </c>
      <c r="N1179" s="215"/>
      <c r="P1179" s="4"/>
      <c r="Q1179" s="4"/>
      <c r="R1179" s="4"/>
      <c r="S1179" s="4"/>
      <c r="T1179" s="4"/>
      <c r="U1179" s="4"/>
      <c r="V1179" s="4"/>
      <c r="W1179" s="4"/>
    </row>
    <row r="1180" spans="1:23" s="32" customFormat="1" hidden="1" x14ac:dyDescent="0.3">
      <c r="A1180" s="22" t="s">
        <v>20</v>
      </c>
      <c r="B1180" s="21">
        <v>46034</v>
      </c>
      <c r="C1180" s="69" t="s">
        <v>15</v>
      </c>
      <c r="D1180" s="13" t="s">
        <v>65</v>
      </c>
      <c r="E1180" s="22" t="s">
        <v>791</v>
      </c>
      <c r="F1180" s="25" t="s">
        <v>59</v>
      </c>
      <c r="G1180" s="21">
        <v>46032</v>
      </c>
      <c r="H1180" s="21">
        <v>46032</v>
      </c>
      <c r="I1180" s="21">
        <v>46032</v>
      </c>
      <c r="J1180" s="21"/>
      <c r="K1180" s="45">
        <v>0.27083333333333331</v>
      </c>
      <c r="L1180" s="48">
        <v>0.72916666666666663</v>
      </c>
      <c r="M1180" s="11">
        <f t="shared" si="18"/>
        <v>11</v>
      </c>
      <c r="N1180" s="42" t="s">
        <v>0</v>
      </c>
      <c r="P1180" s="4"/>
      <c r="Q1180" s="4"/>
      <c r="R1180" s="4"/>
      <c r="S1180" s="4"/>
      <c r="T1180" s="4"/>
      <c r="U1180" s="4"/>
      <c r="V1180" s="4"/>
      <c r="W1180" s="4"/>
    </row>
    <row r="1181" spans="1:23" s="32" customFormat="1" ht="28.8" hidden="1" x14ac:dyDescent="0.3">
      <c r="A1181" s="40" t="s">
        <v>21</v>
      </c>
      <c r="B1181" s="21">
        <v>46035</v>
      </c>
      <c r="C1181" s="40" t="s">
        <v>26</v>
      </c>
      <c r="D1181" s="40" t="s">
        <v>24</v>
      </c>
      <c r="E1181" s="40" t="s">
        <v>827</v>
      </c>
      <c r="F1181" s="84" t="s">
        <v>828</v>
      </c>
      <c r="G1181" s="41">
        <v>46035</v>
      </c>
      <c r="H1181" s="41">
        <v>46040</v>
      </c>
      <c r="I1181" s="85"/>
      <c r="J1181" s="85"/>
      <c r="K1181" s="51">
        <v>0.27083333333333331</v>
      </c>
      <c r="L1181" s="51">
        <v>0.64583333333333337</v>
      </c>
      <c r="M1181" s="11">
        <f t="shared" si="18"/>
        <v>9.0000000000000018</v>
      </c>
      <c r="N1181" s="22" t="s">
        <v>1</v>
      </c>
      <c r="P1181" s="4"/>
      <c r="Q1181" s="4"/>
      <c r="R1181" s="4"/>
      <c r="S1181" s="4"/>
      <c r="T1181" s="4"/>
      <c r="U1181" s="4"/>
      <c r="V1181" s="4"/>
      <c r="W1181" s="4"/>
    </row>
    <row r="1182" spans="1:23" s="32" customFormat="1" ht="28.8" hidden="1" x14ac:dyDescent="0.3">
      <c r="A1182" s="40" t="s">
        <v>21</v>
      </c>
      <c r="B1182" s="21">
        <v>46035</v>
      </c>
      <c r="C1182" s="40" t="s">
        <v>50</v>
      </c>
      <c r="D1182" s="40" t="s">
        <v>24</v>
      </c>
      <c r="E1182" s="40" t="s">
        <v>829</v>
      </c>
      <c r="F1182" s="84" t="s">
        <v>828</v>
      </c>
      <c r="G1182" s="41">
        <v>46035</v>
      </c>
      <c r="H1182" s="41">
        <v>46040</v>
      </c>
      <c r="I1182" s="85"/>
      <c r="J1182" s="85"/>
      <c r="K1182" s="51">
        <v>0.27083333333333331</v>
      </c>
      <c r="L1182" s="51">
        <v>0.64583333333333337</v>
      </c>
      <c r="M1182" s="11">
        <f t="shared" si="18"/>
        <v>9.0000000000000018</v>
      </c>
      <c r="N1182" s="22" t="s">
        <v>1</v>
      </c>
      <c r="P1182" s="4"/>
      <c r="Q1182" s="4"/>
      <c r="R1182" s="4"/>
      <c r="S1182" s="4"/>
      <c r="T1182" s="4"/>
      <c r="U1182" s="4"/>
      <c r="V1182" s="4"/>
      <c r="W1182" s="4"/>
    </row>
    <row r="1183" spans="1:23" s="32" customFormat="1" ht="15.6" hidden="1" x14ac:dyDescent="0.3">
      <c r="A1183" s="40" t="s">
        <v>21</v>
      </c>
      <c r="B1183" s="21">
        <v>46035</v>
      </c>
      <c r="C1183" s="40" t="s">
        <v>830</v>
      </c>
      <c r="D1183" s="40" t="s">
        <v>24</v>
      </c>
      <c r="E1183" s="40" t="s">
        <v>82</v>
      </c>
      <c r="F1183" s="84" t="s">
        <v>831</v>
      </c>
      <c r="G1183" s="41">
        <v>46035</v>
      </c>
      <c r="H1183" s="41">
        <v>46035</v>
      </c>
      <c r="I1183" s="85"/>
      <c r="J1183" s="85"/>
      <c r="K1183" s="51">
        <v>0.35416666666666669</v>
      </c>
      <c r="L1183" s="51">
        <v>0.72916666666666663</v>
      </c>
      <c r="M1183" s="11">
        <f t="shared" si="18"/>
        <v>8.9999999999999982</v>
      </c>
      <c r="N1183" s="22" t="s">
        <v>1</v>
      </c>
      <c r="P1183" s="4"/>
      <c r="Q1183" s="4"/>
      <c r="R1183" s="4"/>
      <c r="S1183" s="4"/>
      <c r="T1183" s="4"/>
      <c r="U1183" s="4"/>
      <c r="V1183" s="4"/>
      <c r="W1183" s="4"/>
    </row>
    <row r="1184" spans="1:23" s="32" customFormat="1" hidden="1" x14ac:dyDescent="0.3">
      <c r="A1184" s="40" t="s">
        <v>21</v>
      </c>
      <c r="B1184" s="21">
        <v>46035</v>
      </c>
      <c r="C1184" s="40" t="s">
        <v>50</v>
      </c>
      <c r="D1184" s="260" t="s">
        <v>8</v>
      </c>
      <c r="E1184" s="260" t="s">
        <v>682</v>
      </c>
      <c r="F1184" s="261" t="s">
        <v>832</v>
      </c>
      <c r="G1184" s="259">
        <v>46035</v>
      </c>
      <c r="H1184" s="259">
        <v>46035</v>
      </c>
      <c r="I1184" s="259">
        <v>46035</v>
      </c>
      <c r="J1184" s="41"/>
      <c r="K1184" s="51">
        <v>0.35416666666666669</v>
      </c>
      <c r="L1184" s="51">
        <v>0.72916666666666663</v>
      </c>
      <c r="M1184" s="11">
        <f t="shared" si="18"/>
        <v>8.9999999999999982</v>
      </c>
      <c r="N1184" s="233" t="s">
        <v>0</v>
      </c>
      <c r="P1184" s="4"/>
      <c r="Q1184" s="4"/>
      <c r="R1184" s="4"/>
      <c r="S1184" s="4"/>
      <c r="T1184" s="4"/>
      <c r="U1184" s="4"/>
      <c r="V1184" s="4"/>
      <c r="W1184" s="4"/>
    </row>
    <row r="1185" spans="1:23" s="32" customFormat="1" hidden="1" x14ac:dyDescent="0.3">
      <c r="A1185" s="40" t="s">
        <v>21</v>
      </c>
      <c r="B1185" s="21">
        <v>46035</v>
      </c>
      <c r="C1185" s="40" t="s">
        <v>18</v>
      </c>
      <c r="D1185" s="260"/>
      <c r="E1185" s="260"/>
      <c r="F1185" s="261"/>
      <c r="G1185" s="259"/>
      <c r="H1185" s="259"/>
      <c r="I1185" s="259"/>
      <c r="J1185" s="41"/>
      <c r="K1185" s="51">
        <v>0.35416666666666669</v>
      </c>
      <c r="L1185" s="51">
        <v>0.72916666666666663</v>
      </c>
      <c r="M1185" s="11">
        <f t="shared" si="18"/>
        <v>8.9999999999999982</v>
      </c>
      <c r="N1185" s="233"/>
      <c r="P1185" s="4"/>
      <c r="Q1185" s="4"/>
      <c r="R1185" s="4"/>
      <c r="S1185" s="4"/>
      <c r="T1185" s="4"/>
      <c r="U1185" s="4"/>
      <c r="V1185" s="4"/>
      <c r="W1185" s="4"/>
    </row>
    <row r="1186" spans="1:23" s="32" customFormat="1" hidden="1" x14ac:dyDescent="0.3">
      <c r="A1186" s="40" t="s">
        <v>21</v>
      </c>
      <c r="B1186" s="21">
        <v>46035</v>
      </c>
      <c r="C1186" s="40" t="s">
        <v>55</v>
      </c>
      <c r="D1186" s="40" t="s">
        <v>43</v>
      </c>
      <c r="E1186" s="40" t="s">
        <v>814</v>
      </c>
      <c r="F1186" s="84" t="s">
        <v>833</v>
      </c>
      <c r="G1186" s="41">
        <v>46035</v>
      </c>
      <c r="H1186" s="41">
        <v>46035</v>
      </c>
      <c r="I1186" s="41">
        <v>46035</v>
      </c>
      <c r="J1186" s="41"/>
      <c r="K1186" s="51">
        <v>0.27083333333333331</v>
      </c>
      <c r="L1186" s="51">
        <v>0.41666666666666669</v>
      </c>
      <c r="M1186" s="11">
        <f t="shared" si="18"/>
        <v>3.5000000000000009</v>
      </c>
      <c r="N1186" s="42" t="s">
        <v>0</v>
      </c>
      <c r="P1186" s="4"/>
      <c r="Q1186" s="4"/>
      <c r="R1186" s="4"/>
      <c r="S1186" s="4"/>
      <c r="T1186" s="4"/>
      <c r="U1186" s="4"/>
      <c r="V1186" s="4"/>
      <c r="W1186" s="4"/>
    </row>
    <row r="1187" spans="1:23" s="32" customFormat="1" ht="15.6" hidden="1" x14ac:dyDescent="0.3">
      <c r="A1187" s="40" t="s">
        <v>21</v>
      </c>
      <c r="B1187" s="21">
        <v>46035</v>
      </c>
      <c r="C1187" s="40" t="s">
        <v>274</v>
      </c>
      <c r="D1187" s="262" t="s">
        <v>43</v>
      </c>
      <c r="E1187" s="262" t="s">
        <v>834</v>
      </c>
      <c r="F1187" s="264" t="s">
        <v>815</v>
      </c>
      <c r="G1187" s="266">
        <v>46035</v>
      </c>
      <c r="H1187" s="266">
        <v>46037</v>
      </c>
      <c r="I1187" s="85"/>
      <c r="J1187" s="85"/>
      <c r="K1187" s="51">
        <v>0.27083333333333331</v>
      </c>
      <c r="L1187" s="51">
        <v>0.64583333333333337</v>
      </c>
      <c r="M1187" s="11">
        <f t="shared" si="18"/>
        <v>9.0000000000000018</v>
      </c>
      <c r="N1187" s="227" t="s">
        <v>1</v>
      </c>
      <c r="P1187" s="4"/>
      <c r="Q1187" s="4"/>
      <c r="R1187" s="4"/>
      <c r="S1187" s="4"/>
      <c r="T1187" s="4"/>
      <c r="U1187" s="4"/>
      <c r="V1187" s="4"/>
      <c r="W1187" s="4"/>
    </row>
    <row r="1188" spans="1:23" s="32" customFormat="1" ht="15.6" hidden="1" x14ac:dyDescent="0.3">
      <c r="A1188" s="40" t="s">
        <v>21</v>
      </c>
      <c r="B1188" s="21">
        <v>46035</v>
      </c>
      <c r="C1188" s="40" t="s">
        <v>56</v>
      </c>
      <c r="D1188" s="263"/>
      <c r="E1188" s="263"/>
      <c r="F1188" s="265"/>
      <c r="G1188" s="267"/>
      <c r="H1188" s="267"/>
      <c r="I1188" s="85"/>
      <c r="J1188" s="85"/>
      <c r="K1188" s="51">
        <v>0.27083333333333331</v>
      </c>
      <c r="L1188" s="51">
        <v>0.64583333333333337</v>
      </c>
      <c r="M1188" s="11">
        <f t="shared" si="18"/>
        <v>9.0000000000000018</v>
      </c>
      <c r="N1188" s="228"/>
      <c r="P1188" s="4"/>
      <c r="Q1188" s="4"/>
      <c r="R1188" s="4"/>
      <c r="S1188" s="4"/>
      <c r="T1188" s="4"/>
      <c r="U1188" s="4"/>
      <c r="V1188" s="4"/>
      <c r="W1188" s="4"/>
    </row>
    <row r="1189" spans="1:23" s="32" customFormat="1" hidden="1" x14ac:dyDescent="0.3">
      <c r="A1189" s="40" t="s">
        <v>21</v>
      </c>
      <c r="B1189" s="21">
        <v>46035</v>
      </c>
      <c r="C1189" s="40" t="s">
        <v>771</v>
      </c>
      <c r="D1189" s="262" t="s">
        <v>43</v>
      </c>
      <c r="E1189" s="262" t="s">
        <v>796</v>
      </c>
      <c r="F1189" s="264" t="s">
        <v>835</v>
      </c>
      <c r="G1189" s="266">
        <v>46035</v>
      </c>
      <c r="H1189" s="266">
        <v>46035</v>
      </c>
      <c r="I1189" s="266">
        <v>46035</v>
      </c>
      <c r="J1189" s="36"/>
      <c r="K1189" s="51">
        <v>0.35416666666666669</v>
      </c>
      <c r="L1189" s="51">
        <v>0.54166666666666663</v>
      </c>
      <c r="M1189" s="11">
        <f t="shared" si="18"/>
        <v>4.4999999999999982</v>
      </c>
      <c r="N1189" s="214" t="s">
        <v>0</v>
      </c>
      <c r="P1189" s="4"/>
      <c r="Q1189" s="4"/>
      <c r="R1189" s="4"/>
      <c r="S1189" s="4"/>
      <c r="T1189" s="4"/>
      <c r="U1189" s="4"/>
      <c r="V1189" s="4"/>
      <c r="W1189" s="4"/>
    </row>
    <row r="1190" spans="1:23" s="32" customFormat="1" hidden="1" x14ac:dyDescent="0.3">
      <c r="A1190" s="40" t="s">
        <v>21</v>
      </c>
      <c r="B1190" s="21">
        <v>46035</v>
      </c>
      <c r="C1190" s="40" t="s">
        <v>320</v>
      </c>
      <c r="D1190" s="263"/>
      <c r="E1190" s="263"/>
      <c r="F1190" s="265"/>
      <c r="G1190" s="267"/>
      <c r="H1190" s="267"/>
      <c r="I1190" s="267"/>
      <c r="J1190" s="37"/>
      <c r="K1190" s="51">
        <v>0.35416666666666669</v>
      </c>
      <c r="L1190" s="51">
        <v>0.54166666666666663</v>
      </c>
      <c r="M1190" s="11">
        <f t="shared" si="18"/>
        <v>4.4999999999999982</v>
      </c>
      <c r="N1190" s="215"/>
      <c r="P1190" s="4"/>
      <c r="Q1190" s="4"/>
      <c r="R1190" s="4"/>
      <c r="S1190" s="4"/>
      <c r="T1190" s="4"/>
      <c r="U1190" s="4"/>
      <c r="V1190" s="4"/>
      <c r="W1190" s="4"/>
    </row>
    <row r="1191" spans="1:23" s="32" customFormat="1" hidden="1" x14ac:dyDescent="0.3">
      <c r="A1191" s="40" t="s">
        <v>21</v>
      </c>
      <c r="B1191" s="21">
        <v>46035</v>
      </c>
      <c r="C1191" s="40" t="s">
        <v>118</v>
      </c>
      <c r="D1191" s="260" t="s">
        <v>54</v>
      </c>
      <c r="E1191" s="260" t="s">
        <v>688</v>
      </c>
      <c r="F1191" s="260" t="s">
        <v>816</v>
      </c>
      <c r="G1191" s="259">
        <v>46035</v>
      </c>
      <c r="H1191" s="266">
        <v>46035</v>
      </c>
      <c r="I1191" s="266">
        <v>46035</v>
      </c>
      <c r="J1191" s="36"/>
      <c r="K1191" s="51">
        <v>0.35416666666666669</v>
      </c>
      <c r="L1191" s="51">
        <v>0.72916666666666663</v>
      </c>
      <c r="M1191" s="11">
        <f t="shared" si="18"/>
        <v>8.9999999999999982</v>
      </c>
      <c r="N1191" s="233" t="s">
        <v>0</v>
      </c>
      <c r="P1191" s="4"/>
      <c r="Q1191" s="4"/>
      <c r="R1191" s="4"/>
      <c r="S1191" s="4"/>
      <c r="T1191" s="4"/>
      <c r="U1191" s="4"/>
      <c r="V1191" s="4"/>
      <c r="W1191" s="4"/>
    </row>
    <row r="1192" spans="1:23" s="32" customFormat="1" hidden="1" x14ac:dyDescent="0.3">
      <c r="A1192" s="40" t="s">
        <v>21</v>
      </c>
      <c r="B1192" s="21">
        <v>46035</v>
      </c>
      <c r="C1192" s="40" t="s">
        <v>34</v>
      </c>
      <c r="D1192" s="260"/>
      <c r="E1192" s="260"/>
      <c r="F1192" s="260"/>
      <c r="G1192" s="259"/>
      <c r="H1192" s="267"/>
      <c r="I1192" s="267"/>
      <c r="J1192" s="37"/>
      <c r="K1192" s="51">
        <v>0.35416666666666669</v>
      </c>
      <c r="L1192" s="51">
        <v>0.72916666666666663</v>
      </c>
      <c r="M1192" s="11">
        <f t="shared" si="18"/>
        <v>8.9999999999999982</v>
      </c>
      <c r="N1192" s="233"/>
      <c r="P1192" s="4"/>
      <c r="Q1192" s="4"/>
      <c r="R1192" s="4"/>
      <c r="S1192" s="4"/>
      <c r="T1192" s="4"/>
      <c r="U1192" s="4"/>
      <c r="V1192" s="4"/>
      <c r="W1192" s="4"/>
    </row>
    <row r="1193" spans="1:23" s="32" customFormat="1" hidden="1" x14ac:dyDescent="0.3">
      <c r="A1193" s="12" t="s">
        <v>21</v>
      </c>
      <c r="B1193" s="21">
        <v>46035</v>
      </c>
      <c r="C1193" s="12" t="s">
        <v>25</v>
      </c>
      <c r="D1193" s="20" t="s">
        <v>43</v>
      </c>
      <c r="E1193" s="14" t="s">
        <v>836</v>
      </c>
      <c r="F1193" s="73" t="s">
        <v>798</v>
      </c>
      <c r="G1193" s="41">
        <v>46035</v>
      </c>
      <c r="H1193" s="41">
        <v>46035</v>
      </c>
      <c r="I1193" s="41">
        <v>46035</v>
      </c>
      <c r="J1193" s="37"/>
      <c r="K1193" s="46">
        <v>0.27083333333333331</v>
      </c>
      <c r="L1193" s="53">
        <v>0.64583333333333337</v>
      </c>
      <c r="M1193" s="11">
        <f t="shared" si="18"/>
        <v>9.0000000000000018</v>
      </c>
      <c r="N1193" s="18" t="s">
        <v>0</v>
      </c>
      <c r="P1193" s="4"/>
      <c r="Q1193" s="4"/>
      <c r="R1193" s="4"/>
      <c r="S1193" s="4"/>
      <c r="T1193" s="4"/>
      <c r="U1193" s="4"/>
      <c r="V1193" s="4"/>
      <c r="W1193" s="4"/>
    </row>
    <row r="1194" spans="1:23" s="32" customFormat="1" hidden="1" x14ac:dyDescent="0.3">
      <c r="A1194" s="40" t="s">
        <v>21</v>
      </c>
      <c r="B1194" s="21">
        <v>46035</v>
      </c>
      <c r="C1194" s="40" t="s">
        <v>55</v>
      </c>
      <c r="D1194" s="20" t="s">
        <v>43</v>
      </c>
      <c r="E1194" s="20" t="s">
        <v>847</v>
      </c>
      <c r="F1194" s="73" t="s">
        <v>848</v>
      </c>
      <c r="G1194" s="41">
        <v>46035</v>
      </c>
      <c r="H1194" s="41">
        <v>46035</v>
      </c>
      <c r="I1194" s="19"/>
      <c r="J1194" s="19"/>
      <c r="K1194" s="46">
        <v>0.41666666666666669</v>
      </c>
      <c r="L1194" s="53">
        <v>0.64583333333333337</v>
      </c>
      <c r="M1194" s="11">
        <f t="shared" si="18"/>
        <v>5.5</v>
      </c>
      <c r="N1194" s="18" t="s">
        <v>1</v>
      </c>
      <c r="P1194" s="4"/>
      <c r="Q1194" s="4"/>
      <c r="R1194" s="4"/>
      <c r="S1194" s="4"/>
      <c r="T1194" s="4"/>
      <c r="U1194" s="4"/>
      <c r="V1194" s="4"/>
      <c r="W1194" s="4"/>
    </row>
    <row r="1195" spans="1:23" s="32" customFormat="1" hidden="1" x14ac:dyDescent="0.3">
      <c r="A1195" s="22" t="s">
        <v>19</v>
      </c>
      <c r="B1195" s="21">
        <v>46035</v>
      </c>
      <c r="C1195" s="22" t="s">
        <v>7</v>
      </c>
      <c r="D1195" s="216" t="s">
        <v>8</v>
      </c>
      <c r="E1195" s="216" t="s">
        <v>682</v>
      </c>
      <c r="F1195" s="216" t="s">
        <v>818</v>
      </c>
      <c r="G1195" s="219">
        <v>46028</v>
      </c>
      <c r="H1195" s="266">
        <v>46035</v>
      </c>
      <c r="I1195" s="21"/>
      <c r="J1195" s="21"/>
      <c r="K1195" s="45">
        <v>0.27083333333333331</v>
      </c>
      <c r="L1195" s="48">
        <v>0.64583333333333337</v>
      </c>
      <c r="M1195" s="11">
        <f t="shared" si="18"/>
        <v>9.0000000000000018</v>
      </c>
      <c r="N1195" s="214" t="s">
        <v>1</v>
      </c>
      <c r="P1195" s="4"/>
      <c r="Q1195" s="4"/>
      <c r="R1195" s="4"/>
      <c r="S1195" s="4"/>
      <c r="T1195" s="4"/>
      <c r="U1195" s="4"/>
      <c r="V1195" s="4"/>
      <c r="W1195" s="4"/>
    </row>
    <row r="1196" spans="1:23" s="32" customFormat="1" hidden="1" x14ac:dyDescent="0.3">
      <c r="A1196" s="22" t="s">
        <v>19</v>
      </c>
      <c r="B1196" s="21">
        <v>46035</v>
      </c>
      <c r="C1196" s="22" t="s">
        <v>9</v>
      </c>
      <c r="D1196" s="222"/>
      <c r="E1196" s="217"/>
      <c r="F1196" s="217"/>
      <c r="G1196" s="220"/>
      <c r="H1196" s="267"/>
      <c r="I1196" s="21"/>
      <c r="J1196" s="21"/>
      <c r="K1196" s="45">
        <v>0.27083333333333331</v>
      </c>
      <c r="L1196" s="48">
        <v>0.39583333333333331</v>
      </c>
      <c r="M1196" s="11">
        <f t="shared" si="18"/>
        <v>3</v>
      </c>
      <c r="N1196" s="215"/>
      <c r="P1196" s="4"/>
      <c r="Q1196" s="4"/>
      <c r="R1196" s="4"/>
      <c r="S1196" s="4"/>
      <c r="T1196" s="4"/>
      <c r="U1196" s="4"/>
      <c r="V1196" s="4"/>
      <c r="W1196" s="4"/>
    </row>
    <row r="1197" spans="1:23" s="32" customFormat="1" hidden="1" x14ac:dyDescent="0.3">
      <c r="A1197" s="22" t="s">
        <v>19</v>
      </c>
      <c r="B1197" s="21">
        <v>46035</v>
      </c>
      <c r="C1197" s="22" t="s">
        <v>48</v>
      </c>
      <c r="D1197" s="216" t="s">
        <v>8</v>
      </c>
      <c r="E1197" s="222" t="s">
        <v>340</v>
      </c>
      <c r="F1197" s="222" t="s">
        <v>837</v>
      </c>
      <c r="G1197" s="219">
        <v>46035</v>
      </c>
      <c r="H1197" s="219">
        <v>46035</v>
      </c>
      <c r="I1197" s="219">
        <v>46035</v>
      </c>
      <c r="J1197" s="17"/>
      <c r="K1197" s="47">
        <v>0.35416666666666669</v>
      </c>
      <c r="L1197" s="48">
        <v>0.52083333333333337</v>
      </c>
      <c r="M1197" s="11">
        <f t="shared" si="18"/>
        <v>4</v>
      </c>
      <c r="N1197" s="249" t="s">
        <v>0</v>
      </c>
      <c r="P1197" s="4"/>
      <c r="Q1197" s="4"/>
      <c r="R1197" s="4"/>
      <c r="S1197" s="4"/>
      <c r="T1197" s="4"/>
      <c r="U1197" s="4"/>
      <c r="V1197" s="4"/>
      <c r="W1197" s="4"/>
    </row>
    <row r="1198" spans="1:23" s="32" customFormat="1" hidden="1" x14ac:dyDescent="0.3">
      <c r="A1198" s="22" t="s">
        <v>19</v>
      </c>
      <c r="B1198" s="21">
        <v>46035</v>
      </c>
      <c r="C1198" s="22" t="s">
        <v>208</v>
      </c>
      <c r="D1198" s="217"/>
      <c r="E1198" s="217"/>
      <c r="F1198" s="217"/>
      <c r="G1198" s="220"/>
      <c r="H1198" s="220"/>
      <c r="I1198" s="220"/>
      <c r="J1198" s="23"/>
      <c r="K1198" s="47">
        <v>0.35416666666666669</v>
      </c>
      <c r="L1198" s="48">
        <v>0.52083333333333337</v>
      </c>
      <c r="M1198" s="11">
        <f t="shared" si="18"/>
        <v>4</v>
      </c>
      <c r="N1198" s="249"/>
      <c r="P1198" s="4"/>
      <c r="Q1198" s="4"/>
      <c r="R1198" s="4"/>
      <c r="S1198" s="4"/>
      <c r="T1198" s="4"/>
      <c r="U1198" s="4"/>
      <c r="V1198" s="4"/>
      <c r="W1198" s="4"/>
    </row>
    <row r="1199" spans="1:23" s="32" customFormat="1" hidden="1" x14ac:dyDescent="0.3">
      <c r="A1199" s="22" t="s">
        <v>19</v>
      </c>
      <c r="B1199" s="21">
        <v>46035</v>
      </c>
      <c r="C1199" s="22" t="s">
        <v>48</v>
      </c>
      <c r="D1199" s="216" t="s">
        <v>8</v>
      </c>
      <c r="E1199" s="216" t="s">
        <v>340</v>
      </c>
      <c r="F1199" s="216" t="s">
        <v>846</v>
      </c>
      <c r="G1199" s="219">
        <v>46035</v>
      </c>
      <c r="H1199" s="219">
        <v>46035</v>
      </c>
      <c r="I1199" s="219">
        <v>46035</v>
      </c>
      <c r="J1199" s="17"/>
      <c r="K1199" s="47">
        <v>0.58333333333333337</v>
      </c>
      <c r="L1199" s="48">
        <v>0.72916666666666663</v>
      </c>
      <c r="M1199" s="11">
        <f t="shared" si="18"/>
        <v>3.4999999999999982</v>
      </c>
      <c r="N1199" s="224" t="s">
        <v>0</v>
      </c>
      <c r="P1199" s="4"/>
      <c r="Q1199" s="4"/>
      <c r="R1199" s="4"/>
      <c r="S1199" s="4"/>
      <c r="T1199" s="4"/>
      <c r="U1199" s="4"/>
      <c r="V1199" s="4"/>
      <c r="W1199" s="4"/>
    </row>
    <row r="1200" spans="1:23" s="32" customFormat="1" hidden="1" x14ac:dyDescent="0.3">
      <c r="A1200" s="22" t="s">
        <v>19</v>
      </c>
      <c r="B1200" s="21">
        <v>46035</v>
      </c>
      <c r="C1200" s="22" t="s">
        <v>208</v>
      </c>
      <c r="D1200" s="217"/>
      <c r="E1200" s="217"/>
      <c r="F1200" s="217"/>
      <c r="G1200" s="220"/>
      <c r="H1200" s="220"/>
      <c r="I1200" s="220"/>
      <c r="J1200" s="23"/>
      <c r="K1200" s="47">
        <v>0.58333333333333337</v>
      </c>
      <c r="L1200" s="48">
        <v>0.72916666666666663</v>
      </c>
      <c r="M1200" s="11">
        <f t="shared" si="18"/>
        <v>3.4999999999999982</v>
      </c>
      <c r="N1200" s="225"/>
      <c r="P1200" s="4"/>
      <c r="Q1200" s="4"/>
      <c r="R1200" s="4"/>
      <c r="S1200" s="4"/>
      <c r="T1200" s="4"/>
      <c r="U1200" s="4"/>
      <c r="V1200" s="4"/>
      <c r="W1200" s="4"/>
    </row>
    <row r="1201" spans="1:23" s="32" customFormat="1" hidden="1" x14ac:dyDescent="0.3">
      <c r="A1201" s="22" t="s">
        <v>20</v>
      </c>
      <c r="B1201" s="21">
        <v>46035</v>
      </c>
      <c r="C1201" s="69" t="s">
        <v>12</v>
      </c>
      <c r="D1201" s="214" t="s">
        <v>44</v>
      </c>
      <c r="E1201" s="233" t="s">
        <v>767</v>
      </c>
      <c r="F1201" s="242" t="s">
        <v>838</v>
      </c>
      <c r="G1201" s="223">
        <v>46035</v>
      </c>
      <c r="H1201" s="219">
        <v>46035</v>
      </c>
      <c r="I1201" s="219">
        <v>46035</v>
      </c>
      <c r="J1201" s="17"/>
      <c r="K1201" s="45">
        <v>0.27083333333333331</v>
      </c>
      <c r="L1201" s="48">
        <v>0.45833333333333331</v>
      </c>
      <c r="M1201" s="11">
        <f t="shared" si="18"/>
        <v>4.5</v>
      </c>
      <c r="N1201" s="224" t="s">
        <v>0</v>
      </c>
      <c r="P1201" s="4"/>
      <c r="Q1201" s="4"/>
      <c r="R1201" s="4"/>
      <c r="S1201" s="4"/>
      <c r="T1201" s="4"/>
      <c r="U1201" s="4"/>
      <c r="V1201" s="4"/>
      <c r="W1201" s="4"/>
    </row>
    <row r="1202" spans="1:23" s="32" customFormat="1" hidden="1" x14ac:dyDescent="0.3">
      <c r="A1202" s="22" t="s">
        <v>20</v>
      </c>
      <c r="B1202" s="21">
        <v>46035</v>
      </c>
      <c r="C1202" s="69" t="s">
        <v>33</v>
      </c>
      <c r="D1202" s="215"/>
      <c r="E1202" s="233"/>
      <c r="F1202" s="248"/>
      <c r="G1202" s="223"/>
      <c r="H1202" s="220"/>
      <c r="I1202" s="220"/>
      <c r="J1202" s="19"/>
      <c r="K1202" s="45">
        <v>0.27083333333333331</v>
      </c>
      <c r="L1202" s="48">
        <v>0.45833333333333331</v>
      </c>
      <c r="M1202" s="11">
        <f t="shared" si="18"/>
        <v>4.5</v>
      </c>
      <c r="N1202" s="225"/>
      <c r="P1202" s="4"/>
      <c r="Q1202" s="4"/>
      <c r="R1202" s="4"/>
      <c r="S1202" s="4"/>
      <c r="T1202" s="4"/>
      <c r="U1202" s="4"/>
      <c r="V1202" s="4"/>
      <c r="W1202" s="4"/>
    </row>
    <row r="1203" spans="1:23" s="32" customFormat="1" hidden="1" x14ac:dyDescent="0.3">
      <c r="A1203" s="22" t="s">
        <v>20</v>
      </c>
      <c r="B1203" s="21">
        <v>46035</v>
      </c>
      <c r="C1203" s="69" t="s">
        <v>444</v>
      </c>
      <c r="D1203" s="214" t="s">
        <v>44</v>
      </c>
      <c r="E1203" s="226" t="s">
        <v>804</v>
      </c>
      <c r="F1203" s="242" t="s">
        <v>839</v>
      </c>
      <c r="G1203" s="223">
        <v>46035</v>
      </c>
      <c r="H1203" s="223">
        <v>46037</v>
      </c>
      <c r="I1203" s="223">
        <v>46037</v>
      </c>
      <c r="J1203" s="17"/>
      <c r="K1203" s="47">
        <v>0.35416666666666669</v>
      </c>
      <c r="L1203" s="48">
        <v>0.72916666666666663</v>
      </c>
      <c r="M1203" s="11">
        <f t="shared" si="18"/>
        <v>8.9999999999999982</v>
      </c>
      <c r="N1203" s="224" t="s">
        <v>0</v>
      </c>
      <c r="P1203" s="4"/>
      <c r="Q1203" s="4"/>
      <c r="R1203" s="4"/>
      <c r="S1203" s="4"/>
      <c r="T1203" s="4"/>
      <c r="U1203" s="4"/>
      <c r="V1203" s="4"/>
      <c r="W1203" s="4"/>
    </row>
    <row r="1204" spans="1:23" s="32" customFormat="1" hidden="1" x14ac:dyDescent="0.3">
      <c r="A1204" s="22" t="s">
        <v>20</v>
      </c>
      <c r="B1204" s="21">
        <v>46035</v>
      </c>
      <c r="C1204" s="69" t="s">
        <v>421</v>
      </c>
      <c r="D1204" s="215"/>
      <c r="E1204" s="215"/>
      <c r="F1204" s="248"/>
      <c r="G1204" s="223"/>
      <c r="H1204" s="223"/>
      <c r="I1204" s="223"/>
      <c r="J1204" s="17"/>
      <c r="K1204" s="47">
        <v>0.35416666666666669</v>
      </c>
      <c r="L1204" s="48">
        <v>0.72916666666666663</v>
      </c>
      <c r="M1204" s="11">
        <f t="shared" si="18"/>
        <v>8.9999999999999982</v>
      </c>
      <c r="N1204" s="225"/>
      <c r="P1204" s="4"/>
      <c r="Q1204" s="4"/>
      <c r="R1204" s="4"/>
      <c r="S1204" s="4"/>
      <c r="T1204" s="4"/>
      <c r="U1204" s="4"/>
      <c r="V1204" s="4"/>
      <c r="W1204" s="4"/>
    </row>
    <row r="1205" spans="1:23" s="32" customFormat="1" hidden="1" x14ac:dyDescent="0.3">
      <c r="A1205" s="22" t="s">
        <v>20</v>
      </c>
      <c r="B1205" s="21">
        <v>46035</v>
      </c>
      <c r="C1205" s="22" t="s">
        <v>28</v>
      </c>
      <c r="D1205" s="13" t="s">
        <v>65</v>
      </c>
      <c r="E1205" s="13" t="s">
        <v>840</v>
      </c>
      <c r="F1205" s="26" t="s">
        <v>841</v>
      </c>
      <c r="G1205" s="21">
        <v>46035</v>
      </c>
      <c r="H1205" s="21">
        <v>46035</v>
      </c>
      <c r="I1205" s="21">
        <v>46035</v>
      </c>
      <c r="J1205" s="17"/>
      <c r="K1205" s="47">
        <v>0.27083333333333331</v>
      </c>
      <c r="L1205" s="48">
        <v>0.72916666666666663</v>
      </c>
      <c r="M1205" s="11">
        <f t="shared" si="18"/>
        <v>11</v>
      </c>
      <c r="N1205" s="42" t="s">
        <v>0</v>
      </c>
      <c r="P1205" s="4"/>
      <c r="Q1205" s="4"/>
      <c r="R1205" s="4"/>
      <c r="S1205" s="4"/>
      <c r="T1205" s="4"/>
      <c r="U1205" s="4"/>
      <c r="V1205" s="4"/>
      <c r="W1205" s="4"/>
    </row>
    <row r="1206" spans="1:23" s="32" customFormat="1" hidden="1" x14ac:dyDescent="0.3">
      <c r="A1206" s="22" t="s">
        <v>20</v>
      </c>
      <c r="B1206" s="21">
        <v>46035</v>
      </c>
      <c r="C1206" s="22" t="s">
        <v>47</v>
      </c>
      <c r="D1206" s="216" t="s">
        <v>65</v>
      </c>
      <c r="E1206" s="216" t="s">
        <v>842</v>
      </c>
      <c r="F1206" s="243" t="s">
        <v>843</v>
      </c>
      <c r="G1206" s="219">
        <v>46035</v>
      </c>
      <c r="H1206" s="219">
        <v>46035</v>
      </c>
      <c r="I1206" s="219">
        <v>46035</v>
      </c>
      <c r="J1206" s="17"/>
      <c r="K1206" s="47">
        <v>0.27083333333333331</v>
      </c>
      <c r="L1206" s="48">
        <v>0.72916666666666663</v>
      </c>
      <c r="M1206" s="11">
        <f t="shared" si="18"/>
        <v>11</v>
      </c>
      <c r="N1206" s="231" t="s">
        <v>0</v>
      </c>
      <c r="P1206" s="4"/>
      <c r="Q1206" s="4"/>
      <c r="R1206" s="4"/>
      <c r="S1206" s="4"/>
      <c r="T1206" s="4"/>
      <c r="U1206" s="4"/>
      <c r="V1206" s="4"/>
      <c r="W1206" s="4"/>
    </row>
    <row r="1207" spans="1:23" s="32" customFormat="1" hidden="1" x14ac:dyDescent="0.3">
      <c r="A1207" s="22" t="s">
        <v>20</v>
      </c>
      <c r="B1207" s="21">
        <v>46035</v>
      </c>
      <c r="C1207" s="22" t="s">
        <v>31</v>
      </c>
      <c r="D1207" s="217"/>
      <c r="E1207" s="217"/>
      <c r="F1207" s="244"/>
      <c r="G1207" s="220"/>
      <c r="H1207" s="220"/>
      <c r="I1207" s="220"/>
      <c r="J1207" s="23"/>
      <c r="K1207" s="47">
        <v>0.27083333333333331</v>
      </c>
      <c r="L1207" s="48">
        <v>0.35416666666666669</v>
      </c>
      <c r="M1207" s="11">
        <f t="shared" si="18"/>
        <v>2.0000000000000009</v>
      </c>
      <c r="N1207" s="225"/>
      <c r="P1207" s="4"/>
      <c r="Q1207" s="4"/>
      <c r="R1207" s="4"/>
      <c r="S1207" s="4"/>
      <c r="T1207" s="4"/>
      <c r="U1207" s="4"/>
      <c r="V1207" s="4"/>
      <c r="W1207" s="4"/>
    </row>
    <row r="1208" spans="1:23" s="32" customFormat="1" hidden="1" x14ac:dyDescent="0.3">
      <c r="A1208" s="22" t="s">
        <v>20</v>
      </c>
      <c r="B1208" s="21">
        <v>46035</v>
      </c>
      <c r="C1208" s="22" t="s">
        <v>167</v>
      </c>
      <c r="D1208" s="216" t="s">
        <v>65</v>
      </c>
      <c r="E1208" s="216" t="s">
        <v>785</v>
      </c>
      <c r="F1208" s="243" t="s">
        <v>115</v>
      </c>
      <c r="G1208" s="219">
        <v>46031</v>
      </c>
      <c r="H1208" s="219">
        <v>46035</v>
      </c>
      <c r="I1208" s="219"/>
      <c r="J1208" s="17"/>
      <c r="K1208" s="47">
        <v>0.27083333333333331</v>
      </c>
      <c r="L1208" s="48">
        <v>0.72916666666666663</v>
      </c>
      <c r="M1208" s="11">
        <f t="shared" si="18"/>
        <v>11</v>
      </c>
      <c r="N1208" s="230" t="s">
        <v>1</v>
      </c>
      <c r="P1208" s="4"/>
      <c r="Q1208" s="4"/>
      <c r="R1208" s="4"/>
      <c r="S1208" s="4"/>
      <c r="T1208" s="4"/>
      <c r="U1208" s="4"/>
      <c r="V1208" s="4"/>
      <c r="W1208" s="4"/>
    </row>
    <row r="1209" spans="1:23" s="32" customFormat="1" hidden="1" x14ac:dyDescent="0.3">
      <c r="A1209" s="22" t="s">
        <v>20</v>
      </c>
      <c r="B1209" s="21">
        <v>46035</v>
      </c>
      <c r="C1209" s="22" t="s">
        <v>31</v>
      </c>
      <c r="D1209" s="217"/>
      <c r="E1209" s="217"/>
      <c r="F1209" s="244"/>
      <c r="G1209" s="220"/>
      <c r="H1209" s="220"/>
      <c r="I1209" s="220"/>
      <c r="J1209" s="23"/>
      <c r="K1209" s="47">
        <v>0.35416666666666669</v>
      </c>
      <c r="L1209" s="45">
        <v>0.4375</v>
      </c>
      <c r="M1209" s="11">
        <f t="shared" si="18"/>
        <v>1.9999999999999996</v>
      </c>
      <c r="N1209" s="228"/>
      <c r="P1209" s="4"/>
      <c r="Q1209" s="4"/>
      <c r="R1209" s="4"/>
      <c r="S1209" s="4"/>
      <c r="T1209" s="4"/>
      <c r="U1209" s="4"/>
      <c r="V1209" s="4"/>
      <c r="W1209" s="4"/>
    </row>
    <row r="1210" spans="1:23" s="32" customFormat="1" hidden="1" x14ac:dyDescent="0.3">
      <c r="A1210" s="22" t="s">
        <v>20</v>
      </c>
      <c r="B1210" s="21">
        <v>46035</v>
      </c>
      <c r="C1210" s="22" t="s">
        <v>17</v>
      </c>
      <c r="D1210" s="216" t="s">
        <v>65</v>
      </c>
      <c r="E1210" s="214" t="s">
        <v>784</v>
      </c>
      <c r="F1210" s="243" t="s">
        <v>115</v>
      </c>
      <c r="G1210" s="219">
        <v>46031</v>
      </c>
      <c r="H1210" s="219">
        <v>46035</v>
      </c>
      <c r="I1210" s="219"/>
      <c r="J1210" s="17"/>
      <c r="K1210" s="47">
        <v>0.27083333333333331</v>
      </c>
      <c r="L1210" s="48">
        <v>0.72916666666666663</v>
      </c>
      <c r="M1210" s="11">
        <f t="shared" si="18"/>
        <v>11</v>
      </c>
      <c r="N1210" s="214" t="s">
        <v>1</v>
      </c>
      <c r="P1210" s="4"/>
      <c r="Q1210" s="4"/>
      <c r="R1210" s="4"/>
      <c r="S1210" s="4"/>
      <c r="T1210" s="4"/>
      <c r="U1210" s="4"/>
      <c r="V1210" s="4"/>
      <c r="W1210" s="4"/>
    </row>
    <row r="1211" spans="1:23" s="32" customFormat="1" hidden="1" x14ac:dyDescent="0.3">
      <c r="A1211" s="22" t="s">
        <v>20</v>
      </c>
      <c r="B1211" s="21">
        <v>46035</v>
      </c>
      <c r="C1211" s="22" t="s">
        <v>31</v>
      </c>
      <c r="D1211" s="217"/>
      <c r="E1211" s="215"/>
      <c r="F1211" s="244"/>
      <c r="G1211" s="220"/>
      <c r="H1211" s="220"/>
      <c r="I1211" s="220"/>
      <c r="J1211" s="23"/>
      <c r="K1211" s="47">
        <v>0.4375</v>
      </c>
      <c r="L1211" s="48">
        <v>0.5</v>
      </c>
      <c r="M1211" s="11">
        <f t="shared" si="18"/>
        <v>1.5</v>
      </c>
      <c r="N1211" s="215"/>
      <c r="P1211" s="4"/>
      <c r="Q1211" s="4"/>
      <c r="R1211" s="4"/>
      <c r="S1211" s="4"/>
      <c r="T1211" s="4"/>
      <c r="U1211" s="4"/>
      <c r="V1211" s="4"/>
      <c r="W1211" s="4"/>
    </row>
    <row r="1212" spans="1:23" s="32" customFormat="1" hidden="1" x14ac:dyDescent="0.3">
      <c r="A1212" s="22" t="s">
        <v>20</v>
      </c>
      <c r="B1212" s="21">
        <v>46035</v>
      </c>
      <c r="C1212" s="69" t="s">
        <v>16</v>
      </c>
      <c r="D1212" s="221" t="s">
        <v>65</v>
      </c>
      <c r="E1212" s="233" t="s">
        <v>844</v>
      </c>
      <c r="F1212" s="245" t="s">
        <v>584</v>
      </c>
      <c r="G1212" s="219">
        <v>46035</v>
      </c>
      <c r="H1212" s="219">
        <v>46035</v>
      </c>
      <c r="I1212" s="223"/>
      <c r="J1212" s="17"/>
      <c r="K1212" s="47">
        <v>0.27083333333333331</v>
      </c>
      <c r="L1212" s="48">
        <v>0.41666666666666669</v>
      </c>
      <c r="M1212" s="11">
        <f t="shared" si="18"/>
        <v>3.5000000000000009</v>
      </c>
      <c r="N1212" s="214" t="s">
        <v>1</v>
      </c>
      <c r="P1212" s="4"/>
      <c r="Q1212" s="4"/>
      <c r="R1212" s="4"/>
      <c r="S1212" s="4"/>
      <c r="T1212" s="4"/>
      <c r="U1212" s="4"/>
      <c r="V1212" s="4"/>
      <c r="W1212" s="4"/>
    </row>
    <row r="1213" spans="1:23" s="32" customFormat="1" hidden="1" x14ac:dyDescent="0.3">
      <c r="A1213" s="22" t="s">
        <v>20</v>
      </c>
      <c r="B1213" s="21">
        <v>46035</v>
      </c>
      <c r="C1213" s="69" t="s">
        <v>31</v>
      </c>
      <c r="D1213" s="221"/>
      <c r="E1213" s="233"/>
      <c r="F1213" s="245"/>
      <c r="G1213" s="220"/>
      <c r="H1213" s="220"/>
      <c r="I1213" s="223"/>
      <c r="J1213" s="21"/>
      <c r="K1213" s="45">
        <v>0.58333333333333337</v>
      </c>
      <c r="L1213" s="48">
        <v>0.66666666666666663</v>
      </c>
      <c r="M1213" s="11">
        <f t="shared" si="18"/>
        <v>1.9999999999999982</v>
      </c>
      <c r="N1213" s="215"/>
      <c r="P1213" s="4"/>
      <c r="Q1213" s="4"/>
      <c r="R1213" s="4"/>
      <c r="S1213" s="4"/>
      <c r="T1213" s="4"/>
      <c r="U1213" s="4"/>
      <c r="V1213" s="4"/>
      <c r="W1213" s="4"/>
    </row>
    <row r="1214" spans="1:23" s="32" customFormat="1" hidden="1" x14ac:dyDescent="0.3">
      <c r="A1214" s="22" t="s">
        <v>20</v>
      </c>
      <c r="B1214" s="21">
        <v>46035</v>
      </c>
      <c r="C1214" s="69" t="s">
        <v>15</v>
      </c>
      <c r="D1214" s="24" t="s">
        <v>65</v>
      </c>
      <c r="E1214" s="22" t="s">
        <v>791</v>
      </c>
      <c r="F1214" s="25" t="s">
        <v>845</v>
      </c>
      <c r="G1214" s="21">
        <v>46035</v>
      </c>
      <c r="H1214" s="21">
        <v>46035</v>
      </c>
      <c r="I1214" s="21">
        <v>46035</v>
      </c>
      <c r="J1214" s="21"/>
      <c r="K1214" s="45">
        <v>0.27083333333333331</v>
      </c>
      <c r="L1214" s="48">
        <v>0.72916666666666663</v>
      </c>
      <c r="M1214" s="11">
        <f t="shared" si="18"/>
        <v>11</v>
      </c>
      <c r="N1214" s="42" t="s">
        <v>0</v>
      </c>
      <c r="P1214" s="4"/>
      <c r="Q1214" s="4"/>
      <c r="R1214" s="4"/>
      <c r="S1214" s="4"/>
      <c r="T1214" s="4"/>
      <c r="U1214" s="4"/>
      <c r="V1214" s="4"/>
      <c r="W1214" s="4"/>
    </row>
    <row r="1215" spans="1:23" s="32" customFormat="1" ht="28.8" hidden="1" x14ac:dyDescent="0.3">
      <c r="A1215" s="40" t="s">
        <v>21</v>
      </c>
      <c r="B1215" s="21">
        <v>46036</v>
      </c>
      <c r="C1215" s="40" t="s">
        <v>26</v>
      </c>
      <c r="D1215" s="40" t="s">
        <v>24</v>
      </c>
      <c r="E1215" s="40" t="s">
        <v>827</v>
      </c>
      <c r="F1215" s="84" t="s">
        <v>828</v>
      </c>
      <c r="G1215" s="41">
        <v>46035</v>
      </c>
      <c r="H1215" s="41">
        <v>46040</v>
      </c>
      <c r="I1215" s="85"/>
      <c r="J1215" s="85"/>
      <c r="K1215" s="51">
        <v>0.27083333333333331</v>
      </c>
      <c r="L1215" s="51">
        <v>0.64583333333333337</v>
      </c>
      <c r="M1215" s="11">
        <f t="shared" si="18"/>
        <v>9.0000000000000018</v>
      </c>
      <c r="N1215" s="22" t="s">
        <v>1</v>
      </c>
      <c r="P1215" s="4"/>
      <c r="Q1215" s="4"/>
      <c r="R1215" s="4"/>
      <c r="S1215" s="4"/>
      <c r="T1215" s="4"/>
      <c r="U1215" s="4"/>
      <c r="V1215" s="4"/>
      <c r="W1215" s="4"/>
    </row>
    <row r="1216" spans="1:23" s="32" customFormat="1" ht="28.8" hidden="1" x14ac:dyDescent="0.3">
      <c r="A1216" s="40" t="s">
        <v>21</v>
      </c>
      <c r="B1216" s="21">
        <v>46036</v>
      </c>
      <c r="C1216" s="40" t="s">
        <v>50</v>
      </c>
      <c r="D1216" s="40" t="s">
        <v>24</v>
      </c>
      <c r="E1216" s="40" t="s">
        <v>829</v>
      </c>
      <c r="F1216" s="84" t="s">
        <v>828</v>
      </c>
      <c r="G1216" s="41">
        <v>46035</v>
      </c>
      <c r="H1216" s="41">
        <v>46040</v>
      </c>
      <c r="I1216" s="85"/>
      <c r="J1216" s="85"/>
      <c r="K1216" s="51">
        <v>0.27083333333333331</v>
      </c>
      <c r="L1216" s="51">
        <v>0.64583333333333337</v>
      </c>
      <c r="M1216" s="11">
        <f t="shared" si="18"/>
        <v>9.0000000000000018</v>
      </c>
      <c r="N1216" s="22" t="s">
        <v>1</v>
      </c>
      <c r="P1216" s="4"/>
      <c r="Q1216" s="4"/>
      <c r="R1216" s="4"/>
      <c r="S1216" s="4"/>
      <c r="T1216" s="4"/>
      <c r="U1216" s="4"/>
      <c r="V1216" s="4"/>
      <c r="W1216" s="4"/>
    </row>
    <row r="1217" spans="1:23" s="32" customFormat="1" ht="28.8" hidden="1" x14ac:dyDescent="0.3">
      <c r="A1217" s="40" t="s">
        <v>21</v>
      </c>
      <c r="B1217" s="21">
        <v>46036</v>
      </c>
      <c r="C1217" s="40" t="s">
        <v>830</v>
      </c>
      <c r="D1217" s="40" t="s">
        <v>24</v>
      </c>
      <c r="E1217" s="40" t="s">
        <v>82</v>
      </c>
      <c r="F1217" s="84" t="s">
        <v>855</v>
      </c>
      <c r="G1217" s="41">
        <v>46036</v>
      </c>
      <c r="H1217" s="41">
        <v>46036</v>
      </c>
      <c r="I1217" s="85"/>
      <c r="J1217" s="85"/>
      <c r="K1217" s="51">
        <v>0.35416666666666669</v>
      </c>
      <c r="L1217" s="51">
        <v>0.72916666666666663</v>
      </c>
      <c r="M1217" s="11">
        <f t="shared" si="18"/>
        <v>8.9999999999999982</v>
      </c>
      <c r="N1217" s="22" t="s">
        <v>1</v>
      </c>
      <c r="P1217" s="4"/>
      <c r="Q1217" s="4"/>
      <c r="R1217" s="4"/>
      <c r="S1217" s="4"/>
      <c r="T1217" s="4"/>
      <c r="U1217" s="4"/>
      <c r="V1217" s="4"/>
      <c r="W1217" s="4"/>
    </row>
    <row r="1218" spans="1:23" s="32" customFormat="1" ht="15.6" hidden="1" x14ac:dyDescent="0.3">
      <c r="A1218" s="40" t="s">
        <v>21</v>
      </c>
      <c r="B1218" s="21">
        <v>46036</v>
      </c>
      <c r="C1218" s="40" t="s">
        <v>50</v>
      </c>
      <c r="D1218" s="260" t="s">
        <v>8</v>
      </c>
      <c r="E1218" s="260" t="s">
        <v>682</v>
      </c>
      <c r="F1218" s="261" t="s">
        <v>856</v>
      </c>
      <c r="G1218" s="259">
        <v>46036</v>
      </c>
      <c r="H1218" s="259">
        <v>46036</v>
      </c>
      <c r="I1218" s="85"/>
      <c r="J1218" s="85"/>
      <c r="K1218" s="51">
        <v>0.35416666666666669</v>
      </c>
      <c r="L1218" s="51">
        <v>0.5</v>
      </c>
      <c r="M1218" s="11">
        <f t="shared" ref="M1218:M1281" si="19">MOD(L1218-K1218,1)*24</f>
        <v>3.4999999999999996</v>
      </c>
      <c r="N1218" s="233" t="s">
        <v>1</v>
      </c>
      <c r="P1218" s="4"/>
      <c r="Q1218" s="4"/>
      <c r="R1218" s="4"/>
      <c r="S1218" s="4"/>
      <c r="T1218" s="4"/>
      <c r="U1218" s="4"/>
      <c r="V1218" s="4"/>
      <c r="W1218" s="4"/>
    </row>
    <row r="1219" spans="1:23" s="32" customFormat="1" ht="15.6" hidden="1" x14ac:dyDescent="0.3">
      <c r="A1219" s="40" t="s">
        <v>21</v>
      </c>
      <c r="B1219" s="21">
        <v>46036</v>
      </c>
      <c r="C1219" s="40" t="s">
        <v>18</v>
      </c>
      <c r="D1219" s="260"/>
      <c r="E1219" s="260"/>
      <c r="F1219" s="261"/>
      <c r="G1219" s="259"/>
      <c r="H1219" s="259"/>
      <c r="I1219" s="85"/>
      <c r="J1219" s="85"/>
      <c r="K1219" s="51">
        <v>0.35416666666666669</v>
      </c>
      <c r="L1219" s="51">
        <v>0.5</v>
      </c>
      <c r="M1219" s="11">
        <f t="shared" si="19"/>
        <v>3.4999999999999996</v>
      </c>
      <c r="N1219" s="233"/>
      <c r="P1219" s="4"/>
      <c r="Q1219" s="4"/>
      <c r="R1219" s="4"/>
      <c r="S1219" s="4"/>
      <c r="T1219" s="4"/>
      <c r="U1219" s="4"/>
      <c r="V1219" s="4"/>
      <c r="W1219" s="4"/>
    </row>
    <row r="1220" spans="1:23" s="32" customFormat="1" ht="28.8" hidden="1" x14ac:dyDescent="0.3">
      <c r="A1220" s="40" t="s">
        <v>21</v>
      </c>
      <c r="B1220" s="21">
        <v>46036</v>
      </c>
      <c r="C1220" s="40" t="s">
        <v>55</v>
      </c>
      <c r="D1220" s="40" t="s">
        <v>43</v>
      </c>
      <c r="E1220" s="40" t="s">
        <v>847</v>
      </c>
      <c r="F1220" s="84" t="s">
        <v>857</v>
      </c>
      <c r="G1220" s="41">
        <v>46036</v>
      </c>
      <c r="H1220" s="41">
        <v>46036</v>
      </c>
      <c r="I1220" s="41"/>
      <c r="J1220" s="41"/>
      <c r="K1220" s="51">
        <v>0.27083333333333331</v>
      </c>
      <c r="L1220" s="51">
        <v>0.45833333333333331</v>
      </c>
      <c r="M1220" s="11">
        <f t="shared" si="19"/>
        <v>4.5</v>
      </c>
      <c r="N1220" s="67" t="s">
        <v>1</v>
      </c>
      <c r="P1220" s="4"/>
      <c r="Q1220" s="4"/>
      <c r="R1220" s="4"/>
      <c r="S1220" s="4"/>
      <c r="T1220" s="4"/>
      <c r="U1220" s="4"/>
      <c r="V1220" s="4"/>
      <c r="W1220" s="4"/>
    </row>
    <row r="1221" spans="1:23" s="32" customFormat="1" ht="15.6" hidden="1" x14ac:dyDescent="0.3">
      <c r="A1221" s="40" t="s">
        <v>21</v>
      </c>
      <c r="B1221" s="21">
        <v>46036</v>
      </c>
      <c r="C1221" s="40" t="s">
        <v>320</v>
      </c>
      <c r="D1221" s="262" t="s">
        <v>43</v>
      </c>
      <c r="E1221" s="262" t="s">
        <v>858</v>
      </c>
      <c r="F1221" s="264" t="s">
        <v>815</v>
      </c>
      <c r="G1221" s="266">
        <v>46035</v>
      </c>
      <c r="H1221" s="266">
        <v>46037</v>
      </c>
      <c r="I1221" s="85"/>
      <c r="J1221" s="85"/>
      <c r="K1221" s="51">
        <v>0.27083333333333331</v>
      </c>
      <c r="L1221" s="51">
        <v>0.64583333333333337</v>
      </c>
      <c r="M1221" s="11">
        <f t="shared" si="19"/>
        <v>9.0000000000000018</v>
      </c>
      <c r="N1221" s="227" t="s">
        <v>1</v>
      </c>
      <c r="P1221" s="4"/>
      <c r="Q1221" s="4"/>
      <c r="R1221" s="4"/>
      <c r="S1221" s="4"/>
      <c r="T1221" s="4"/>
      <c r="U1221" s="4"/>
      <c r="V1221" s="4"/>
      <c r="W1221" s="4"/>
    </row>
    <row r="1222" spans="1:23" s="32" customFormat="1" ht="15.6" hidden="1" x14ac:dyDescent="0.3">
      <c r="A1222" s="40" t="s">
        <v>21</v>
      </c>
      <c r="B1222" s="21">
        <v>46036</v>
      </c>
      <c r="C1222" s="40" t="s">
        <v>56</v>
      </c>
      <c r="D1222" s="263"/>
      <c r="E1222" s="263"/>
      <c r="F1222" s="265"/>
      <c r="G1222" s="267"/>
      <c r="H1222" s="267"/>
      <c r="I1222" s="85"/>
      <c r="J1222" s="85"/>
      <c r="K1222" s="51">
        <v>0.27083333333333331</v>
      </c>
      <c r="L1222" s="51">
        <v>0.64583333333333337</v>
      </c>
      <c r="M1222" s="11">
        <f t="shared" si="19"/>
        <v>9.0000000000000018</v>
      </c>
      <c r="N1222" s="228"/>
      <c r="P1222" s="4"/>
      <c r="Q1222" s="4"/>
      <c r="R1222" s="4"/>
      <c r="S1222" s="4"/>
      <c r="T1222" s="4"/>
      <c r="U1222" s="4"/>
      <c r="V1222" s="4"/>
      <c r="W1222" s="4"/>
    </row>
    <row r="1223" spans="1:23" s="32" customFormat="1" ht="15.6" hidden="1" x14ac:dyDescent="0.3">
      <c r="A1223" s="40" t="s">
        <v>21</v>
      </c>
      <c r="B1223" s="21">
        <v>46036</v>
      </c>
      <c r="C1223" s="40" t="s">
        <v>771</v>
      </c>
      <c r="D1223" s="262" t="s">
        <v>43</v>
      </c>
      <c r="E1223" s="262" t="s">
        <v>796</v>
      </c>
      <c r="F1223" s="264" t="s">
        <v>125</v>
      </c>
      <c r="G1223" s="266">
        <v>46036</v>
      </c>
      <c r="H1223" s="266">
        <v>46036</v>
      </c>
      <c r="I1223" s="85"/>
      <c r="J1223" s="85"/>
      <c r="K1223" s="51">
        <v>0.35416666666666669</v>
      </c>
      <c r="L1223" s="51">
        <v>0.4375</v>
      </c>
      <c r="M1223" s="11">
        <f t="shared" si="19"/>
        <v>1.9999999999999996</v>
      </c>
      <c r="N1223" s="214" t="s">
        <v>1</v>
      </c>
      <c r="P1223" s="4"/>
      <c r="Q1223" s="4"/>
      <c r="R1223" s="4"/>
      <c r="S1223" s="4"/>
      <c r="T1223" s="4"/>
      <c r="U1223" s="4"/>
      <c r="V1223" s="4"/>
      <c r="W1223" s="4"/>
    </row>
    <row r="1224" spans="1:23" s="32" customFormat="1" ht="15.6" hidden="1" x14ac:dyDescent="0.3">
      <c r="A1224" s="40" t="s">
        <v>21</v>
      </c>
      <c r="B1224" s="21">
        <v>46036</v>
      </c>
      <c r="C1224" s="40" t="s">
        <v>25</v>
      </c>
      <c r="D1224" s="263"/>
      <c r="E1224" s="263"/>
      <c r="F1224" s="265"/>
      <c r="G1224" s="267"/>
      <c r="H1224" s="267"/>
      <c r="I1224" s="85"/>
      <c r="J1224" s="85"/>
      <c r="K1224" s="51">
        <v>0.35416666666666669</v>
      </c>
      <c r="L1224" s="51">
        <v>0.4375</v>
      </c>
      <c r="M1224" s="11">
        <f t="shared" si="19"/>
        <v>1.9999999999999996</v>
      </c>
      <c r="N1224" s="215"/>
      <c r="P1224" s="4"/>
      <c r="Q1224" s="4"/>
      <c r="R1224" s="4"/>
      <c r="S1224" s="4"/>
      <c r="T1224" s="4"/>
      <c r="U1224" s="4"/>
      <c r="V1224" s="4"/>
      <c r="W1224" s="4"/>
    </row>
    <row r="1225" spans="1:23" s="32" customFormat="1" hidden="1" x14ac:dyDescent="0.3">
      <c r="A1225" s="40" t="s">
        <v>21</v>
      </c>
      <c r="B1225" s="21">
        <v>46036</v>
      </c>
      <c r="C1225" s="40" t="s">
        <v>118</v>
      </c>
      <c r="D1225" s="260" t="s">
        <v>54</v>
      </c>
      <c r="E1225" s="260" t="s">
        <v>688</v>
      </c>
      <c r="F1225" s="260" t="s">
        <v>859</v>
      </c>
      <c r="G1225" s="266">
        <v>46036</v>
      </c>
      <c r="H1225" s="266">
        <v>46036</v>
      </c>
      <c r="I1225" s="266">
        <v>46036</v>
      </c>
      <c r="J1225" s="36"/>
      <c r="K1225" s="51">
        <v>0.35416666666666669</v>
      </c>
      <c r="L1225" s="51">
        <v>0.72916666666666663</v>
      </c>
      <c r="M1225" s="11">
        <f t="shared" si="19"/>
        <v>8.9999999999999982</v>
      </c>
      <c r="N1225" s="233" t="s">
        <v>0</v>
      </c>
      <c r="P1225" s="4"/>
      <c r="Q1225" s="4"/>
      <c r="R1225" s="4"/>
      <c r="S1225" s="4"/>
      <c r="T1225" s="4"/>
      <c r="U1225" s="4"/>
      <c r="V1225" s="4"/>
      <c r="W1225" s="4"/>
    </row>
    <row r="1226" spans="1:23" s="32" customFormat="1" hidden="1" x14ac:dyDescent="0.3">
      <c r="A1226" s="40" t="s">
        <v>21</v>
      </c>
      <c r="B1226" s="21">
        <v>46036</v>
      </c>
      <c r="C1226" s="40" t="s">
        <v>34</v>
      </c>
      <c r="D1226" s="260"/>
      <c r="E1226" s="260"/>
      <c r="F1226" s="260"/>
      <c r="G1226" s="267"/>
      <c r="H1226" s="267"/>
      <c r="I1226" s="267"/>
      <c r="J1226" s="37"/>
      <c r="K1226" s="51">
        <v>0.35416666666666669</v>
      </c>
      <c r="L1226" s="51">
        <v>0.72916666666666663</v>
      </c>
      <c r="M1226" s="11">
        <f t="shared" si="19"/>
        <v>8.9999999999999982</v>
      </c>
      <c r="N1226" s="233"/>
      <c r="P1226" s="4"/>
      <c r="Q1226" s="4"/>
      <c r="R1226" s="4"/>
      <c r="S1226" s="4"/>
      <c r="T1226" s="4"/>
      <c r="U1226" s="4"/>
      <c r="V1226" s="4"/>
      <c r="W1226" s="4"/>
    </row>
    <row r="1227" spans="1:23" s="32" customFormat="1" hidden="1" x14ac:dyDescent="0.3">
      <c r="A1227" s="40" t="s">
        <v>21</v>
      </c>
      <c r="B1227" s="21">
        <v>46036</v>
      </c>
      <c r="C1227" s="40" t="s">
        <v>50</v>
      </c>
      <c r="D1227" s="10" t="s">
        <v>8</v>
      </c>
      <c r="E1227" s="10" t="s">
        <v>863</v>
      </c>
      <c r="F1227" s="10" t="s">
        <v>864</v>
      </c>
      <c r="G1227" s="41">
        <v>46036</v>
      </c>
      <c r="H1227" s="41">
        <v>46036</v>
      </c>
      <c r="I1227" s="41">
        <v>46036</v>
      </c>
      <c r="J1227" s="41"/>
      <c r="K1227" s="51">
        <v>0.39583333333333331</v>
      </c>
      <c r="L1227" s="51">
        <v>0.4375</v>
      </c>
      <c r="M1227" s="11">
        <f t="shared" si="19"/>
        <v>1.0000000000000004</v>
      </c>
      <c r="N1227" s="62" t="s">
        <v>0</v>
      </c>
      <c r="P1227" s="4"/>
      <c r="Q1227" s="4"/>
      <c r="R1227" s="4"/>
      <c r="S1227" s="4"/>
      <c r="T1227" s="4"/>
      <c r="U1227" s="4"/>
      <c r="V1227" s="4"/>
      <c r="W1227" s="4"/>
    </row>
    <row r="1228" spans="1:23" s="32" customFormat="1" hidden="1" x14ac:dyDescent="0.3">
      <c r="A1228" s="40" t="s">
        <v>21</v>
      </c>
      <c r="B1228" s="21">
        <v>46036</v>
      </c>
      <c r="C1228" s="40" t="s">
        <v>25</v>
      </c>
      <c r="D1228" s="10" t="s">
        <v>43</v>
      </c>
      <c r="E1228" s="10" t="s">
        <v>592</v>
      </c>
      <c r="F1228" s="10" t="s">
        <v>349</v>
      </c>
      <c r="G1228" s="41">
        <v>46036</v>
      </c>
      <c r="H1228" s="41">
        <v>46036</v>
      </c>
      <c r="I1228" s="41">
        <v>46036</v>
      </c>
      <c r="J1228" s="41"/>
      <c r="K1228" s="51">
        <v>0.4375</v>
      </c>
      <c r="L1228" s="51">
        <v>0.64583333333333337</v>
      </c>
      <c r="M1228" s="11">
        <f t="shared" si="19"/>
        <v>5.0000000000000009</v>
      </c>
      <c r="N1228" s="62" t="s">
        <v>0</v>
      </c>
      <c r="P1228" s="4"/>
      <c r="Q1228" s="4"/>
      <c r="R1228" s="4"/>
      <c r="S1228" s="4"/>
      <c r="T1228" s="4"/>
      <c r="U1228" s="4"/>
      <c r="V1228" s="4"/>
      <c r="W1228" s="4"/>
    </row>
    <row r="1229" spans="1:23" s="32" customFormat="1" hidden="1" x14ac:dyDescent="0.3">
      <c r="A1229" s="40" t="s">
        <v>21</v>
      </c>
      <c r="B1229" s="21">
        <v>46036</v>
      </c>
      <c r="C1229" s="40" t="s">
        <v>771</v>
      </c>
      <c r="D1229" s="10" t="s">
        <v>43</v>
      </c>
      <c r="E1229" s="10" t="s">
        <v>865</v>
      </c>
      <c r="F1229" s="10" t="s">
        <v>866</v>
      </c>
      <c r="G1229" s="41">
        <v>46036</v>
      </c>
      <c r="H1229" s="41">
        <v>46036</v>
      </c>
      <c r="I1229" s="41">
        <v>46036</v>
      </c>
      <c r="J1229" s="41"/>
      <c r="K1229" s="51">
        <v>0.4375</v>
      </c>
      <c r="L1229" s="51">
        <v>0.72916666666666663</v>
      </c>
      <c r="M1229" s="11">
        <f t="shared" si="19"/>
        <v>6.9999999999999991</v>
      </c>
      <c r="N1229" s="62" t="s">
        <v>0</v>
      </c>
      <c r="P1229" s="4"/>
      <c r="Q1229" s="4"/>
      <c r="R1229" s="4"/>
      <c r="S1229" s="4"/>
      <c r="T1229" s="4"/>
      <c r="U1229" s="4"/>
      <c r="V1229" s="4"/>
      <c r="W1229" s="4"/>
    </row>
    <row r="1230" spans="1:23" s="32" customFormat="1" hidden="1" x14ac:dyDescent="0.3">
      <c r="A1230" s="22" t="s">
        <v>19</v>
      </c>
      <c r="B1230" s="21">
        <v>46036</v>
      </c>
      <c r="C1230" s="22" t="s">
        <v>7</v>
      </c>
      <c r="D1230" s="216" t="s">
        <v>8</v>
      </c>
      <c r="E1230" s="216" t="s">
        <v>682</v>
      </c>
      <c r="F1230" s="216" t="s">
        <v>818</v>
      </c>
      <c r="G1230" s="219">
        <v>46028</v>
      </c>
      <c r="H1230" s="266">
        <v>46036</v>
      </c>
      <c r="I1230" s="21"/>
      <c r="J1230" s="21"/>
      <c r="K1230" s="45">
        <v>0.27083333333333331</v>
      </c>
      <c r="L1230" s="48">
        <v>0.64583333333333337</v>
      </c>
      <c r="M1230" s="11">
        <f t="shared" si="19"/>
        <v>9.0000000000000018</v>
      </c>
      <c r="N1230" s="214" t="s">
        <v>30</v>
      </c>
      <c r="P1230" s="4"/>
      <c r="Q1230" s="4"/>
      <c r="R1230" s="4"/>
      <c r="S1230" s="4"/>
      <c r="T1230" s="4"/>
      <c r="U1230" s="4"/>
      <c r="V1230" s="4"/>
      <c r="W1230" s="4"/>
    </row>
    <row r="1231" spans="1:23" s="32" customFormat="1" hidden="1" x14ac:dyDescent="0.3">
      <c r="A1231" s="22" t="s">
        <v>19</v>
      </c>
      <c r="B1231" s="21">
        <v>46036</v>
      </c>
      <c r="C1231" s="22" t="s">
        <v>9</v>
      </c>
      <c r="D1231" s="222"/>
      <c r="E1231" s="217"/>
      <c r="F1231" s="217"/>
      <c r="G1231" s="220"/>
      <c r="H1231" s="267"/>
      <c r="I1231" s="21"/>
      <c r="J1231" s="21"/>
      <c r="K1231" s="45">
        <v>0.27083333333333331</v>
      </c>
      <c r="L1231" s="48">
        <v>0.64583333333333337</v>
      </c>
      <c r="M1231" s="11">
        <f t="shared" si="19"/>
        <v>9.0000000000000018</v>
      </c>
      <c r="N1231" s="215"/>
      <c r="P1231" s="4"/>
      <c r="Q1231" s="4"/>
      <c r="R1231" s="4"/>
      <c r="S1231" s="4"/>
      <c r="T1231" s="4"/>
      <c r="U1231" s="4"/>
      <c r="V1231" s="4"/>
      <c r="W1231" s="4"/>
    </row>
    <row r="1232" spans="1:23" s="32" customFormat="1" hidden="1" x14ac:dyDescent="0.3">
      <c r="A1232" s="22" t="s">
        <v>19</v>
      </c>
      <c r="B1232" s="21">
        <v>46036</v>
      </c>
      <c r="C1232" s="22" t="s">
        <v>208</v>
      </c>
      <c r="D1232" s="20" t="s">
        <v>8</v>
      </c>
      <c r="E1232" s="20" t="s">
        <v>643</v>
      </c>
      <c r="F1232" s="20" t="s">
        <v>867</v>
      </c>
      <c r="G1232" s="41">
        <v>46036</v>
      </c>
      <c r="H1232" s="41">
        <v>46036</v>
      </c>
      <c r="I1232" s="17"/>
      <c r="J1232" s="17"/>
      <c r="K1232" s="45">
        <v>0.35416666666666669</v>
      </c>
      <c r="L1232" s="48">
        <v>0.52083333333333337</v>
      </c>
      <c r="M1232" s="11">
        <f t="shared" si="19"/>
        <v>4</v>
      </c>
      <c r="N1232" s="33" t="s">
        <v>1</v>
      </c>
      <c r="P1232" s="4"/>
      <c r="Q1232" s="4"/>
      <c r="R1232" s="4"/>
      <c r="S1232" s="4"/>
      <c r="T1232" s="4"/>
      <c r="U1232" s="4"/>
      <c r="V1232" s="4"/>
      <c r="W1232" s="4"/>
    </row>
    <row r="1233" spans="1:23" s="32" customFormat="1" hidden="1" x14ac:dyDescent="0.3">
      <c r="A1233" s="22" t="s">
        <v>20</v>
      </c>
      <c r="B1233" s="21">
        <v>46036</v>
      </c>
      <c r="C1233" s="69" t="s">
        <v>444</v>
      </c>
      <c r="D1233" s="214" t="s">
        <v>44</v>
      </c>
      <c r="E1233" s="226" t="s">
        <v>804</v>
      </c>
      <c r="F1233" s="242" t="s">
        <v>860</v>
      </c>
      <c r="G1233" s="223">
        <v>46036</v>
      </c>
      <c r="H1233" s="223">
        <v>46036</v>
      </c>
      <c r="I1233" s="223">
        <v>46036</v>
      </c>
      <c r="J1233" s="21"/>
      <c r="K1233" s="45">
        <v>0.35416666666666669</v>
      </c>
      <c r="L1233" s="48">
        <v>0.72916666666666663</v>
      </c>
      <c r="M1233" s="11">
        <f t="shared" si="19"/>
        <v>8.9999999999999982</v>
      </c>
      <c r="N1233" s="224" t="s">
        <v>0</v>
      </c>
      <c r="P1233" s="4"/>
      <c r="Q1233" s="4"/>
      <c r="R1233" s="4"/>
      <c r="S1233" s="4"/>
      <c r="T1233" s="4"/>
      <c r="U1233" s="4"/>
      <c r="V1233" s="4"/>
      <c r="W1233" s="4"/>
    </row>
    <row r="1234" spans="1:23" s="32" customFormat="1" hidden="1" x14ac:dyDescent="0.3">
      <c r="A1234" s="22" t="s">
        <v>20</v>
      </c>
      <c r="B1234" s="21">
        <v>46036</v>
      </c>
      <c r="C1234" s="69" t="s">
        <v>421</v>
      </c>
      <c r="D1234" s="215"/>
      <c r="E1234" s="215"/>
      <c r="F1234" s="248"/>
      <c r="G1234" s="223"/>
      <c r="H1234" s="223"/>
      <c r="I1234" s="223"/>
      <c r="J1234" s="21"/>
      <c r="K1234" s="45">
        <v>0.35416666666666669</v>
      </c>
      <c r="L1234" s="48">
        <v>0.72916666666666663</v>
      </c>
      <c r="M1234" s="11">
        <f t="shared" si="19"/>
        <v>8.9999999999999982</v>
      </c>
      <c r="N1234" s="225"/>
      <c r="P1234" s="4"/>
      <c r="Q1234" s="4"/>
      <c r="R1234" s="4"/>
      <c r="S1234" s="4"/>
      <c r="T1234" s="4"/>
      <c r="U1234" s="4"/>
      <c r="V1234" s="4"/>
      <c r="W1234" s="4"/>
    </row>
    <row r="1235" spans="1:23" s="32" customFormat="1" hidden="1" x14ac:dyDescent="0.3">
      <c r="A1235" s="22" t="s">
        <v>20</v>
      </c>
      <c r="B1235" s="21">
        <v>46036</v>
      </c>
      <c r="C1235" s="69" t="s">
        <v>12</v>
      </c>
      <c r="D1235" s="214" t="s">
        <v>44</v>
      </c>
      <c r="E1235" s="226" t="s">
        <v>861</v>
      </c>
      <c r="F1235" s="242" t="s">
        <v>862</v>
      </c>
      <c r="G1235" s="223">
        <v>46036</v>
      </c>
      <c r="H1235" s="223">
        <v>46036</v>
      </c>
      <c r="I1235" s="223">
        <v>46036</v>
      </c>
      <c r="J1235" s="17"/>
      <c r="K1235" s="47">
        <v>0.27083333333333331</v>
      </c>
      <c r="L1235" s="48">
        <v>0.64583333333333337</v>
      </c>
      <c r="M1235" s="11">
        <f t="shared" si="19"/>
        <v>9.0000000000000018</v>
      </c>
      <c r="N1235" s="224" t="s">
        <v>0</v>
      </c>
      <c r="P1235" s="4"/>
      <c r="Q1235" s="4"/>
      <c r="R1235" s="4"/>
      <c r="S1235" s="4"/>
      <c r="T1235" s="4"/>
      <c r="U1235" s="4"/>
      <c r="V1235" s="4"/>
      <c r="W1235" s="4"/>
    </row>
    <row r="1236" spans="1:23" s="32" customFormat="1" hidden="1" x14ac:dyDescent="0.3">
      <c r="A1236" s="22" t="s">
        <v>20</v>
      </c>
      <c r="B1236" s="21">
        <v>46036</v>
      </c>
      <c r="C1236" s="69" t="s">
        <v>33</v>
      </c>
      <c r="D1236" s="215"/>
      <c r="E1236" s="215"/>
      <c r="F1236" s="248"/>
      <c r="G1236" s="223"/>
      <c r="H1236" s="223"/>
      <c r="I1236" s="223"/>
      <c r="J1236" s="17"/>
      <c r="K1236" s="47">
        <v>0.27083333333333331</v>
      </c>
      <c r="L1236" s="48">
        <v>0.64583333333333337</v>
      </c>
      <c r="M1236" s="11">
        <f t="shared" si="19"/>
        <v>9.0000000000000018</v>
      </c>
      <c r="N1236" s="225"/>
      <c r="P1236" s="4"/>
      <c r="Q1236" s="4"/>
      <c r="R1236" s="4"/>
      <c r="S1236" s="4"/>
      <c r="T1236" s="4"/>
      <c r="U1236" s="4"/>
      <c r="V1236" s="4"/>
      <c r="W1236" s="4"/>
    </row>
    <row r="1237" spans="1:23" s="32" customFormat="1" hidden="1" x14ac:dyDescent="0.3">
      <c r="A1237" s="22" t="s">
        <v>20</v>
      </c>
      <c r="B1237" s="21">
        <v>46036</v>
      </c>
      <c r="C1237" s="22" t="s">
        <v>28</v>
      </c>
      <c r="D1237" s="13" t="s">
        <v>65</v>
      </c>
      <c r="E1237" s="13" t="s">
        <v>849</v>
      </c>
      <c r="F1237" s="26" t="s">
        <v>850</v>
      </c>
      <c r="G1237" s="21">
        <v>46036</v>
      </c>
      <c r="H1237" s="21">
        <v>46036</v>
      </c>
      <c r="I1237" s="21">
        <v>46036</v>
      </c>
      <c r="J1237" s="17"/>
      <c r="K1237" s="47">
        <v>0.27083333333333331</v>
      </c>
      <c r="L1237" s="48">
        <v>0.52083333333333337</v>
      </c>
      <c r="M1237" s="11">
        <f t="shared" si="19"/>
        <v>6.0000000000000018</v>
      </c>
      <c r="N1237" s="42" t="s">
        <v>0</v>
      </c>
      <c r="P1237" s="4"/>
      <c r="Q1237" s="4"/>
      <c r="R1237" s="4"/>
      <c r="S1237" s="4"/>
      <c r="T1237" s="4"/>
      <c r="U1237" s="4"/>
      <c r="V1237" s="4"/>
      <c r="W1237" s="4"/>
    </row>
    <row r="1238" spans="1:23" s="32" customFormat="1" hidden="1" x14ac:dyDescent="0.3">
      <c r="A1238" s="22" t="s">
        <v>20</v>
      </c>
      <c r="B1238" s="21">
        <v>46036</v>
      </c>
      <c r="C1238" s="22" t="s">
        <v>47</v>
      </c>
      <c r="D1238" s="216" t="s">
        <v>65</v>
      </c>
      <c r="E1238" s="216" t="s">
        <v>842</v>
      </c>
      <c r="F1238" s="243" t="s">
        <v>851</v>
      </c>
      <c r="G1238" s="219">
        <v>46036</v>
      </c>
      <c r="H1238" s="219">
        <v>46036</v>
      </c>
      <c r="I1238" s="219">
        <v>46036</v>
      </c>
      <c r="J1238" s="17"/>
      <c r="K1238" s="47">
        <v>0.27083333333333331</v>
      </c>
      <c r="L1238" s="48">
        <v>0.72916666666666663</v>
      </c>
      <c r="M1238" s="11">
        <f t="shared" si="19"/>
        <v>11</v>
      </c>
      <c r="N1238" s="231" t="s">
        <v>0</v>
      </c>
      <c r="P1238" s="4"/>
      <c r="Q1238" s="4"/>
      <c r="R1238" s="4"/>
      <c r="S1238" s="4"/>
      <c r="T1238" s="4"/>
      <c r="U1238" s="4"/>
      <c r="V1238" s="4"/>
      <c r="W1238" s="4"/>
    </row>
    <row r="1239" spans="1:23" s="32" customFormat="1" hidden="1" x14ac:dyDescent="0.3">
      <c r="A1239" s="22" t="s">
        <v>20</v>
      </c>
      <c r="B1239" s="21">
        <v>46036</v>
      </c>
      <c r="C1239" s="22" t="s">
        <v>31</v>
      </c>
      <c r="D1239" s="217"/>
      <c r="E1239" s="217"/>
      <c r="F1239" s="244"/>
      <c r="G1239" s="220"/>
      <c r="H1239" s="220"/>
      <c r="I1239" s="220"/>
      <c r="J1239" s="23"/>
      <c r="K1239" s="47">
        <v>0.54166666666666663</v>
      </c>
      <c r="L1239" s="48">
        <v>0.72916666666666663</v>
      </c>
      <c r="M1239" s="11">
        <f t="shared" si="19"/>
        <v>4.5</v>
      </c>
      <c r="N1239" s="225"/>
      <c r="P1239" s="4"/>
      <c r="Q1239" s="4"/>
      <c r="R1239" s="4"/>
      <c r="S1239" s="4"/>
      <c r="T1239" s="4"/>
      <c r="U1239" s="4"/>
      <c r="V1239" s="4"/>
      <c r="W1239" s="4"/>
    </row>
    <row r="1240" spans="1:23" s="32" customFormat="1" hidden="1" x14ac:dyDescent="0.3">
      <c r="A1240" s="22" t="s">
        <v>20</v>
      </c>
      <c r="B1240" s="21">
        <v>46036</v>
      </c>
      <c r="C1240" s="22" t="s">
        <v>167</v>
      </c>
      <c r="D1240" s="216" t="s">
        <v>65</v>
      </c>
      <c r="E1240" s="216" t="s">
        <v>785</v>
      </c>
      <c r="F1240" s="243" t="s">
        <v>164</v>
      </c>
      <c r="G1240" s="219">
        <v>46031</v>
      </c>
      <c r="H1240" s="219">
        <v>46036</v>
      </c>
      <c r="I1240" s="219">
        <v>46036</v>
      </c>
      <c r="J1240" s="17"/>
      <c r="K1240" s="47">
        <v>0.27083333333333331</v>
      </c>
      <c r="L1240" s="48">
        <v>0.72916666666666663</v>
      </c>
      <c r="M1240" s="11">
        <f t="shared" si="19"/>
        <v>11</v>
      </c>
      <c r="N1240" s="231" t="s">
        <v>0</v>
      </c>
      <c r="P1240" s="4"/>
      <c r="Q1240" s="4"/>
      <c r="R1240" s="4"/>
      <c r="S1240" s="4"/>
      <c r="T1240" s="4"/>
      <c r="U1240" s="4"/>
      <c r="V1240" s="4"/>
      <c r="W1240" s="4"/>
    </row>
    <row r="1241" spans="1:23" s="32" customFormat="1" hidden="1" x14ac:dyDescent="0.3">
      <c r="A1241" s="22" t="s">
        <v>20</v>
      </c>
      <c r="B1241" s="21">
        <v>46036</v>
      </c>
      <c r="C1241" s="22" t="s">
        <v>31</v>
      </c>
      <c r="D1241" s="217"/>
      <c r="E1241" s="217"/>
      <c r="F1241" s="244"/>
      <c r="G1241" s="220"/>
      <c r="H1241" s="220"/>
      <c r="I1241" s="220"/>
      <c r="J1241" s="23"/>
      <c r="K1241" s="47">
        <v>0.35416666666666669</v>
      </c>
      <c r="L1241" s="45">
        <v>0.4375</v>
      </c>
      <c r="M1241" s="11">
        <f t="shared" si="19"/>
        <v>1.9999999999999996</v>
      </c>
      <c r="N1241" s="225"/>
      <c r="P1241" s="4"/>
      <c r="Q1241" s="4"/>
      <c r="R1241" s="4"/>
      <c r="S1241" s="4"/>
      <c r="T1241" s="4"/>
      <c r="U1241" s="4"/>
      <c r="V1241" s="4"/>
      <c r="W1241" s="4"/>
    </row>
    <row r="1242" spans="1:23" s="32" customFormat="1" hidden="1" x14ac:dyDescent="0.3">
      <c r="A1242" s="22" t="s">
        <v>20</v>
      </c>
      <c r="B1242" s="21">
        <v>46036</v>
      </c>
      <c r="C1242" s="22" t="s">
        <v>17</v>
      </c>
      <c r="D1242" s="216" t="s">
        <v>65</v>
      </c>
      <c r="E1242" s="214" t="s">
        <v>784</v>
      </c>
      <c r="F1242" s="243" t="s">
        <v>164</v>
      </c>
      <c r="G1242" s="219">
        <v>46031</v>
      </c>
      <c r="H1242" s="219">
        <v>46036</v>
      </c>
      <c r="I1242" s="219"/>
      <c r="J1242" s="17"/>
      <c r="K1242" s="47">
        <v>0.27083333333333331</v>
      </c>
      <c r="L1242" s="48">
        <v>0.72916666666666663</v>
      </c>
      <c r="M1242" s="11">
        <f t="shared" si="19"/>
        <v>11</v>
      </c>
      <c r="N1242" s="214" t="s">
        <v>1</v>
      </c>
      <c r="P1242" s="4"/>
      <c r="Q1242" s="4"/>
      <c r="R1242" s="4"/>
      <c r="S1242" s="4"/>
      <c r="T1242" s="4"/>
      <c r="U1242" s="4"/>
      <c r="V1242" s="4"/>
      <c r="W1242" s="4"/>
    </row>
    <row r="1243" spans="1:23" s="32" customFormat="1" hidden="1" x14ac:dyDescent="0.3">
      <c r="A1243" s="22" t="s">
        <v>20</v>
      </c>
      <c r="B1243" s="21">
        <v>46036</v>
      </c>
      <c r="C1243" s="22" t="s">
        <v>31</v>
      </c>
      <c r="D1243" s="217"/>
      <c r="E1243" s="215"/>
      <c r="F1243" s="244"/>
      <c r="G1243" s="220"/>
      <c r="H1243" s="220"/>
      <c r="I1243" s="220"/>
      <c r="J1243" s="23"/>
      <c r="K1243" s="47">
        <v>0.4375</v>
      </c>
      <c r="L1243" s="48">
        <v>0.5</v>
      </c>
      <c r="M1243" s="11">
        <f t="shared" si="19"/>
        <v>1.5</v>
      </c>
      <c r="N1243" s="215"/>
      <c r="P1243" s="4"/>
      <c r="Q1243" s="4"/>
      <c r="R1243" s="4"/>
      <c r="S1243" s="4"/>
      <c r="T1243" s="4"/>
      <c r="U1243" s="4"/>
      <c r="V1243" s="4"/>
      <c r="W1243" s="4"/>
    </row>
    <row r="1244" spans="1:23" s="32" customFormat="1" hidden="1" x14ac:dyDescent="0.3">
      <c r="A1244" s="22" t="s">
        <v>20</v>
      </c>
      <c r="B1244" s="21">
        <v>46036</v>
      </c>
      <c r="C1244" s="69" t="s">
        <v>16</v>
      </c>
      <c r="D1244" s="221" t="s">
        <v>65</v>
      </c>
      <c r="E1244" s="233" t="s">
        <v>852</v>
      </c>
      <c r="F1244" s="245" t="s">
        <v>853</v>
      </c>
      <c r="G1244" s="219">
        <v>46036</v>
      </c>
      <c r="H1244" s="219">
        <v>46036</v>
      </c>
      <c r="I1244" s="223"/>
      <c r="J1244" s="17"/>
      <c r="K1244" s="47">
        <v>0.27083333333333331</v>
      </c>
      <c r="L1244" s="48">
        <v>0.72916666666666663</v>
      </c>
      <c r="M1244" s="11">
        <f t="shared" si="19"/>
        <v>11</v>
      </c>
      <c r="N1244" s="214" t="s">
        <v>1</v>
      </c>
      <c r="P1244" s="4"/>
      <c r="Q1244" s="4"/>
      <c r="R1244" s="4"/>
      <c r="S1244" s="4"/>
      <c r="T1244" s="4"/>
      <c r="U1244" s="4"/>
      <c r="V1244" s="4"/>
      <c r="W1244" s="4"/>
    </row>
    <row r="1245" spans="1:23" s="32" customFormat="1" hidden="1" x14ac:dyDescent="0.3">
      <c r="A1245" s="22" t="s">
        <v>20</v>
      </c>
      <c r="B1245" s="21">
        <v>46036</v>
      </c>
      <c r="C1245" s="69" t="s">
        <v>31</v>
      </c>
      <c r="D1245" s="221"/>
      <c r="E1245" s="233"/>
      <c r="F1245" s="245"/>
      <c r="G1245" s="220"/>
      <c r="H1245" s="220"/>
      <c r="I1245" s="223"/>
      <c r="J1245" s="21"/>
      <c r="K1245" s="45">
        <v>0.58333333333333337</v>
      </c>
      <c r="L1245" s="48">
        <v>0.66666666666666663</v>
      </c>
      <c r="M1245" s="11">
        <f t="shared" si="19"/>
        <v>1.9999999999999982</v>
      </c>
      <c r="N1245" s="215"/>
      <c r="P1245" s="4"/>
      <c r="Q1245" s="4"/>
      <c r="R1245" s="4"/>
      <c r="S1245" s="4"/>
      <c r="T1245" s="4"/>
      <c r="U1245" s="4"/>
      <c r="V1245" s="4"/>
      <c r="W1245" s="4"/>
    </row>
    <row r="1246" spans="1:23" s="32" customFormat="1" hidden="1" x14ac:dyDescent="0.3">
      <c r="A1246" s="22" t="s">
        <v>20</v>
      </c>
      <c r="B1246" s="21">
        <v>46036</v>
      </c>
      <c r="C1246" s="69" t="s">
        <v>15</v>
      </c>
      <c r="D1246" s="24" t="s">
        <v>65</v>
      </c>
      <c r="E1246" s="22" t="s">
        <v>854</v>
      </c>
      <c r="F1246" s="25" t="s">
        <v>845</v>
      </c>
      <c r="G1246" s="21">
        <v>46036</v>
      </c>
      <c r="H1246" s="21">
        <v>46036</v>
      </c>
      <c r="I1246" s="21"/>
      <c r="J1246" s="21"/>
      <c r="K1246" s="45">
        <v>0.27083333333333331</v>
      </c>
      <c r="L1246" s="48">
        <v>0.72916666666666663</v>
      </c>
      <c r="M1246" s="11">
        <f t="shared" si="19"/>
        <v>11</v>
      </c>
      <c r="N1246" s="67" t="s">
        <v>1</v>
      </c>
      <c r="P1246" s="4"/>
      <c r="Q1246" s="4"/>
      <c r="R1246" s="4"/>
      <c r="S1246" s="4"/>
      <c r="T1246" s="4"/>
      <c r="U1246" s="4"/>
      <c r="V1246" s="4"/>
      <c r="W1246" s="4"/>
    </row>
    <row r="1247" spans="1:23" s="32" customFormat="1" ht="28.8" hidden="1" x14ac:dyDescent="0.3">
      <c r="A1247" s="40" t="s">
        <v>21</v>
      </c>
      <c r="B1247" s="21">
        <v>46037</v>
      </c>
      <c r="C1247" s="40" t="s">
        <v>26</v>
      </c>
      <c r="D1247" s="40" t="s">
        <v>24</v>
      </c>
      <c r="E1247" s="40" t="s">
        <v>827</v>
      </c>
      <c r="F1247" s="84" t="s">
        <v>828</v>
      </c>
      <c r="G1247" s="41">
        <v>46035</v>
      </c>
      <c r="H1247" s="41">
        <v>46040</v>
      </c>
      <c r="I1247" s="85"/>
      <c r="J1247" s="85"/>
      <c r="K1247" s="51">
        <v>0.27083333333333331</v>
      </c>
      <c r="L1247" s="51">
        <v>0.64583333333333337</v>
      </c>
      <c r="M1247" s="11">
        <f t="shared" si="19"/>
        <v>9.0000000000000018</v>
      </c>
      <c r="N1247" s="22" t="s">
        <v>1</v>
      </c>
      <c r="P1247" s="4"/>
      <c r="Q1247" s="4"/>
      <c r="R1247" s="4"/>
      <c r="S1247" s="4"/>
      <c r="T1247" s="4"/>
      <c r="U1247" s="4"/>
      <c r="V1247" s="4"/>
      <c r="W1247" s="4"/>
    </row>
    <row r="1248" spans="1:23" s="32" customFormat="1" ht="28.8" hidden="1" x14ac:dyDescent="0.3">
      <c r="A1248" s="40" t="s">
        <v>21</v>
      </c>
      <c r="B1248" s="21">
        <v>46037</v>
      </c>
      <c r="C1248" s="40" t="s">
        <v>50</v>
      </c>
      <c r="D1248" s="40" t="s">
        <v>24</v>
      </c>
      <c r="E1248" s="40" t="s">
        <v>829</v>
      </c>
      <c r="F1248" s="84" t="s">
        <v>828</v>
      </c>
      <c r="G1248" s="41">
        <v>46035</v>
      </c>
      <c r="H1248" s="41">
        <v>46040</v>
      </c>
      <c r="I1248" s="85"/>
      <c r="J1248" s="85"/>
      <c r="K1248" s="51">
        <v>0.27083333333333331</v>
      </c>
      <c r="L1248" s="51">
        <v>0.64583333333333337</v>
      </c>
      <c r="M1248" s="11">
        <f t="shared" si="19"/>
        <v>9.0000000000000018</v>
      </c>
      <c r="N1248" s="22" t="s">
        <v>1</v>
      </c>
      <c r="P1248" s="4"/>
      <c r="Q1248" s="4"/>
      <c r="R1248" s="4"/>
      <c r="S1248" s="4"/>
      <c r="T1248" s="4"/>
      <c r="U1248" s="4"/>
      <c r="V1248" s="4"/>
      <c r="W1248" s="4"/>
    </row>
    <row r="1249" spans="1:23" s="32" customFormat="1" ht="28.8" hidden="1" x14ac:dyDescent="0.3">
      <c r="A1249" s="40" t="s">
        <v>21</v>
      </c>
      <c r="B1249" s="21">
        <v>46037</v>
      </c>
      <c r="C1249" s="40" t="s">
        <v>830</v>
      </c>
      <c r="D1249" s="40" t="s">
        <v>24</v>
      </c>
      <c r="E1249" s="40" t="s">
        <v>868</v>
      </c>
      <c r="F1249" s="84" t="s">
        <v>855</v>
      </c>
      <c r="G1249" s="41">
        <v>46037</v>
      </c>
      <c r="H1249" s="41">
        <v>46037</v>
      </c>
      <c r="I1249" s="41">
        <v>46037</v>
      </c>
      <c r="J1249" s="41"/>
      <c r="K1249" s="51">
        <v>0.35416666666666669</v>
      </c>
      <c r="L1249" s="51">
        <v>0.72916666666666663</v>
      </c>
      <c r="M1249" s="11">
        <f t="shared" si="19"/>
        <v>8.9999999999999982</v>
      </c>
      <c r="N1249" s="22" t="s">
        <v>0</v>
      </c>
      <c r="P1249" s="4"/>
      <c r="Q1249" s="4"/>
      <c r="R1249" s="4"/>
      <c r="S1249" s="4"/>
      <c r="T1249" s="4"/>
      <c r="U1249" s="4"/>
      <c r="V1249" s="4"/>
      <c r="W1249" s="4"/>
    </row>
    <row r="1250" spans="1:23" s="32" customFormat="1" ht="15.6" hidden="1" x14ac:dyDescent="0.3">
      <c r="A1250" s="40" t="s">
        <v>21</v>
      </c>
      <c r="B1250" s="21">
        <v>46037</v>
      </c>
      <c r="C1250" s="40" t="s">
        <v>50</v>
      </c>
      <c r="D1250" s="260" t="s">
        <v>43</v>
      </c>
      <c r="E1250" s="260" t="s">
        <v>870</v>
      </c>
      <c r="F1250" s="261" t="s">
        <v>371</v>
      </c>
      <c r="G1250" s="259">
        <v>46037</v>
      </c>
      <c r="H1250" s="259">
        <v>46037</v>
      </c>
      <c r="I1250" s="85"/>
      <c r="J1250" s="85"/>
      <c r="K1250" s="51">
        <v>0.35416666666666669</v>
      </c>
      <c r="L1250" s="51">
        <v>0.72916666666666663</v>
      </c>
      <c r="M1250" s="11">
        <f t="shared" si="19"/>
        <v>8.9999999999999982</v>
      </c>
      <c r="N1250" s="233" t="s">
        <v>1</v>
      </c>
      <c r="P1250" s="4"/>
      <c r="Q1250" s="4"/>
      <c r="R1250" s="4"/>
      <c r="S1250" s="4"/>
      <c r="T1250" s="4"/>
      <c r="U1250" s="4"/>
      <c r="V1250" s="4"/>
      <c r="W1250" s="4"/>
    </row>
    <row r="1251" spans="1:23" s="32" customFormat="1" ht="15.6" hidden="1" x14ac:dyDescent="0.3">
      <c r="A1251" s="40" t="s">
        <v>21</v>
      </c>
      <c r="B1251" s="21">
        <v>46037</v>
      </c>
      <c r="C1251" s="40" t="s">
        <v>18</v>
      </c>
      <c r="D1251" s="260"/>
      <c r="E1251" s="260"/>
      <c r="F1251" s="261"/>
      <c r="G1251" s="259"/>
      <c r="H1251" s="259"/>
      <c r="I1251" s="85"/>
      <c r="J1251" s="85"/>
      <c r="K1251" s="51">
        <v>0.35416666666666669</v>
      </c>
      <c r="L1251" s="51">
        <v>0.72916666666666663</v>
      </c>
      <c r="M1251" s="11">
        <f t="shared" si="19"/>
        <v>8.9999999999999982</v>
      </c>
      <c r="N1251" s="233"/>
      <c r="P1251" s="4"/>
      <c r="Q1251" s="4"/>
      <c r="R1251" s="4"/>
      <c r="S1251" s="4"/>
      <c r="T1251" s="4"/>
      <c r="U1251" s="4"/>
      <c r="V1251" s="4"/>
      <c r="W1251" s="4"/>
    </row>
    <row r="1252" spans="1:23" s="32" customFormat="1" hidden="1" x14ac:dyDescent="0.3">
      <c r="A1252" s="40" t="s">
        <v>21</v>
      </c>
      <c r="B1252" s="21">
        <v>46037</v>
      </c>
      <c r="C1252" s="40" t="s">
        <v>55</v>
      </c>
      <c r="D1252" s="40" t="s">
        <v>43</v>
      </c>
      <c r="E1252" s="40" t="s">
        <v>865</v>
      </c>
      <c r="F1252" s="84" t="s">
        <v>874</v>
      </c>
      <c r="G1252" s="41">
        <v>46037</v>
      </c>
      <c r="H1252" s="41">
        <v>46037</v>
      </c>
      <c r="I1252" s="41"/>
      <c r="J1252" s="41"/>
      <c r="K1252" s="51">
        <v>0.27083333333333331</v>
      </c>
      <c r="L1252" s="51">
        <v>0.64583333333333337</v>
      </c>
      <c r="M1252" s="11">
        <f t="shared" si="19"/>
        <v>9.0000000000000018</v>
      </c>
      <c r="N1252" s="67" t="s">
        <v>1</v>
      </c>
      <c r="P1252" s="4"/>
      <c r="Q1252" s="4"/>
      <c r="R1252" s="4"/>
      <c r="S1252" s="4"/>
      <c r="T1252" s="4"/>
      <c r="U1252" s="4"/>
      <c r="V1252" s="4"/>
      <c r="W1252" s="4"/>
    </row>
    <row r="1253" spans="1:23" s="32" customFormat="1" ht="15.6" hidden="1" x14ac:dyDescent="0.3">
      <c r="A1253" s="40" t="s">
        <v>21</v>
      </c>
      <c r="B1253" s="21">
        <v>46037</v>
      </c>
      <c r="C1253" s="40" t="s">
        <v>771</v>
      </c>
      <c r="D1253" s="262" t="s">
        <v>43</v>
      </c>
      <c r="E1253" s="260" t="s">
        <v>869</v>
      </c>
      <c r="F1253" s="264" t="s">
        <v>371</v>
      </c>
      <c r="G1253" s="266">
        <v>46037</v>
      </c>
      <c r="H1253" s="266">
        <v>46037</v>
      </c>
      <c r="I1253" s="85"/>
      <c r="J1253" s="85"/>
      <c r="K1253" s="51">
        <v>0.27083333333333331</v>
      </c>
      <c r="L1253" s="51">
        <v>0.64583333333333337</v>
      </c>
      <c r="M1253" s="11">
        <f t="shared" si="19"/>
        <v>9.0000000000000018</v>
      </c>
      <c r="N1253" s="227" t="s">
        <v>1</v>
      </c>
      <c r="P1253" s="4"/>
      <c r="Q1253" s="4"/>
      <c r="R1253" s="4"/>
      <c r="S1253" s="4"/>
      <c r="T1253" s="4"/>
      <c r="U1253" s="4"/>
      <c r="V1253" s="4"/>
      <c r="W1253" s="4"/>
    </row>
    <row r="1254" spans="1:23" s="32" customFormat="1" ht="15.6" hidden="1" x14ac:dyDescent="0.3">
      <c r="A1254" s="40" t="s">
        <v>21</v>
      </c>
      <c r="B1254" s="21">
        <v>46037</v>
      </c>
      <c r="C1254" s="40" t="s">
        <v>274</v>
      </c>
      <c r="D1254" s="263"/>
      <c r="E1254" s="260"/>
      <c r="F1254" s="265"/>
      <c r="G1254" s="267"/>
      <c r="H1254" s="267"/>
      <c r="I1254" s="85"/>
      <c r="J1254" s="85"/>
      <c r="K1254" s="51">
        <v>0.27083333333333331</v>
      </c>
      <c r="L1254" s="51">
        <v>0.64583333333333337</v>
      </c>
      <c r="M1254" s="11">
        <f t="shared" si="19"/>
        <v>9.0000000000000018</v>
      </c>
      <c r="N1254" s="228"/>
      <c r="P1254" s="4"/>
      <c r="Q1254" s="4"/>
      <c r="R1254" s="4"/>
      <c r="S1254" s="4"/>
      <c r="T1254" s="4"/>
      <c r="U1254" s="4"/>
      <c r="V1254" s="4"/>
      <c r="W1254" s="4"/>
    </row>
    <row r="1255" spans="1:23" s="32" customFormat="1" ht="15.6" hidden="1" x14ac:dyDescent="0.3">
      <c r="A1255" s="40" t="s">
        <v>21</v>
      </c>
      <c r="B1255" s="21">
        <v>46037</v>
      </c>
      <c r="C1255" s="40" t="s">
        <v>56</v>
      </c>
      <c r="D1255" s="262" t="s">
        <v>43</v>
      </c>
      <c r="E1255" s="262" t="s">
        <v>858</v>
      </c>
      <c r="F1255" s="264" t="s">
        <v>871</v>
      </c>
      <c r="G1255" s="266">
        <v>46037</v>
      </c>
      <c r="H1255" s="266">
        <v>46037</v>
      </c>
      <c r="I1255" s="85"/>
      <c r="J1255" s="85"/>
      <c r="K1255" s="51">
        <v>0.27083333333333331</v>
      </c>
      <c r="L1255" s="51">
        <v>0.64583333333333337</v>
      </c>
      <c r="M1255" s="11">
        <f t="shared" si="19"/>
        <v>9.0000000000000018</v>
      </c>
      <c r="N1255" s="214" t="s">
        <v>1</v>
      </c>
      <c r="P1255" s="4"/>
      <c r="Q1255" s="4"/>
      <c r="R1255" s="4"/>
      <c r="S1255" s="4"/>
      <c r="T1255" s="4"/>
      <c r="U1255" s="4"/>
      <c r="V1255" s="4"/>
      <c r="W1255" s="4"/>
    </row>
    <row r="1256" spans="1:23" s="32" customFormat="1" ht="15.6" hidden="1" x14ac:dyDescent="0.3">
      <c r="A1256" s="40" t="s">
        <v>21</v>
      </c>
      <c r="B1256" s="21">
        <v>46037</v>
      </c>
      <c r="C1256" s="40" t="s">
        <v>320</v>
      </c>
      <c r="D1256" s="263"/>
      <c r="E1256" s="263"/>
      <c r="F1256" s="265"/>
      <c r="G1256" s="267"/>
      <c r="H1256" s="267"/>
      <c r="I1256" s="85"/>
      <c r="J1256" s="85"/>
      <c r="K1256" s="51">
        <v>0.27083333333333331</v>
      </c>
      <c r="L1256" s="51">
        <v>0.64583333333333337</v>
      </c>
      <c r="M1256" s="11">
        <f t="shared" si="19"/>
        <v>9.0000000000000018</v>
      </c>
      <c r="N1256" s="215"/>
      <c r="P1256" s="4"/>
      <c r="Q1256" s="4"/>
      <c r="R1256" s="4"/>
      <c r="S1256" s="4"/>
      <c r="T1256" s="4"/>
      <c r="U1256" s="4"/>
      <c r="V1256" s="4"/>
      <c r="W1256" s="4"/>
    </row>
    <row r="1257" spans="1:23" s="32" customFormat="1" hidden="1" x14ac:dyDescent="0.3">
      <c r="A1257" s="40" t="s">
        <v>21</v>
      </c>
      <c r="B1257" s="21">
        <v>46037</v>
      </c>
      <c r="C1257" s="40" t="s">
        <v>118</v>
      </c>
      <c r="D1257" s="260" t="s">
        <v>54</v>
      </c>
      <c r="E1257" s="260" t="s">
        <v>688</v>
      </c>
      <c r="F1257" s="260" t="s">
        <v>872</v>
      </c>
      <c r="G1257" s="266">
        <v>46037</v>
      </c>
      <c r="H1257" s="266">
        <v>46037</v>
      </c>
      <c r="I1257" s="266"/>
      <c r="J1257" s="36"/>
      <c r="K1257" s="51">
        <v>0.35416666666666669</v>
      </c>
      <c r="L1257" s="51">
        <v>0.72916666666666663</v>
      </c>
      <c r="M1257" s="11">
        <f t="shared" si="19"/>
        <v>8.9999999999999982</v>
      </c>
      <c r="N1257" s="233" t="s">
        <v>1</v>
      </c>
      <c r="P1257" s="4"/>
      <c r="Q1257" s="4"/>
      <c r="R1257" s="4"/>
      <c r="S1257" s="4"/>
      <c r="T1257" s="4"/>
      <c r="U1257" s="4"/>
      <c r="V1257" s="4"/>
      <c r="W1257" s="4"/>
    </row>
    <row r="1258" spans="1:23" s="32" customFormat="1" hidden="1" x14ac:dyDescent="0.3">
      <c r="A1258" s="40" t="s">
        <v>21</v>
      </c>
      <c r="B1258" s="21">
        <v>46037</v>
      </c>
      <c r="C1258" s="40" t="s">
        <v>34</v>
      </c>
      <c r="D1258" s="260"/>
      <c r="E1258" s="260"/>
      <c r="F1258" s="260"/>
      <c r="G1258" s="267"/>
      <c r="H1258" s="267"/>
      <c r="I1258" s="267"/>
      <c r="J1258" s="37"/>
      <c r="K1258" s="51">
        <v>0.35416666666666669</v>
      </c>
      <c r="L1258" s="51">
        <v>0.72916666666666663</v>
      </c>
      <c r="M1258" s="11">
        <f t="shared" si="19"/>
        <v>8.9999999999999982</v>
      </c>
      <c r="N1258" s="233"/>
      <c r="P1258" s="4"/>
      <c r="Q1258" s="4"/>
      <c r="R1258" s="4"/>
      <c r="S1258" s="4"/>
      <c r="T1258" s="4"/>
      <c r="U1258" s="4"/>
      <c r="V1258" s="4"/>
      <c r="W1258" s="4"/>
    </row>
    <row r="1259" spans="1:23" s="32" customFormat="1" hidden="1" x14ac:dyDescent="0.3">
      <c r="A1259" s="40" t="s">
        <v>21</v>
      </c>
      <c r="B1259" s="21">
        <v>46037</v>
      </c>
      <c r="C1259" s="40" t="s">
        <v>25</v>
      </c>
      <c r="D1259" s="10" t="s">
        <v>43</v>
      </c>
      <c r="E1259" s="10" t="s">
        <v>873</v>
      </c>
      <c r="F1259" s="10" t="s">
        <v>349</v>
      </c>
      <c r="G1259" s="41">
        <v>46037</v>
      </c>
      <c r="H1259" s="41">
        <v>46037</v>
      </c>
      <c r="I1259" s="41"/>
      <c r="J1259" s="41"/>
      <c r="K1259" s="45">
        <v>0.27083333333333331</v>
      </c>
      <c r="L1259" s="51">
        <v>0.64583333333333337</v>
      </c>
      <c r="M1259" s="11">
        <f t="shared" si="19"/>
        <v>9.0000000000000018</v>
      </c>
      <c r="N1259" s="63" t="s">
        <v>1</v>
      </c>
      <c r="P1259" s="4"/>
      <c r="Q1259" s="4"/>
      <c r="R1259" s="4"/>
      <c r="S1259" s="4"/>
      <c r="T1259" s="4"/>
      <c r="U1259" s="4"/>
      <c r="V1259" s="4"/>
      <c r="W1259" s="4"/>
    </row>
    <row r="1260" spans="1:23" s="32" customFormat="1" hidden="1" x14ac:dyDescent="0.3">
      <c r="A1260" s="22" t="s">
        <v>19</v>
      </c>
      <c r="B1260" s="21">
        <v>46037</v>
      </c>
      <c r="C1260" s="22" t="s">
        <v>7</v>
      </c>
      <c r="D1260" s="216" t="s">
        <v>8</v>
      </c>
      <c r="E1260" s="216" t="s">
        <v>682</v>
      </c>
      <c r="F1260" s="216" t="s">
        <v>818</v>
      </c>
      <c r="G1260" s="219">
        <v>46028</v>
      </c>
      <c r="H1260" s="266">
        <v>46037</v>
      </c>
      <c r="I1260" s="21"/>
      <c r="J1260" s="21"/>
      <c r="K1260" s="45">
        <v>0.27083333333333331</v>
      </c>
      <c r="L1260" s="48">
        <v>0.64583333333333337</v>
      </c>
      <c r="M1260" s="11">
        <f t="shared" si="19"/>
        <v>9.0000000000000018</v>
      </c>
      <c r="N1260" s="214" t="s">
        <v>30</v>
      </c>
      <c r="P1260" s="4"/>
      <c r="Q1260" s="4"/>
      <c r="R1260" s="4"/>
      <c r="S1260" s="4"/>
      <c r="T1260" s="4"/>
      <c r="U1260" s="4"/>
      <c r="V1260" s="4"/>
      <c r="W1260" s="4"/>
    </row>
    <row r="1261" spans="1:23" s="32" customFormat="1" hidden="1" x14ac:dyDescent="0.3">
      <c r="A1261" s="22" t="s">
        <v>19</v>
      </c>
      <c r="B1261" s="21">
        <v>46037</v>
      </c>
      <c r="C1261" s="22" t="s">
        <v>9</v>
      </c>
      <c r="D1261" s="222"/>
      <c r="E1261" s="217"/>
      <c r="F1261" s="217"/>
      <c r="G1261" s="220"/>
      <c r="H1261" s="267"/>
      <c r="I1261" s="21"/>
      <c r="J1261" s="21"/>
      <c r="K1261" s="45">
        <v>0.27083333333333331</v>
      </c>
      <c r="L1261" s="48">
        <v>0.64583333333333337</v>
      </c>
      <c r="M1261" s="11">
        <f t="shared" si="19"/>
        <v>9.0000000000000018</v>
      </c>
      <c r="N1261" s="215"/>
      <c r="P1261" s="4"/>
      <c r="Q1261" s="4"/>
      <c r="R1261" s="4"/>
      <c r="S1261" s="4"/>
      <c r="T1261" s="4"/>
      <c r="U1261" s="4"/>
      <c r="V1261" s="4"/>
      <c r="W1261" s="4"/>
    </row>
    <row r="1262" spans="1:23" s="32" customFormat="1" hidden="1" x14ac:dyDescent="0.3">
      <c r="A1262" s="22" t="s">
        <v>19</v>
      </c>
      <c r="B1262" s="21">
        <v>46037</v>
      </c>
      <c r="C1262" s="22" t="s">
        <v>7</v>
      </c>
      <c r="D1262" s="20" t="s">
        <v>29</v>
      </c>
      <c r="E1262" s="20" t="s">
        <v>729</v>
      </c>
      <c r="F1262" s="20" t="s">
        <v>182</v>
      </c>
      <c r="G1262" s="36">
        <v>46037</v>
      </c>
      <c r="H1262" s="41">
        <v>46037</v>
      </c>
      <c r="I1262" s="41">
        <v>46037</v>
      </c>
      <c r="J1262" s="41"/>
      <c r="K1262" s="45">
        <v>0.41666666666666669</v>
      </c>
      <c r="L1262" s="48">
        <v>0.60416666666666663</v>
      </c>
      <c r="M1262" s="11">
        <f t="shared" si="19"/>
        <v>4.4999999999999982</v>
      </c>
      <c r="N1262" s="34" t="s">
        <v>0</v>
      </c>
      <c r="P1262" s="4"/>
      <c r="Q1262" s="4"/>
      <c r="R1262" s="4"/>
      <c r="S1262" s="4"/>
      <c r="T1262" s="4"/>
      <c r="U1262" s="4"/>
      <c r="V1262" s="4"/>
      <c r="W1262" s="4"/>
    </row>
    <row r="1263" spans="1:23" s="32" customFormat="1" hidden="1" x14ac:dyDescent="0.3">
      <c r="A1263" s="22" t="s">
        <v>19</v>
      </c>
      <c r="B1263" s="21">
        <v>46037</v>
      </c>
      <c r="C1263" s="22" t="s">
        <v>9</v>
      </c>
      <c r="D1263" s="221" t="s">
        <v>8</v>
      </c>
      <c r="E1263" s="221" t="s">
        <v>876</v>
      </c>
      <c r="F1263" s="221" t="s">
        <v>762</v>
      </c>
      <c r="G1263" s="266">
        <v>46037</v>
      </c>
      <c r="H1263" s="266">
        <v>46037</v>
      </c>
      <c r="I1263" s="17"/>
      <c r="J1263" s="17"/>
      <c r="K1263" s="45">
        <v>0.35416666666666669</v>
      </c>
      <c r="L1263" s="48">
        <v>0.72916666666666663</v>
      </c>
      <c r="M1263" s="11">
        <f t="shared" si="19"/>
        <v>8.9999999999999982</v>
      </c>
      <c r="N1263" s="254" t="s">
        <v>1</v>
      </c>
      <c r="P1263" s="4"/>
      <c r="Q1263" s="4"/>
      <c r="R1263" s="4"/>
      <c r="S1263" s="4"/>
      <c r="T1263" s="4"/>
      <c r="U1263" s="4"/>
      <c r="V1263" s="4"/>
      <c r="W1263" s="4"/>
    </row>
    <row r="1264" spans="1:23" s="32" customFormat="1" hidden="1" x14ac:dyDescent="0.3">
      <c r="A1264" s="22" t="s">
        <v>19</v>
      </c>
      <c r="B1264" s="21">
        <v>46037</v>
      </c>
      <c r="C1264" s="22" t="s">
        <v>208</v>
      </c>
      <c r="D1264" s="221"/>
      <c r="E1264" s="221"/>
      <c r="F1264" s="221"/>
      <c r="G1264" s="267"/>
      <c r="H1264" s="267"/>
      <c r="I1264" s="17"/>
      <c r="J1264" s="17"/>
      <c r="K1264" s="45">
        <v>0.35416666666666669</v>
      </c>
      <c r="L1264" s="48">
        <v>0.72916666666666663</v>
      </c>
      <c r="M1264" s="11">
        <f t="shared" si="19"/>
        <v>8.9999999999999982</v>
      </c>
      <c r="N1264" s="254"/>
      <c r="P1264" s="4"/>
      <c r="Q1264" s="4"/>
      <c r="R1264" s="4"/>
      <c r="S1264" s="4"/>
      <c r="T1264" s="4"/>
      <c r="U1264" s="4"/>
      <c r="V1264" s="4"/>
      <c r="W1264" s="4"/>
    </row>
    <row r="1265" spans="1:23" s="32" customFormat="1" hidden="1" x14ac:dyDescent="0.3">
      <c r="A1265" s="22" t="s">
        <v>20</v>
      </c>
      <c r="B1265" s="21">
        <v>46037</v>
      </c>
      <c r="C1265" s="69" t="s">
        <v>444</v>
      </c>
      <c r="D1265" s="214" t="s">
        <v>44</v>
      </c>
      <c r="E1265" s="226" t="s">
        <v>880</v>
      </c>
      <c r="F1265" s="242" t="s">
        <v>860</v>
      </c>
      <c r="G1265" s="266">
        <v>46037</v>
      </c>
      <c r="H1265" s="266">
        <v>46037</v>
      </c>
      <c r="I1265" s="266">
        <v>46037</v>
      </c>
      <c r="J1265" s="36"/>
      <c r="K1265" s="45">
        <v>0.35416666666666669</v>
      </c>
      <c r="L1265" s="48">
        <v>0.72916666666666663</v>
      </c>
      <c r="M1265" s="11">
        <f t="shared" si="19"/>
        <v>8.9999999999999982</v>
      </c>
      <c r="N1265" s="224" t="s">
        <v>0</v>
      </c>
      <c r="P1265" s="4"/>
      <c r="Q1265" s="4"/>
      <c r="R1265" s="4"/>
      <c r="S1265" s="4"/>
      <c r="T1265" s="4"/>
      <c r="U1265" s="4"/>
      <c r="V1265" s="4"/>
      <c r="W1265" s="4"/>
    </row>
    <row r="1266" spans="1:23" s="32" customFormat="1" hidden="1" x14ac:dyDescent="0.3">
      <c r="A1266" s="22" t="s">
        <v>20</v>
      </c>
      <c r="B1266" s="21">
        <v>46037</v>
      </c>
      <c r="C1266" s="69" t="s">
        <v>421</v>
      </c>
      <c r="D1266" s="215"/>
      <c r="E1266" s="215"/>
      <c r="F1266" s="248"/>
      <c r="G1266" s="267"/>
      <c r="H1266" s="267"/>
      <c r="I1266" s="267"/>
      <c r="J1266" s="37"/>
      <c r="K1266" s="45">
        <v>0.35416666666666669</v>
      </c>
      <c r="L1266" s="48">
        <v>0.72916666666666663</v>
      </c>
      <c r="M1266" s="11">
        <f t="shared" si="19"/>
        <v>8.9999999999999982</v>
      </c>
      <c r="N1266" s="225"/>
      <c r="P1266" s="4"/>
      <c r="Q1266" s="4"/>
      <c r="R1266" s="4"/>
      <c r="S1266" s="4"/>
      <c r="T1266" s="4"/>
      <c r="U1266" s="4"/>
      <c r="V1266" s="4"/>
      <c r="W1266" s="4"/>
    </row>
    <row r="1267" spans="1:23" s="32" customFormat="1" hidden="1" x14ac:dyDescent="0.3">
      <c r="A1267" s="22" t="s">
        <v>20</v>
      </c>
      <c r="B1267" s="21">
        <v>46037</v>
      </c>
      <c r="C1267" s="69" t="s">
        <v>12</v>
      </c>
      <c r="D1267" s="214" t="s">
        <v>44</v>
      </c>
      <c r="E1267" s="226" t="s">
        <v>660</v>
      </c>
      <c r="F1267" s="242" t="s">
        <v>879</v>
      </c>
      <c r="G1267" s="223">
        <v>46037</v>
      </c>
      <c r="H1267" s="223">
        <v>46037</v>
      </c>
      <c r="I1267" s="223">
        <v>46037</v>
      </c>
      <c r="J1267" s="17"/>
      <c r="K1267" s="47">
        <v>0.27083333333333331</v>
      </c>
      <c r="L1267" s="48">
        <v>0.64583333333333337</v>
      </c>
      <c r="M1267" s="11">
        <f t="shared" si="19"/>
        <v>9.0000000000000018</v>
      </c>
      <c r="N1267" s="224" t="s">
        <v>0</v>
      </c>
      <c r="P1267" s="4"/>
      <c r="Q1267" s="4"/>
      <c r="R1267" s="4"/>
      <c r="S1267" s="4"/>
      <c r="T1267" s="4"/>
      <c r="U1267" s="4"/>
      <c r="V1267" s="4"/>
      <c r="W1267" s="4"/>
    </row>
    <row r="1268" spans="1:23" s="32" customFormat="1" hidden="1" x14ac:dyDescent="0.3">
      <c r="A1268" s="22" t="s">
        <v>20</v>
      </c>
      <c r="B1268" s="21">
        <v>46037</v>
      </c>
      <c r="C1268" s="69" t="s">
        <v>33</v>
      </c>
      <c r="D1268" s="215"/>
      <c r="E1268" s="215"/>
      <c r="F1268" s="248"/>
      <c r="G1268" s="223"/>
      <c r="H1268" s="223"/>
      <c r="I1268" s="223"/>
      <c r="J1268" s="17"/>
      <c r="K1268" s="47">
        <v>0.27083333333333331</v>
      </c>
      <c r="L1268" s="48">
        <v>0.64583333333333337</v>
      </c>
      <c r="M1268" s="11">
        <f t="shared" si="19"/>
        <v>9.0000000000000018</v>
      </c>
      <c r="N1268" s="225"/>
      <c r="P1268" s="4"/>
      <c r="Q1268" s="4"/>
      <c r="R1268" s="4"/>
      <c r="S1268" s="4"/>
      <c r="T1268" s="4"/>
      <c r="U1268" s="4"/>
      <c r="V1268" s="4"/>
      <c r="W1268" s="4"/>
    </row>
    <row r="1269" spans="1:23" s="32" customFormat="1" hidden="1" x14ac:dyDescent="0.3">
      <c r="A1269" s="22" t="s">
        <v>20</v>
      </c>
      <c r="B1269" s="21">
        <v>46037</v>
      </c>
      <c r="C1269" s="22" t="s">
        <v>28</v>
      </c>
      <c r="D1269" s="13" t="s">
        <v>65</v>
      </c>
      <c r="E1269" s="13" t="s">
        <v>877</v>
      </c>
      <c r="F1269" s="26" t="s">
        <v>878</v>
      </c>
      <c r="G1269" s="21">
        <v>46037</v>
      </c>
      <c r="H1269" s="21">
        <v>46037</v>
      </c>
      <c r="I1269" s="21">
        <v>46037</v>
      </c>
      <c r="J1269" s="17"/>
      <c r="K1269" s="47">
        <v>0.27083333333333331</v>
      </c>
      <c r="L1269" s="48">
        <v>0.52083333333333337</v>
      </c>
      <c r="M1269" s="11">
        <f t="shared" si="19"/>
        <v>6.0000000000000018</v>
      </c>
      <c r="N1269" s="42" t="s">
        <v>0</v>
      </c>
      <c r="P1269" s="4"/>
      <c r="Q1269" s="4"/>
      <c r="R1269" s="4"/>
      <c r="S1269" s="4"/>
      <c r="T1269" s="4"/>
      <c r="U1269" s="4"/>
      <c r="V1269" s="4"/>
      <c r="W1269" s="4"/>
    </row>
    <row r="1270" spans="1:23" s="32" customFormat="1" hidden="1" x14ac:dyDescent="0.3">
      <c r="A1270" s="22" t="s">
        <v>20</v>
      </c>
      <c r="B1270" s="21">
        <v>46037</v>
      </c>
      <c r="C1270" s="22" t="s">
        <v>47</v>
      </c>
      <c r="D1270" s="216" t="s">
        <v>65</v>
      </c>
      <c r="E1270" s="216" t="s">
        <v>535</v>
      </c>
      <c r="F1270" s="243" t="s">
        <v>396</v>
      </c>
      <c r="G1270" s="219">
        <v>46037</v>
      </c>
      <c r="H1270" s="219">
        <v>46037</v>
      </c>
      <c r="I1270" s="219">
        <v>46037</v>
      </c>
      <c r="J1270" s="17"/>
      <c r="K1270" s="47">
        <v>0.27083333333333331</v>
      </c>
      <c r="L1270" s="48">
        <v>0.52083333333333337</v>
      </c>
      <c r="M1270" s="11">
        <f t="shared" si="19"/>
        <v>6.0000000000000018</v>
      </c>
      <c r="N1270" s="231" t="s">
        <v>0</v>
      </c>
      <c r="P1270" s="4"/>
      <c r="Q1270" s="4"/>
      <c r="R1270" s="4"/>
      <c r="S1270" s="4"/>
      <c r="T1270" s="4"/>
      <c r="U1270" s="4"/>
      <c r="V1270" s="4"/>
      <c r="W1270" s="4"/>
    </row>
    <row r="1271" spans="1:23" s="32" customFormat="1" hidden="1" x14ac:dyDescent="0.3">
      <c r="A1271" s="22" t="s">
        <v>20</v>
      </c>
      <c r="B1271" s="21">
        <v>46037</v>
      </c>
      <c r="C1271" s="22" t="s">
        <v>31</v>
      </c>
      <c r="D1271" s="217"/>
      <c r="E1271" s="217"/>
      <c r="F1271" s="244"/>
      <c r="G1271" s="220"/>
      <c r="H1271" s="220"/>
      <c r="I1271" s="220"/>
      <c r="J1271" s="23"/>
      <c r="K1271" s="47">
        <v>0.54166666666666663</v>
      </c>
      <c r="L1271" s="48">
        <v>0.64583333333333337</v>
      </c>
      <c r="M1271" s="11">
        <f t="shared" si="19"/>
        <v>2.5000000000000018</v>
      </c>
      <c r="N1271" s="225"/>
      <c r="P1271" s="4"/>
      <c r="Q1271" s="4"/>
      <c r="R1271" s="4"/>
      <c r="S1271" s="4"/>
      <c r="T1271" s="4"/>
      <c r="U1271" s="4"/>
      <c r="V1271" s="4"/>
      <c r="W1271" s="4"/>
    </row>
    <row r="1272" spans="1:23" s="32" customFormat="1" hidden="1" x14ac:dyDescent="0.3">
      <c r="A1272" s="22" t="s">
        <v>20</v>
      </c>
      <c r="B1272" s="21">
        <v>46037</v>
      </c>
      <c r="C1272" s="22" t="s">
        <v>167</v>
      </c>
      <c r="D1272" s="216" t="s">
        <v>65</v>
      </c>
      <c r="E1272" s="216" t="s">
        <v>785</v>
      </c>
      <c r="F1272" s="243" t="s">
        <v>164</v>
      </c>
      <c r="G1272" s="219">
        <v>46031</v>
      </c>
      <c r="H1272" s="219">
        <v>46036</v>
      </c>
      <c r="I1272" s="219">
        <v>46036</v>
      </c>
      <c r="J1272" s="17"/>
      <c r="K1272" s="47">
        <v>0.27083333333333331</v>
      </c>
      <c r="L1272" s="48">
        <v>0.72916666666666663</v>
      </c>
      <c r="M1272" s="11">
        <f t="shared" si="19"/>
        <v>11</v>
      </c>
      <c r="N1272" s="231" t="s">
        <v>0</v>
      </c>
      <c r="P1272" s="4"/>
      <c r="Q1272" s="4"/>
      <c r="R1272" s="4"/>
      <c r="S1272" s="4"/>
      <c r="T1272" s="4"/>
      <c r="U1272" s="4"/>
      <c r="V1272" s="4"/>
      <c r="W1272" s="4"/>
    </row>
    <row r="1273" spans="1:23" s="32" customFormat="1" hidden="1" x14ac:dyDescent="0.3">
      <c r="A1273" s="22" t="s">
        <v>20</v>
      </c>
      <c r="B1273" s="21">
        <v>46037</v>
      </c>
      <c r="C1273" s="22" t="s">
        <v>31</v>
      </c>
      <c r="D1273" s="217"/>
      <c r="E1273" s="217"/>
      <c r="F1273" s="244"/>
      <c r="G1273" s="220"/>
      <c r="H1273" s="220"/>
      <c r="I1273" s="220"/>
      <c r="J1273" s="23"/>
      <c r="K1273" s="47">
        <v>0.35416666666666669</v>
      </c>
      <c r="L1273" s="45">
        <v>0.4375</v>
      </c>
      <c r="M1273" s="11">
        <f t="shared" si="19"/>
        <v>1.9999999999999996</v>
      </c>
      <c r="N1273" s="225"/>
      <c r="P1273" s="4"/>
      <c r="Q1273" s="4"/>
      <c r="R1273" s="4"/>
      <c r="S1273" s="4"/>
      <c r="T1273" s="4"/>
      <c r="U1273" s="4"/>
      <c r="V1273" s="4"/>
      <c r="W1273" s="4"/>
    </row>
    <row r="1274" spans="1:23" s="32" customFormat="1" hidden="1" x14ac:dyDescent="0.3">
      <c r="A1274" s="22" t="s">
        <v>20</v>
      </c>
      <c r="B1274" s="21">
        <v>46037</v>
      </c>
      <c r="C1274" s="22" t="s">
        <v>17</v>
      </c>
      <c r="D1274" s="216" t="s">
        <v>65</v>
      </c>
      <c r="E1274" s="214" t="s">
        <v>784</v>
      </c>
      <c r="F1274" s="243" t="s">
        <v>164</v>
      </c>
      <c r="G1274" s="219">
        <v>46031</v>
      </c>
      <c r="H1274" s="219">
        <v>46037</v>
      </c>
      <c r="I1274" s="219">
        <v>46037</v>
      </c>
      <c r="J1274" s="17"/>
      <c r="K1274" s="47">
        <v>0.27083333333333331</v>
      </c>
      <c r="L1274" s="48">
        <v>0.52083333333333337</v>
      </c>
      <c r="M1274" s="11">
        <f t="shared" si="19"/>
        <v>6.0000000000000018</v>
      </c>
      <c r="N1274" s="214" t="s">
        <v>0</v>
      </c>
      <c r="P1274" s="4"/>
      <c r="Q1274" s="4"/>
      <c r="R1274" s="4"/>
      <c r="S1274" s="4"/>
      <c r="T1274" s="4"/>
      <c r="U1274" s="4"/>
      <c r="V1274" s="4"/>
      <c r="W1274" s="4"/>
    </row>
    <row r="1275" spans="1:23" s="32" customFormat="1" hidden="1" x14ac:dyDescent="0.3">
      <c r="A1275" s="22" t="s">
        <v>20</v>
      </c>
      <c r="B1275" s="21">
        <v>46037</v>
      </c>
      <c r="C1275" s="22" t="s">
        <v>31</v>
      </c>
      <c r="D1275" s="217"/>
      <c r="E1275" s="215"/>
      <c r="F1275" s="244"/>
      <c r="G1275" s="220"/>
      <c r="H1275" s="220"/>
      <c r="I1275" s="220"/>
      <c r="J1275" s="23"/>
      <c r="K1275" s="47">
        <v>0.4375</v>
      </c>
      <c r="L1275" s="48">
        <v>0.5</v>
      </c>
      <c r="M1275" s="11">
        <f t="shared" si="19"/>
        <v>1.5</v>
      </c>
      <c r="N1275" s="215"/>
      <c r="P1275" s="4"/>
      <c r="Q1275" s="4"/>
      <c r="R1275" s="4"/>
      <c r="S1275" s="4"/>
      <c r="T1275" s="4"/>
      <c r="U1275" s="4"/>
      <c r="V1275" s="4"/>
      <c r="W1275" s="4"/>
    </row>
    <row r="1276" spans="1:23" s="32" customFormat="1" hidden="1" x14ac:dyDescent="0.3">
      <c r="A1276" s="22" t="s">
        <v>20</v>
      </c>
      <c r="B1276" s="21">
        <v>46037</v>
      </c>
      <c r="C1276" s="69" t="s">
        <v>16</v>
      </c>
      <c r="D1276" s="221" t="s">
        <v>65</v>
      </c>
      <c r="E1276" s="233" t="s">
        <v>875</v>
      </c>
      <c r="F1276" s="245" t="s">
        <v>191</v>
      </c>
      <c r="G1276" s="219">
        <v>46037</v>
      </c>
      <c r="H1276" s="219">
        <v>46037</v>
      </c>
      <c r="I1276" s="219">
        <v>46037</v>
      </c>
      <c r="J1276" s="17"/>
      <c r="K1276" s="47">
        <v>0.52083333333333337</v>
      </c>
      <c r="L1276" s="48">
        <v>0.72916666666666663</v>
      </c>
      <c r="M1276" s="11">
        <f t="shared" si="19"/>
        <v>4.9999999999999982</v>
      </c>
      <c r="N1276" s="214" t="s">
        <v>0</v>
      </c>
      <c r="P1276" s="4"/>
      <c r="Q1276" s="4"/>
      <c r="R1276" s="4"/>
      <c r="S1276" s="4"/>
      <c r="T1276" s="4"/>
      <c r="U1276" s="4"/>
      <c r="V1276" s="4"/>
      <c r="W1276" s="4"/>
    </row>
    <row r="1277" spans="1:23" s="32" customFormat="1" hidden="1" x14ac:dyDescent="0.3">
      <c r="A1277" s="22" t="s">
        <v>20</v>
      </c>
      <c r="B1277" s="21">
        <v>46037</v>
      </c>
      <c r="C1277" s="69" t="s">
        <v>31</v>
      </c>
      <c r="D1277" s="221"/>
      <c r="E1277" s="233"/>
      <c r="F1277" s="245"/>
      <c r="G1277" s="220"/>
      <c r="H1277" s="220"/>
      <c r="I1277" s="220"/>
      <c r="J1277" s="19"/>
      <c r="K1277" s="45">
        <v>0.58333333333333337</v>
      </c>
      <c r="L1277" s="48">
        <v>0.66666666666666663</v>
      </c>
      <c r="M1277" s="11">
        <f t="shared" si="19"/>
        <v>1.9999999999999982</v>
      </c>
      <c r="N1277" s="215"/>
      <c r="P1277" s="4"/>
      <c r="Q1277" s="4"/>
      <c r="R1277" s="4"/>
      <c r="S1277" s="4"/>
      <c r="T1277" s="4"/>
      <c r="U1277" s="4"/>
      <c r="V1277" s="4"/>
      <c r="W1277" s="4"/>
    </row>
    <row r="1278" spans="1:23" s="32" customFormat="1" hidden="1" x14ac:dyDescent="0.3">
      <c r="A1278" s="22" t="s">
        <v>20</v>
      </c>
      <c r="B1278" s="21">
        <v>46037</v>
      </c>
      <c r="C1278" s="69" t="s">
        <v>15</v>
      </c>
      <c r="D1278" s="24" t="s">
        <v>65</v>
      </c>
      <c r="E1278" s="22" t="s">
        <v>854</v>
      </c>
      <c r="F1278" s="25" t="s">
        <v>845</v>
      </c>
      <c r="G1278" s="21">
        <v>46037</v>
      </c>
      <c r="H1278" s="21">
        <v>46037</v>
      </c>
      <c r="I1278" s="21">
        <v>46037</v>
      </c>
      <c r="J1278" s="21"/>
      <c r="K1278" s="45">
        <v>0.27083333333333331</v>
      </c>
      <c r="L1278" s="48">
        <v>0.72916666666666663</v>
      </c>
      <c r="M1278" s="11">
        <f t="shared" si="19"/>
        <v>11</v>
      </c>
      <c r="N1278" s="42" t="s">
        <v>0</v>
      </c>
      <c r="P1278" s="4"/>
      <c r="Q1278" s="4"/>
      <c r="R1278" s="4"/>
      <c r="S1278" s="4"/>
      <c r="T1278" s="4"/>
      <c r="U1278" s="4"/>
      <c r="V1278" s="4"/>
      <c r="W1278" s="4"/>
    </row>
    <row r="1279" spans="1:23" s="32" customFormat="1" ht="28.8" hidden="1" x14ac:dyDescent="0.3">
      <c r="A1279" s="40" t="s">
        <v>21</v>
      </c>
      <c r="B1279" s="21">
        <v>46038</v>
      </c>
      <c r="C1279" s="40" t="s">
        <v>26</v>
      </c>
      <c r="D1279" s="40" t="s">
        <v>24</v>
      </c>
      <c r="E1279" s="40" t="s">
        <v>827</v>
      </c>
      <c r="F1279" s="84" t="s">
        <v>828</v>
      </c>
      <c r="G1279" s="41">
        <v>46035</v>
      </c>
      <c r="H1279" s="41">
        <v>46040</v>
      </c>
      <c r="I1279" s="85"/>
      <c r="J1279" s="85"/>
      <c r="K1279" s="51">
        <v>0.27083333333333331</v>
      </c>
      <c r="L1279" s="51">
        <v>0.64583333333333337</v>
      </c>
      <c r="M1279" s="11">
        <f t="shared" si="19"/>
        <v>9.0000000000000018</v>
      </c>
      <c r="N1279" s="22" t="s">
        <v>1</v>
      </c>
      <c r="P1279" s="4"/>
      <c r="Q1279" s="4"/>
      <c r="R1279" s="4"/>
      <c r="S1279" s="4"/>
      <c r="T1279" s="4"/>
      <c r="U1279" s="4"/>
      <c r="V1279" s="4"/>
      <c r="W1279" s="4"/>
    </row>
    <row r="1280" spans="1:23" s="32" customFormat="1" ht="28.8" hidden="1" x14ac:dyDescent="0.3">
      <c r="A1280" s="40" t="s">
        <v>21</v>
      </c>
      <c r="B1280" s="21">
        <v>46038</v>
      </c>
      <c r="C1280" s="40" t="s">
        <v>50</v>
      </c>
      <c r="D1280" s="40" t="s">
        <v>24</v>
      </c>
      <c r="E1280" s="40" t="s">
        <v>829</v>
      </c>
      <c r="F1280" s="84" t="s">
        <v>828</v>
      </c>
      <c r="G1280" s="41">
        <v>46035</v>
      </c>
      <c r="H1280" s="41">
        <v>46040</v>
      </c>
      <c r="I1280" s="85"/>
      <c r="J1280" s="85"/>
      <c r="K1280" s="51">
        <v>0.27083333333333331</v>
      </c>
      <c r="L1280" s="51">
        <v>0.64583333333333337</v>
      </c>
      <c r="M1280" s="11">
        <f t="shared" si="19"/>
        <v>9.0000000000000018</v>
      </c>
      <c r="N1280" s="22" t="s">
        <v>1</v>
      </c>
      <c r="P1280" s="4"/>
      <c r="Q1280" s="4"/>
      <c r="R1280" s="4"/>
      <c r="S1280" s="4"/>
      <c r="T1280" s="4"/>
      <c r="U1280" s="4"/>
      <c r="V1280" s="4"/>
      <c r="W1280" s="4"/>
    </row>
    <row r="1281" spans="1:23" s="32" customFormat="1" hidden="1" x14ac:dyDescent="0.3">
      <c r="A1281" s="40" t="s">
        <v>21</v>
      </c>
      <c r="B1281" s="21">
        <v>46038</v>
      </c>
      <c r="C1281" s="40" t="s">
        <v>830</v>
      </c>
      <c r="D1281" s="40" t="s">
        <v>24</v>
      </c>
      <c r="E1281" s="40" t="s">
        <v>743</v>
      </c>
      <c r="F1281" s="84" t="s">
        <v>881</v>
      </c>
      <c r="G1281" s="41">
        <v>46037</v>
      </c>
      <c r="H1281" s="41">
        <v>46037</v>
      </c>
      <c r="I1281" s="41">
        <v>46037</v>
      </c>
      <c r="J1281" s="41"/>
      <c r="K1281" s="51">
        <v>0.35416666666666669</v>
      </c>
      <c r="L1281" s="51">
        <v>0.72916666666666663</v>
      </c>
      <c r="M1281" s="11">
        <f t="shared" si="19"/>
        <v>8.9999999999999982</v>
      </c>
      <c r="N1281" s="22" t="s">
        <v>0</v>
      </c>
      <c r="P1281" s="4"/>
      <c r="Q1281" s="4"/>
      <c r="R1281" s="4"/>
      <c r="S1281" s="4"/>
      <c r="T1281" s="4"/>
      <c r="U1281" s="4"/>
      <c r="V1281" s="4"/>
      <c r="W1281" s="4"/>
    </row>
    <row r="1282" spans="1:23" s="32" customFormat="1" ht="15.6" hidden="1" x14ac:dyDescent="0.3">
      <c r="A1282" s="40" t="s">
        <v>21</v>
      </c>
      <c r="B1282" s="21">
        <v>46038</v>
      </c>
      <c r="C1282" s="40" t="s">
        <v>50</v>
      </c>
      <c r="D1282" s="260" t="s">
        <v>8</v>
      </c>
      <c r="E1282" s="260" t="s">
        <v>682</v>
      </c>
      <c r="F1282" s="261" t="s">
        <v>346</v>
      </c>
      <c r="G1282" s="259">
        <v>46038</v>
      </c>
      <c r="H1282" s="259">
        <v>46038</v>
      </c>
      <c r="I1282" s="85"/>
      <c r="J1282" s="85"/>
      <c r="K1282" s="51">
        <v>0.35416666666666669</v>
      </c>
      <c r="L1282" s="51">
        <v>0.72916666666666663</v>
      </c>
      <c r="M1282" s="11">
        <f t="shared" ref="M1282:M1345" si="20">MOD(L1282-K1282,1)*24</f>
        <v>8.9999999999999982</v>
      </c>
      <c r="N1282" s="233" t="s">
        <v>1</v>
      </c>
      <c r="P1282" s="4"/>
      <c r="Q1282" s="4"/>
      <c r="R1282" s="4"/>
      <c r="S1282" s="4"/>
      <c r="T1282" s="4"/>
      <c r="U1282" s="4"/>
      <c r="V1282" s="4"/>
      <c r="W1282" s="4"/>
    </row>
    <row r="1283" spans="1:23" s="32" customFormat="1" ht="15.6" hidden="1" x14ac:dyDescent="0.3">
      <c r="A1283" s="40" t="s">
        <v>21</v>
      </c>
      <c r="B1283" s="21">
        <v>46038</v>
      </c>
      <c r="C1283" s="40" t="s">
        <v>18</v>
      </c>
      <c r="D1283" s="260"/>
      <c r="E1283" s="260"/>
      <c r="F1283" s="261"/>
      <c r="G1283" s="259"/>
      <c r="H1283" s="259"/>
      <c r="I1283" s="85"/>
      <c r="J1283" s="85"/>
      <c r="K1283" s="51">
        <v>0.35416666666666669</v>
      </c>
      <c r="L1283" s="51">
        <v>0.72916666666666663</v>
      </c>
      <c r="M1283" s="11">
        <f t="shared" si="20"/>
        <v>8.9999999999999982</v>
      </c>
      <c r="N1283" s="233"/>
      <c r="P1283" s="4"/>
      <c r="Q1283" s="4"/>
      <c r="R1283" s="4"/>
      <c r="S1283" s="4"/>
      <c r="T1283" s="4"/>
      <c r="U1283" s="4"/>
      <c r="V1283" s="4"/>
      <c r="W1283" s="4"/>
    </row>
    <row r="1284" spans="1:23" s="32" customFormat="1" hidden="1" x14ac:dyDescent="0.3">
      <c r="A1284" s="40" t="s">
        <v>21</v>
      </c>
      <c r="B1284" s="21">
        <v>46038</v>
      </c>
      <c r="C1284" s="40" t="s">
        <v>55</v>
      </c>
      <c r="D1284" s="40" t="s">
        <v>43</v>
      </c>
      <c r="E1284" s="40" t="s">
        <v>865</v>
      </c>
      <c r="F1284" s="84" t="s">
        <v>884</v>
      </c>
      <c r="G1284" s="41">
        <v>46038</v>
      </c>
      <c r="H1284" s="41">
        <v>46039</v>
      </c>
      <c r="I1284" s="41"/>
      <c r="J1284" s="41"/>
      <c r="K1284" s="51">
        <v>0.27083333333333331</v>
      </c>
      <c r="L1284" s="51">
        <v>0.64583333333333337</v>
      </c>
      <c r="M1284" s="11">
        <f t="shared" si="20"/>
        <v>9.0000000000000018</v>
      </c>
      <c r="N1284" s="67" t="s">
        <v>1</v>
      </c>
      <c r="P1284" s="4"/>
      <c r="Q1284" s="4"/>
      <c r="R1284" s="4"/>
      <c r="S1284" s="4"/>
      <c r="T1284" s="4"/>
      <c r="U1284" s="4"/>
      <c r="V1284" s="4"/>
      <c r="W1284" s="4"/>
    </row>
    <row r="1285" spans="1:23" s="32" customFormat="1" hidden="1" x14ac:dyDescent="0.3">
      <c r="A1285" s="40" t="s">
        <v>21</v>
      </c>
      <c r="B1285" s="21">
        <v>46038</v>
      </c>
      <c r="C1285" s="40" t="s">
        <v>771</v>
      </c>
      <c r="D1285" s="262" t="s">
        <v>43</v>
      </c>
      <c r="E1285" s="260" t="s">
        <v>869</v>
      </c>
      <c r="F1285" s="264" t="s">
        <v>371</v>
      </c>
      <c r="G1285" s="266">
        <v>46038</v>
      </c>
      <c r="H1285" s="266">
        <v>46039</v>
      </c>
      <c r="I1285" s="266">
        <v>46039</v>
      </c>
      <c r="J1285" s="36"/>
      <c r="K1285" s="51">
        <v>0.27083333333333331</v>
      </c>
      <c r="L1285" s="51">
        <v>0.64583333333333337</v>
      </c>
      <c r="M1285" s="11">
        <f t="shared" si="20"/>
        <v>9.0000000000000018</v>
      </c>
      <c r="N1285" s="224" t="s">
        <v>0</v>
      </c>
      <c r="P1285" s="4"/>
      <c r="Q1285" s="4"/>
      <c r="R1285" s="4"/>
      <c r="S1285" s="4"/>
      <c r="T1285" s="4"/>
      <c r="U1285" s="4"/>
      <c r="V1285" s="4"/>
      <c r="W1285" s="4"/>
    </row>
    <row r="1286" spans="1:23" s="32" customFormat="1" hidden="1" x14ac:dyDescent="0.3">
      <c r="A1286" s="40" t="s">
        <v>21</v>
      </c>
      <c r="B1286" s="21">
        <v>46038</v>
      </c>
      <c r="C1286" s="40" t="s">
        <v>320</v>
      </c>
      <c r="D1286" s="263"/>
      <c r="E1286" s="260"/>
      <c r="F1286" s="265"/>
      <c r="G1286" s="267"/>
      <c r="H1286" s="267"/>
      <c r="I1286" s="267"/>
      <c r="J1286" s="37"/>
      <c r="K1286" s="51">
        <v>0.27083333333333331</v>
      </c>
      <c r="L1286" s="51">
        <v>0.64583333333333337</v>
      </c>
      <c r="M1286" s="11">
        <f t="shared" si="20"/>
        <v>9.0000000000000018</v>
      </c>
      <c r="N1286" s="225"/>
      <c r="P1286" s="4"/>
      <c r="Q1286" s="4"/>
      <c r="R1286" s="4"/>
      <c r="S1286" s="4"/>
      <c r="T1286" s="4"/>
      <c r="U1286" s="4"/>
      <c r="V1286" s="4"/>
      <c r="W1286" s="4"/>
    </row>
    <row r="1287" spans="1:23" s="32" customFormat="1" ht="15.6" hidden="1" x14ac:dyDescent="0.3">
      <c r="A1287" s="40" t="s">
        <v>21</v>
      </c>
      <c r="B1287" s="21">
        <v>46038</v>
      </c>
      <c r="C1287" s="40" t="s">
        <v>56</v>
      </c>
      <c r="D1287" s="262" t="s">
        <v>43</v>
      </c>
      <c r="E1287" s="262" t="s">
        <v>858</v>
      </c>
      <c r="F1287" s="264" t="s">
        <v>871</v>
      </c>
      <c r="G1287" s="266">
        <v>46037</v>
      </c>
      <c r="H1287" s="266">
        <v>46038</v>
      </c>
      <c r="I1287" s="85"/>
      <c r="J1287" s="85"/>
      <c r="K1287" s="51">
        <v>0.27083333333333331</v>
      </c>
      <c r="L1287" s="51">
        <v>0.64583333333333337</v>
      </c>
      <c r="M1287" s="11">
        <f t="shared" si="20"/>
        <v>9.0000000000000018</v>
      </c>
      <c r="N1287" s="214" t="s">
        <v>1</v>
      </c>
      <c r="P1287" s="4"/>
      <c r="Q1287" s="4"/>
      <c r="R1287" s="4"/>
      <c r="S1287" s="4"/>
      <c r="T1287" s="4"/>
      <c r="U1287" s="4"/>
      <c r="V1287" s="4"/>
      <c r="W1287" s="4"/>
    </row>
    <row r="1288" spans="1:23" s="32" customFormat="1" ht="15.6" hidden="1" x14ac:dyDescent="0.3">
      <c r="A1288" s="40" t="s">
        <v>21</v>
      </c>
      <c r="B1288" s="21">
        <v>46038</v>
      </c>
      <c r="C1288" s="40" t="s">
        <v>274</v>
      </c>
      <c r="D1288" s="263"/>
      <c r="E1288" s="263"/>
      <c r="F1288" s="265"/>
      <c r="G1288" s="267"/>
      <c r="H1288" s="267"/>
      <c r="I1288" s="85"/>
      <c r="J1288" s="85"/>
      <c r="K1288" s="51">
        <v>0.27083333333333331</v>
      </c>
      <c r="L1288" s="51">
        <v>0.64583333333333337</v>
      </c>
      <c r="M1288" s="11">
        <f t="shared" si="20"/>
        <v>9.0000000000000018</v>
      </c>
      <c r="N1288" s="215"/>
      <c r="P1288" s="4"/>
      <c r="Q1288" s="4"/>
      <c r="R1288" s="4"/>
      <c r="S1288" s="4"/>
      <c r="T1288" s="4"/>
      <c r="U1288" s="4"/>
      <c r="V1288" s="4"/>
      <c r="W1288" s="4"/>
    </row>
    <row r="1289" spans="1:23" s="32" customFormat="1" hidden="1" x14ac:dyDescent="0.3">
      <c r="A1289" s="40" t="s">
        <v>21</v>
      </c>
      <c r="B1289" s="21">
        <v>46038</v>
      </c>
      <c r="C1289" s="40" t="s">
        <v>118</v>
      </c>
      <c r="D1289" s="260" t="s">
        <v>54</v>
      </c>
      <c r="E1289" s="260" t="s">
        <v>882</v>
      </c>
      <c r="F1289" s="260" t="s">
        <v>883</v>
      </c>
      <c r="G1289" s="266">
        <v>46038</v>
      </c>
      <c r="H1289" s="266">
        <v>46038</v>
      </c>
      <c r="I1289" s="266">
        <v>46038</v>
      </c>
      <c r="J1289" s="36"/>
      <c r="K1289" s="51">
        <v>0.35416666666666669</v>
      </c>
      <c r="L1289" s="51">
        <v>0.54166666666666663</v>
      </c>
      <c r="M1289" s="11">
        <f t="shared" si="20"/>
        <v>4.4999999999999982</v>
      </c>
      <c r="N1289" s="233" t="s">
        <v>0</v>
      </c>
      <c r="P1289" s="4"/>
      <c r="Q1289" s="4"/>
      <c r="R1289" s="4"/>
      <c r="S1289" s="4"/>
      <c r="T1289" s="4"/>
      <c r="U1289" s="4"/>
      <c r="V1289" s="4"/>
      <c r="W1289" s="4"/>
    </row>
    <row r="1290" spans="1:23" s="32" customFormat="1" hidden="1" x14ac:dyDescent="0.3">
      <c r="A1290" s="40" t="s">
        <v>21</v>
      </c>
      <c r="B1290" s="21">
        <v>46038</v>
      </c>
      <c r="C1290" s="40" t="s">
        <v>34</v>
      </c>
      <c r="D1290" s="260"/>
      <c r="E1290" s="260"/>
      <c r="F1290" s="260"/>
      <c r="G1290" s="267"/>
      <c r="H1290" s="267"/>
      <c r="I1290" s="267"/>
      <c r="J1290" s="37"/>
      <c r="K1290" s="51">
        <v>0.35416666666666669</v>
      </c>
      <c r="L1290" s="51">
        <v>0.54166666666666663</v>
      </c>
      <c r="M1290" s="11">
        <f t="shared" si="20"/>
        <v>4.4999999999999982</v>
      </c>
      <c r="N1290" s="233"/>
      <c r="P1290" s="4"/>
      <c r="Q1290" s="4"/>
      <c r="R1290" s="4"/>
      <c r="S1290" s="4"/>
      <c r="T1290" s="4"/>
      <c r="U1290" s="4"/>
      <c r="V1290" s="4"/>
      <c r="W1290" s="4"/>
    </row>
    <row r="1291" spans="1:23" s="32" customFormat="1" hidden="1" x14ac:dyDescent="0.3">
      <c r="A1291" s="40" t="s">
        <v>21</v>
      </c>
      <c r="B1291" s="21">
        <v>46038</v>
      </c>
      <c r="C1291" s="40" t="s">
        <v>25</v>
      </c>
      <c r="D1291" s="10" t="s">
        <v>43</v>
      </c>
      <c r="E1291" s="10" t="s">
        <v>873</v>
      </c>
      <c r="F1291" s="10" t="s">
        <v>349</v>
      </c>
      <c r="G1291" s="41">
        <v>46038</v>
      </c>
      <c r="H1291" s="41">
        <v>46038</v>
      </c>
      <c r="I1291" s="41">
        <v>46038</v>
      </c>
      <c r="J1291" s="41"/>
      <c r="K1291" s="45">
        <v>0.27083333333333331</v>
      </c>
      <c r="L1291" s="51">
        <v>0.375</v>
      </c>
      <c r="M1291" s="11">
        <f t="shared" si="20"/>
        <v>2.5000000000000004</v>
      </c>
      <c r="N1291" s="62" t="s">
        <v>0</v>
      </c>
      <c r="P1291" s="4"/>
      <c r="Q1291" s="4"/>
      <c r="R1291" s="4"/>
      <c r="S1291" s="4"/>
      <c r="T1291" s="4"/>
      <c r="U1291" s="4"/>
      <c r="V1291" s="4"/>
      <c r="W1291" s="4"/>
    </row>
    <row r="1292" spans="1:23" s="32" customFormat="1" hidden="1" x14ac:dyDescent="0.3">
      <c r="A1292" s="22" t="s">
        <v>19</v>
      </c>
      <c r="B1292" s="21">
        <v>46038</v>
      </c>
      <c r="C1292" s="22" t="s">
        <v>7</v>
      </c>
      <c r="D1292" s="13" t="s">
        <v>8</v>
      </c>
      <c r="E1292" s="13" t="s">
        <v>682</v>
      </c>
      <c r="F1292" s="13" t="s">
        <v>818</v>
      </c>
      <c r="G1292" s="17">
        <v>46028</v>
      </c>
      <c r="H1292" s="36">
        <v>46038</v>
      </c>
      <c r="I1292" s="36">
        <v>46038</v>
      </c>
      <c r="J1292" s="36"/>
      <c r="K1292" s="45">
        <v>0.27083333333333331</v>
      </c>
      <c r="L1292" s="48">
        <v>0.64583333333333337</v>
      </c>
      <c r="M1292" s="11">
        <f t="shared" si="20"/>
        <v>9.0000000000000018</v>
      </c>
      <c r="N1292" s="22" t="s">
        <v>0</v>
      </c>
      <c r="P1292" s="4"/>
      <c r="Q1292" s="4"/>
      <c r="R1292" s="4"/>
      <c r="S1292" s="4"/>
      <c r="T1292" s="4"/>
      <c r="U1292" s="4"/>
      <c r="V1292" s="4"/>
      <c r="W1292" s="4"/>
    </row>
    <row r="1293" spans="1:23" s="32" customFormat="1" hidden="1" x14ac:dyDescent="0.3">
      <c r="A1293" s="22" t="s">
        <v>19</v>
      </c>
      <c r="B1293" s="21">
        <v>46038</v>
      </c>
      <c r="C1293" s="22" t="s">
        <v>9</v>
      </c>
      <c r="D1293" s="13" t="s">
        <v>8</v>
      </c>
      <c r="E1293" s="13" t="s">
        <v>235</v>
      </c>
      <c r="F1293" s="14" t="s">
        <v>885</v>
      </c>
      <c r="G1293" s="36">
        <v>46038</v>
      </c>
      <c r="H1293" s="36">
        <v>46038</v>
      </c>
      <c r="I1293" s="21"/>
      <c r="J1293" s="21"/>
      <c r="K1293" s="45">
        <v>0.27083333333333331</v>
      </c>
      <c r="L1293" s="48">
        <v>0.41666666666666669</v>
      </c>
      <c r="M1293" s="11">
        <f t="shared" si="20"/>
        <v>3.5000000000000009</v>
      </c>
      <c r="N1293" s="80" t="s">
        <v>30</v>
      </c>
      <c r="P1293" s="4"/>
      <c r="Q1293" s="4"/>
      <c r="R1293" s="4"/>
      <c r="S1293" s="4"/>
      <c r="T1293" s="4"/>
      <c r="U1293" s="4"/>
      <c r="V1293" s="4"/>
      <c r="W1293" s="4"/>
    </row>
    <row r="1294" spans="1:23" s="32" customFormat="1" hidden="1" x14ac:dyDescent="0.3">
      <c r="A1294" s="22" t="s">
        <v>19</v>
      </c>
      <c r="B1294" s="21">
        <v>46038</v>
      </c>
      <c r="C1294" s="22" t="s">
        <v>208</v>
      </c>
      <c r="D1294" s="24" t="s">
        <v>8</v>
      </c>
      <c r="E1294" s="24" t="s">
        <v>876</v>
      </c>
      <c r="F1294" s="24" t="s">
        <v>886</v>
      </c>
      <c r="G1294" s="36">
        <v>46037</v>
      </c>
      <c r="H1294" s="36">
        <v>46038</v>
      </c>
      <c r="I1294" s="17"/>
      <c r="J1294" s="17"/>
      <c r="K1294" s="45">
        <v>0.35416666666666669</v>
      </c>
      <c r="L1294" s="48">
        <v>0.72916666666666663</v>
      </c>
      <c r="M1294" s="11">
        <f t="shared" si="20"/>
        <v>8.9999999999999982</v>
      </c>
      <c r="N1294" s="67" t="s">
        <v>1</v>
      </c>
      <c r="P1294" s="4"/>
      <c r="Q1294" s="4"/>
      <c r="R1294" s="4"/>
      <c r="S1294" s="4"/>
      <c r="T1294" s="4"/>
      <c r="U1294" s="4"/>
      <c r="V1294" s="4"/>
      <c r="W1294" s="4"/>
    </row>
    <row r="1295" spans="1:23" s="32" customFormat="1" hidden="1" x14ac:dyDescent="0.3">
      <c r="A1295" s="22" t="s">
        <v>20</v>
      </c>
      <c r="B1295" s="21">
        <v>46038</v>
      </c>
      <c r="C1295" s="69" t="s">
        <v>444</v>
      </c>
      <c r="D1295" s="214" t="s">
        <v>44</v>
      </c>
      <c r="E1295" s="226" t="s">
        <v>887</v>
      </c>
      <c r="F1295" s="242" t="s">
        <v>889</v>
      </c>
      <c r="G1295" s="223">
        <v>46038</v>
      </c>
      <c r="H1295" s="223">
        <v>46038</v>
      </c>
      <c r="I1295" s="266"/>
      <c r="J1295" s="36"/>
      <c r="K1295" s="45">
        <v>0.35416666666666669</v>
      </c>
      <c r="L1295" s="48">
        <v>0.72916666666666663</v>
      </c>
      <c r="M1295" s="11">
        <f t="shared" si="20"/>
        <v>8.9999999999999982</v>
      </c>
      <c r="N1295" s="224" t="s">
        <v>0</v>
      </c>
      <c r="P1295" s="4"/>
      <c r="Q1295" s="4"/>
      <c r="R1295" s="4"/>
      <c r="S1295" s="4"/>
      <c r="T1295" s="4"/>
      <c r="U1295" s="4"/>
      <c r="V1295" s="4"/>
      <c r="W1295" s="4"/>
    </row>
    <row r="1296" spans="1:23" s="32" customFormat="1" hidden="1" x14ac:dyDescent="0.3">
      <c r="A1296" s="22" t="s">
        <v>20</v>
      </c>
      <c r="B1296" s="21">
        <v>46038</v>
      </c>
      <c r="C1296" s="69" t="s">
        <v>421</v>
      </c>
      <c r="D1296" s="215"/>
      <c r="E1296" s="215"/>
      <c r="F1296" s="248"/>
      <c r="G1296" s="223"/>
      <c r="H1296" s="223"/>
      <c r="I1296" s="267"/>
      <c r="J1296" s="37"/>
      <c r="K1296" s="45">
        <v>0.35416666666666669</v>
      </c>
      <c r="L1296" s="48">
        <v>0.72916666666666663</v>
      </c>
      <c r="M1296" s="11">
        <f t="shared" si="20"/>
        <v>8.9999999999999982</v>
      </c>
      <c r="N1296" s="225"/>
      <c r="P1296" s="4"/>
      <c r="Q1296" s="4"/>
      <c r="R1296" s="4"/>
      <c r="S1296" s="4"/>
      <c r="T1296" s="4"/>
      <c r="U1296" s="4"/>
      <c r="V1296" s="4"/>
      <c r="W1296" s="4"/>
    </row>
    <row r="1297" spans="1:23" s="32" customFormat="1" hidden="1" x14ac:dyDescent="0.3">
      <c r="A1297" s="22" t="s">
        <v>20</v>
      </c>
      <c r="B1297" s="21">
        <v>46038</v>
      </c>
      <c r="C1297" s="69" t="s">
        <v>12</v>
      </c>
      <c r="D1297" s="214" t="s">
        <v>44</v>
      </c>
      <c r="E1297" s="226" t="s">
        <v>888</v>
      </c>
      <c r="F1297" s="242" t="s">
        <v>889</v>
      </c>
      <c r="G1297" s="223">
        <v>46038</v>
      </c>
      <c r="H1297" s="223">
        <v>46038</v>
      </c>
      <c r="I1297" s="223"/>
      <c r="J1297" s="17"/>
      <c r="K1297" s="47">
        <v>0.27083333333333331</v>
      </c>
      <c r="L1297" s="48">
        <v>0.64583333333333337</v>
      </c>
      <c r="M1297" s="11">
        <f t="shared" si="20"/>
        <v>9.0000000000000018</v>
      </c>
      <c r="N1297" s="224" t="s">
        <v>0</v>
      </c>
      <c r="P1297" s="4"/>
      <c r="Q1297" s="4"/>
      <c r="R1297" s="4"/>
      <c r="S1297" s="4"/>
      <c r="T1297" s="4"/>
      <c r="U1297" s="4"/>
      <c r="V1297" s="4"/>
      <c r="W1297" s="4"/>
    </row>
    <row r="1298" spans="1:23" s="32" customFormat="1" hidden="1" x14ac:dyDescent="0.3">
      <c r="A1298" s="22" t="s">
        <v>20</v>
      </c>
      <c r="B1298" s="21">
        <v>46038</v>
      </c>
      <c r="C1298" s="69" t="s">
        <v>33</v>
      </c>
      <c r="D1298" s="215"/>
      <c r="E1298" s="215"/>
      <c r="F1298" s="248"/>
      <c r="G1298" s="223"/>
      <c r="H1298" s="223"/>
      <c r="I1298" s="223"/>
      <c r="J1298" s="17"/>
      <c r="K1298" s="47">
        <v>0.27083333333333331</v>
      </c>
      <c r="L1298" s="48">
        <v>0.64583333333333337</v>
      </c>
      <c r="M1298" s="11">
        <f t="shared" si="20"/>
        <v>9.0000000000000018</v>
      </c>
      <c r="N1298" s="225"/>
      <c r="P1298" s="4"/>
      <c r="Q1298" s="4"/>
      <c r="R1298" s="4"/>
      <c r="S1298" s="4"/>
      <c r="T1298" s="4"/>
      <c r="U1298" s="4"/>
      <c r="V1298" s="4"/>
      <c r="W1298" s="4"/>
    </row>
    <row r="1299" spans="1:23" s="32" customFormat="1" hidden="1" x14ac:dyDescent="0.3">
      <c r="A1299" s="22" t="s">
        <v>20</v>
      </c>
      <c r="B1299" s="21">
        <v>46038</v>
      </c>
      <c r="C1299" s="22" t="s">
        <v>28</v>
      </c>
      <c r="D1299" s="13" t="s">
        <v>65</v>
      </c>
      <c r="E1299" s="13" t="s">
        <v>890</v>
      </c>
      <c r="F1299" s="26" t="s">
        <v>891</v>
      </c>
      <c r="G1299" s="21">
        <v>46038</v>
      </c>
      <c r="H1299" s="21">
        <v>46038</v>
      </c>
      <c r="I1299" s="21">
        <v>46038</v>
      </c>
      <c r="J1299" s="17"/>
      <c r="K1299" s="47">
        <v>0.27083333333333331</v>
      </c>
      <c r="L1299" s="48">
        <v>0.64583333333333337</v>
      </c>
      <c r="M1299" s="11">
        <f t="shared" si="20"/>
        <v>9.0000000000000018</v>
      </c>
      <c r="N1299" s="42" t="s">
        <v>0</v>
      </c>
      <c r="P1299" s="4"/>
      <c r="Q1299" s="4"/>
      <c r="R1299" s="4"/>
      <c r="S1299" s="4"/>
      <c r="T1299" s="4"/>
      <c r="U1299" s="4"/>
      <c r="V1299" s="4"/>
      <c r="W1299" s="4"/>
    </row>
    <row r="1300" spans="1:23" s="32" customFormat="1" hidden="1" x14ac:dyDescent="0.3">
      <c r="A1300" s="22" t="s">
        <v>20</v>
      </c>
      <c r="B1300" s="21">
        <v>46038</v>
      </c>
      <c r="C1300" s="22" t="s">
        <v>17</v>
      </c>
      <c r="D1300" s="216" t="s">
        <v>65</v>
      </c>
      <c r="E1300" s="216" t="s">
        <v>784</v>
      </c>
      <c r="F1300" s="243" t="s">
        <v>892</v>
      </c>
      <c r="G1300" s="219">
        <v>46031</v>
      </c>
      <c r="H1300" s="219">
        <v>46038</v>
      </c>
      <c r="I1300" s="219">
        <v>46038</v>
      </c>
      <c r="J1300" s="17"/>
      <c r="K1300" s="47">
        <v>0.27083333333333331</v>
      </c>
      <c r="L1300" s="48">
        <v>0.52083333333333337</v>
      </c>
      <c r="M1300" s="11">
        <f t="shared" si="20"/>
        <v>6.0000000000000018</v>
      </c>
      <c r="N1300" s="231" t="s">
        <v>0</v>
      </c>
      <c r="P1300" s="4"/>
      <c r="Q1300" s="4"/>
      <c r="R1300" s="4"/>
      <c r="S1300" s="4"/>
      <c r="T1300" s="4"/>
      <c r="U1300" s="4"/>
      <c r="V1300" s="4"/>
      <c r="W1300" s="4"/>
    </row>
    <row r="1301" spans="1:23" s="32" customFormat="1" hidden="1" x14ac:dyDescent="0.3">
      <c r="A1301" s="22" t="s">
        <v>20</v>
      </c>
      <c r="B1301" s="21">
        <v>46038</v>
      </c>
      <c r="C1301" s="22" t="s">
        <v>31</v>
      </c>
      <c r="D1301" s="217"/>
      <c r="E1301" s="217"/>
      <c r="F1301" s="244"/>
      <c r="G1301" s="220"/>
      <c r="H1301" s="220"/>
      <c r="I1301" s="220"/>
      <c r="J1301" s="23"/>
      <c r="K1301" s="47">
        <v>0.54166666666666663</v>
      </c>
      <c r="L1301" s="48">
        <v>0.58333333333333337</v>
      </c>
      <c r="M1301" s="11">
        <f t="shared" si="20"/>
        <v>1.0000000000000018</v>
      </c>
      <c r="N1301" s="225"/>
      <c r="P1301" s="4"/>
      <c r="Q1301" s="4"/>
      <c r="R1301" s="4"/>
      <c r="S1301" s="4"/>
      <c r="T1301" s="4"/>
      <c r="U1301" s="4"/>
      <c r="V1301" s="4"/>
      <c r="W1301" s="4"/>
    </row>
    <row r="1302" spans="1:23" s="32" customFormat="1" hidden="1" x14ac:dyDescent="0.3">
      <c r="A1302" s="22" t="s">
        <v>20</v>
      </c>
      <c r="B1302" s="21">
        <v>46038</v>
      </c>
      <c r="C1302" s="22" t="s">
        <v>167</v>
      </c>
      <c r="D1302" s="216" t="s">
        <v>65</v>
      </c>
      <c r="E1302" s="216" t="s">
        <v>785</v>
      </c>
      <c r="F1302" s="243" t="s">
        <v>893</v>
      </c>
      <c r="G1302" s="219">
        <v>46031</v>
      </c>
      <c r="H1302" s="219">
        <v>46038</v>
      </c>
      <c r="I1302" s="219">
        <v>46038</v>
      </c>
      <c r="J1302" s="17"/>
      <c r="K1302" s="47">
        <v>0.27083333333333331</v>
      </c>
      <c r="L1302" s="48">
        <v>0.72916666666666663</v>
      </c>
      <c r="M1302" s="11">
        <f t="shared" si="20"/>
        <v>11</v>
      </c>
      <c r="N1302" s="231" t="s">
        <v>0</v>
      </c>
      <c r="P1302" s="4"/>
      <c r="Q1302" s="4"/>
      <c r="R1302" s="4"/>
      <c r="S1302" s="4"/>
      <c r="T1302" s="4"/>
      <c r="U1302" s="4"/>
      <c r="V1302" s="4"/>
      <c r="W1302" s="4"/>
    </row>
    <row r="1303" spans="1:23" s="32" customFormat="1" hidden="1" x14ac:dyDescent="0.3">
      <c r="A1303" s="22" t="s">
        <v>20</v>
      </c>
      <c r="B1303" s="21">
        <v>46038</v>
      </c>
      <c r="C1303" s="22" t="s">
        <v>31</v>
      </c>
      <c r="D1303" s="217"/>
      <c r="E1303" s="217"/>
      <c r="F1303" s="244"/>
      <c r="G1303" s="220"/>
      <c r="H1303" s="220"/>
      <c r="I1303" s="220"/>
      <c r="J1303" s="23"/>
      <c r="K1303" s="47">
        <v>0.35416666666666669</v>
      </c>
      <c r="L1303" s="45">
        <v>0.4375</v>
      </c>
      <c r="M1303" s="11">
        <f t="shared" si="20"/>
        <v>1.9999999999999996</v>
      </c>
      <c r="N1303" s="225"/>
      <c r="P1303" s="4"/>
      <c r="Q1303" s="4"/>
      <c r="R1303" s="4"/>
      <c r="S1303" s="4"/>
      <c r="T1303" s="4"/>
      <c r="U1303" s="4"/>
      <c r="V1303" s="4"/>
      <c r="W1303" s="4"/>
    </row>
    <row r="1304" spans="1:23" s="32" customFormat="1" hidden="1" x14ac:dyDescent="0.3">
      <c r="A1304" s="22" t="s">
        <v>20</v>
      </c>
      <c r="B1304" s="21">
        <v>46038</v>
      </c>
      <c r="C1304" s="22" t="s">
        <v>16</v>
      </c>
      <c r="D1304" s="216" t="s">
        <v>65</v>
      </c>
      <c r="E1304" s="214" t="s">
        <v>875</v>
      </c>
      <c r="F1304" s="243" t="s">
        <v>894</v>
      </c>
      <c r="G1304" s="219">
        <v>46037</v>
      </c>
      <c r="H1304" s="219">
        <v>46038</v>
      </c>
      <c r="I1304" s="219">
        <v>46038</v>
      </c>
      <c r="J1304" s="17"/>
      <c r="K1304" s="47">
        <v>0.27083333333333331</v>
      </c>
      <c r="L1304" s="48">
        <v>0.72916666666666663</v>
      </c>
      <c r="M1304" s="11">
        <f t="shared" si="20"/>
        <v>11</v>
      </c>
      <c r="N1304" s="224" t="s">
        <v>0</v>
      </c>
      <c r="P1304" s="4"/>
      <c r="Q1304" s="4"/>
      <c r="R1304" s="4"/>
      <c r="S1304" s="4"/>
      <c r="T1304" s="4"/>
      <c r="U1304" s="4"/>
      <c r="V1304" s="4"/>
      <c r="W1304" s="4"/>
    </row>
    <row r="1305" spans="1:23" s="32" customFormat="1" hidden="1" x14ac:dyDescent="0.3">
      <c r="A1305" s="22" t="s">
        <v>20</v>
      </c>
      <c r="B1305" s="21">
        <v>46038</v>
      </c>
      <c r="C1305" s="22" t="s">
        <v>31</v>
      </c>
      <c r="D1305" s="217"/>
      <c r="E1305" s="215"/>
      <c r="F1305" s="244"/>
      <c r="G1305" s="220"/>
      <c r="H1305" s="220"/>
      <c r="I1305" s="220"/>
      <c r="J1305" s="23"/>
      <c r="K1305" s="47">
        <v>0.4375</v>
      </c>
      <c r="L1305" s="48">
        <v>0.5</v>
      </c>
      <c r="M1305" s="11">
        <f t="shared" si="20"/>
        <v>1.5</v>
      </c>
      <c r="N1305" s="225"/>
      <c r="P1305" s="4"/>
      <c r="Q1305" s="4"/>
      <c r="R1305" s="4"/>
      <c r="S1305" s="4"/>
      <c r="T1305" s="4"/>
      <c r="U1305" s="4"/>
      <c r="V1305" s="4"/>
      <c r="W1305" s="4"/>
    </row>
    <row r="1306" spans="1:23" s="32" customFormat="1" hidden="1" x14ac:dyDescent="0.3">
      <c r="A1306" s="22" t="s">
        <v>20</v>
      </c>
      <c r="B1306" s="21">
        <v>46038</v>
      </c>
      <c r="C1306" s="69" t="s">
        <v>47</v>
      </c>
      <c r="D1306" s="221" t="s">
        <v>65</v>
      </c>
      <c r="E1306" s="233" t="s">
        <v>895</v>
      </c>
      <c r="F1306" s="245" t="s">
        <v>115</v>
      </c>
      <c r="G1306" s="219">
        <v>46037</v>
      </c>
      <c r="H1306" s="219">
        <v>46038</v>
      </c>
      <c r="I1306" s="219">
        <v>46038</v>
      </c>
      <c r="J1306" s="17"/>
      <c r="K1306" s="47">
        <v>0.27083333333333331</v>
      </c>
      <c r="L1306" s="48">
        <v>0.72916666666666663</v>
      </c>
      <c r="M1306" s="11">
        <f t="shared" si="20"/>
        <v>11</v>
      </c>
      <c r="N1306" s="224" t="s">
        <v>0</v>
      </c>
      <c r="P1306" s="4"/>
      <c r="Q1306" s="4"/>
      <c r="R1306" s="4"/>
      <c r="S1306" s="4"/>
      <c r="T1306" s="4"/>
      <c r="U1306" s="4"/>
      <c r="V1306" s="4"/>
      <c r="W1306" s="4"/>
    </row>
    <row r="1307" spans="1:23" s="32" customFormat="1" hidden="1" x14ac:dyDescent="0.3">
      <c r="A1307" s="22" t="s">
        <v>20</v>
      </c>
      <c r="B1307" s="21">
        <v>46038</v>
      </c>
      <c r="C1307" s="69" t="s">
        <v>31</v>
      </c>
      <c r="D1307" s="221"/>
      <c r="E1307" s="233"/>
      <c r="F1307" s="245"/>
      <c r="G1307" s="220"/>
      <c r="H1307" s="220"/>
      <c r="I1307" s="220"/>
      <c r="J1307" s="19"/>
      <c r="K1307" s="45">
        <v>0.58333333333333337</v>
      </c>
      <c r="L1307" s="48">
        <v>0.66666666666666663</v>
      </c>
      <c r="M1307" s="11">
        <f t="shared" si="20"/>
        <v>1.9999999999999982</v>
      </c>
      <c r="N1307" s="225"/>
      <c r="P1307" s="4"/>
      <c r="Q1307" s="4"/>
      <c r="R1307" s="4"/>
      <c r="S1307" s="4"/>
      <c r="T1307" s="4"/>
      <c r="U1307" s="4"/>
      <c r="V1307" s="4"/>
      <c r="W1307" s="4"/>
    </row>
    <row r="1308" spans="1:23" s="32" customFormat="1" hidden="1" x14ac:dyDescent="0.3">
      <c r="A1308" s="22" t="s">
        <v>20</v>
      </c>
      <c r="B1308" s="21">
        <v>46038</v>
      </c>
      <c r="C1308" s="69" t="s">
        <v>15</v>
      </c>
      <c r="D1308" s="24" t="s">
        <v>65</v>
      </c>
      <c r="E1308" s="22" t="s">
        <v>854</v>
      </c>
      <c r="F1308" s="25" t="s">
        <v>380</v>
      </c>
      <c r="G1308" s="21">
        <v>46036</v>
      </c>
      <c r="H1308" s="21">
        <v>46038</v>
      </c>
      <c r="I1308" s="21">
        <v>46038</v>
      </c>
      <c r="J1308" s="21"/>
      <c r="K1308" s="45">
        <v>0.27083333333333331</v>
      </c>
      <c r="L1308" s="48">
        <v>0.72916666666666663</v>
      </c>
      <c r="M1308" s="11">
        <f t="shared" si="20"/>
        <v>11</v>
      </c>
      <c r="N1308" s="42" t="s">
        <v>0</v>
      </c>
      <c r="P1308" s="4"/>
      <c r="Q1308" s="4"/>
      <c r="R1308" s="4"/>
      <c r="S1308" s="4"/>
      <c r="T1308" s="4"/>
      <c r="U1308" s="4"/>
      <c r="V1308" s="4"/>
      <c r="W1308" s="4"/>
    </row>
    <row r="1309" spans="1:23" s="32" customFormat="1" ht="28.8" hidden="1" x14ac:dyDescent="0.3">
      <c r="A1309" s="40" t="s">
        <v>21</v>
      </c>
      <c r="B1309" s="21">
        <v>46039</v>
      </c>
      <c r="C1309" s="40" t="s">
        <v>26</v>
      </c>
      <c r="D1309" s="40" t="s">
        <v>24</v>
      </c>
      <c r="E1309" s="40" t="s">
        <v>827</v>
      </c>
      <c r="F1309" s="84" t="s">
        <v>828</v>
      </c>
      <c r="G1309" s="41">
        <v>46035</v>
      </c>
      <c r="H1309" s="41">
        <v>46040</v>
      </c>
      <c r="I1309" s="85"/>
      <c r="J1309" s="85"/>
      <c r="K1309" s="51">
        <v>0.27083333333333331</v>
      </c>
      <c r="L1309" s="51">
        <v>0.64583333333333337</v>
      </c>
      <c r="M1309" s="11">
        <f t="shared" si="20"/>
        <v>9.0000000000000018</v>
      </c>
      <c r="N1309" s="22" t="s">
        <v>1</v>
      </c>
      <c r="P1309" s="4"/>
      <c r="Q1309" s="4"/>
      <c r="R1309" s="4"/>
      <c r="S1309" s="4"/>
      <c r="T1309" s="4"/>
      <c r="U1309" s="4"/>
      <c r="V1309" s="4"/>
      <c r="W1309" s="4"/>
    </row>
    <row r="1310" spans="1:23" s="32" customFormat="1" ht="28.8" hidden="1" x14ac:dyDescent="0.3">
      <c r="A1310" s="40" t="s">
        <v>21</v>
      </c>
      <c r="B1310" s="21">
        <v>46039</v>
      </c>
      <c r="C1310" s="40" t="s">
        <v>50</v>
      </c>
      <c r="D1310" s="40" t="s">
        <v>24</v>
      </c>
      <c r="E1310" s="40" t="s">
        <v>829</v>
      </c>
      <c r="F1310" s="84" t="s">
        <v>828</v>
      </c>
      <c r="G1310" s="41">
        <v>46035</v>
      </c>
      <c r="H1310" s="41">
        <v>46040</v>
      </c>
      <c r="I1310" s="85"/>
      <c r="J1310" s="85"/>
      <c r="K1310" s="51">
        <v>0.27083333333333331</v>
      </c>
      <c r="L1310" s="51">
        <v>0.64583333333333337</v>
      </c>
      <c r="M1310" s="11">
        <f t="shared" si="20"/>
        <v>9.0000000000000018</v>
      </c>
      <c r="N1310" s="22" t="s">
        <v>1</v>
      </c>
      <c r="P1310" s="4"/>
      <c r="Q1310" s="4"/>
      <c r="R1310" s="4"/>
      <c r="S1310" s="4"/>
      <c r="T1310" s="4"/>
      <c r="U1310" s="4"/>
      <c r="V1310" s="4"/>
      <c r="W1310" s="4"/>
    </row>
    <row r="1311" spans="1:23" s="32" customFormat="1" hidden="1" x14ac:dyDescent="0.3">
      <c r="A1311" s="40" t="s">
        <v>21</v>
      </c>
      <c r="B1311" s="21">
        <v>46039</v>
      </c>
      <c r="C1311" s="40" t="s">
        <v>830</v>
      </c>
      <c r="D1311" s="40" t="s">
        <v>24</v>
      </c>
      <c r="E1311" s="40" t="s">
        <v>743</v>
      </c>
      <c r="F1311" s="84" t="s">
        <v>881</v>
      </c>
      <c r="G1311" s="41">
        <v>46037</v>
      </c>
      <c r="H1311" s="41">
        <v>46037</v>
      </c>
      <c r="I1311" s="41"/>
      <c r="J1311" s="41"/>
      <c r="K1311" s="51">
        <v>0.35416666666666669</v>
      </c>
      <c r="L1311" s="51">
        <v>0.72916666666666663</v>
      </c>
      <c r="M1311" s="11">
        <f t="shared" si="20"/>
        <v>8.9999999999999982</v>
      </c>
      <c r="N1311" s="22" t="s">
        <v>1</v>
      </c>
      <c r="P1311" s="4"/>
      <c r="Q1311" s="4"/>
      <c r="R1311" s="4"/>
      <c r="S1311" s="4"/>
      <c r="T1311" s="4"/>
      <c r="U1311" s="4"/>
      <c r="V1311" s="4"/>
      <c r="W1311" s="4"/>
    </row>
    <row r="1312" spans="1:23" s="32" customFormat="1" ht="15.6" hidden="1" x14ac:dyDescent="0.3">
      <c r="A1312" s="40" t="s">
        <v>21</v>
      </c>
      <c r="B1312" s="21">
        <v>46039</v>
      </c>
      <c r="C1312" s="40" t="s">
        <v>50</v>
      </c>
      <c r="D1312" s="260" t="s">
        <v>43</v>
      </c>
      <c r="E1312" s="260" t="s">
        <v>896</v>
      </c>
      <c r="F1312" s="261" t="s">
        <v>593</v>
      </c>
      <c r="G1312" s="259">
        <v>46039</v>
      </c>
      <c r="H1312" s="259">
        <v>46039</v>
      </c>
      <c r="I1312" s="85"/>
      <c r="J1312" s="85"/>
      <c r="K1312" s="51">
        <v>0.35416666666666669</v>
      </c>
      <c r="L1312" s="51">
        <v>0.72916666666666663</v>
      </c>
      <c r="M1312" s="11">
        <f t="shared" si="20"/>
        <v>8.9999999999999982</v>
      </c>
      <c r="N1312" s="233" t="s">
        <v>1</v>
      </c>
      <c r="P1312" s="4"/>
      <c r="Q1312" s="4"/>
      <c r="R1312" s="4"/>
      <c r="S1312" s="4"/>
      <c r="T1312" s="4"/>
      <c r="U1312" s="4"/>
      <c r="V1312" s="4"/>
      <c r="W1312" s="4"/>
    </row>
    <row r="1313" spans="1:23" s="32" customFormat="1" ht="15.6" hidden="1" x14ac:dyDescent="0.3">
      <c r="A1313" s="40" t="s">
        <v>21</v>
      </c>
      <c r="B1313" s="21">
        <v>46039</v>
      </c>
      <c r="C1313" s="40" t="s">
        <v>18</v>
      </c>
      <c r="D1313" s="260"/>
      <c r="E1313" s="260"/>
      <c r="F1313" s="261"/>
      <c r="G1313" s="259"/>
      <c r="H1313" s="259"/>
      <c r="I1313" s="85"/>
      <c r="J1313" s="85"/>
      <c r="K1313" s="51">
        <v>0.35416666666666669</v>
      </c>
      <c r="L1313" s="51">
        <v>0.72916666666666663</v>
      </c>
      <c r="M1313" s="11">
        <f t="shared" si="20"/>
        <v>8.9999999999999982</v>
      </c>
      <c r="N1313" s="233"/>
      <c r="P1313" s="4"/>
      <c r="Q1313" s="4"/>
      <c r="R1313" s="4"/>
      <c r="S1313" s="4"/>
      <c r="T1313" s="4"/>
      <c r="U1313" s="4"/>
      <c r="V1313" s="4"/>
      <c r="W1313" s="4"/>
    </row>
    <row r="1314" spans="1:23" s="32" customFormat="1" hidden="1" x14ac:dyDescent="0.3">
      <c r="A1314" s="40" t="s">
        <v>21</v>
      </c>
      <c r="B1314" s="21">
        <v>46039</v>
      </c>
      <c r="C1314" s="40" t="s">
        <v>55</v>
      </c>
      <c r="D1314" s="40" t="s">
        <v>43</v>
      </c>
      <c r="E1314" s="40" t="s">
        <v>865</v>
      </c>
      <c r="F1314" s="84" t="s">
        <v>884</v>
      </c>
      <c r="G1314" s="41">
        <v>46038</v>
      </c>
      <c r="H1314" s="41">
        <v>46039</v>
      </c>
      <c r="I1314" s="41"/>
      <c r="J1314" s="41"/>
      <c r="K1314" s="51">
        <v>0.27083333333333331</v>
      </c>
      <c r="L1314" s="51">
        <v>0.64583333333333337</v>
      </c>
      <c r="M1314" s="11">
        <f t="shared" si="20"/>
        <v>9.0000000000000018</v>
      </c>
      <c r="N1314" s="67" t="s">
        <v>1</v>
      </c>
      <c r="P1314" s="4"/>
      <c r="Q1314" s="4"/>
      <c r="R1314" s="4"/>
      <c r="S1314" s="4"/>
      <c r="T1314" s="4"/>
      <c r="U1314" s="4"/>
      <c r="V1314" s="4"/>
      <c r="W1314" s="4"/>
    </row>
    <row r="1315" spans="1:23" s="32" customFormat="1" hidden="1" x14ac:dyDescent="0.3">
      <c r="A1315" s="40" t="s">
        <v>21</v>
      </c>
      <c r="B1315" s="21">
        <v>46039</v>
      </c>
      <c r="C1315" s="40" t="s">
        <v>771</v>
      </c>
      <c r="D1315" s="262" t="s">
        <v>43</v>
      </c>
      <c r="E1315" s="260" t="s">
        <v>897</v>
      </c>
      <c r="F1315" s="264" t="s">
        <v>898</v>
      </c>
      <c r="G1315" s="259">
        <v>46039</v>
      </c>
      <c r="H1315" s="259">
        <v>46039</v>
      </c>
      <c r="I1315" s="266"/>
      <c r="J1315" s="36"/>
      <c r="K1315" s="51">
        <v>0.27083333333333331</v>
      </c>
      <c r="L1315" s="51">
        <v>0.64583333333333337</v>
      </c>
      <c r="M1315" s="11">
        <f t="shared" si="20"/>
        <v>9.0000000000000018</v>
      </c>
      <c r="N1315" s="224" t="s">
        <v>0</v>
      </c>
      <c r="P1315" s="4"/>
      <c r="Q1315" s="4"/>
      <c r="R1315" s="4"/>
      <c r="S1315" s="4"/>
      <c r="T1315" s="4"/>
      <c r="U1315" s="4"/>
      <c r="V1315" s="4"/>
      <c r="W1315" s="4"/>
    </row>
    <row r="1316" spans="1:23" s="32" customFormat="1" hidden="1" x14ac:dyDescent="0.3">
      <c r="A1316" s="40" t="s">
        <v>21</v>
      </c>
      <c r="B1316" s="21">
        <v>46039</v>
      </c>
      <c r="C1316" s="40" t="s">
        <v>320</v>
      </c>
      <c r="D1316" s="263"/>
      <c r="E1316" s="260"/>
      <c r="F1316" s="265"/>
      <c r="G1316" s="259"/>
      <c r="H1316" s="259"/>
      <c r="I1316" s="267"/>
      <c r="J1316" s="37"/>
      <c r="K1316" s="51">
        <v>0.27083333333333331</v>
      </c>
      <c r="L1316" s="51">
        <v>0.64583333333333337</v>
      </c>
      <c r="M1316" s="11">
        <f t="shared" si="20"/>
        <v>9.0000000000000018</v>
      </c>
      <c r="N1316" s="225"/>
      <c r="P1316" s="4"/>
      <c r="Q1316" s="4"/>
      <c r="R1316" s="4"/>
      <c r="S1316" s="4"/>
      <c r="T1316" s="4"/>
      <c r="U1316" s="4"/>
      <c r="V1316" s="4"/>
      <c r="W1316" s="4"/>
    </row>
    <row r="1317" spans="1:23" s="32" customFormat="1" ht="15.6" hidden="1" x14ac:dyDescent="0.3">
      <c r="A1317" s="40" t="s">
        <v>21</v>
      </c>
      <c r="B1317" s="21">
        <v>46039</v>
      </c>
      <c r="C1317" s="40" t="s">
        <v>56</v>
      </c>
      <c r="D1317" s="262" t="s">
        <v>43</v>
      </c>
      <c r="E1317" s="262" t="s">
        <v>858</v>
      </c>
      <c r="F1317" s="264" t="s">
        <v>871</v>
      </c>
      <c r="G1317" s="266">
        <v>46037</v>
      </c>
      <c r="H1317" s="259">
        <v>46039</v>
      </c>
      <c r="I1317" s="85"/>
      <c r="J1317" s="85"/>
      <c r="K1317" s="51">
        <v>0.27083333333333331</v>
      </c>
      <c r="L1317" s="51">
        <v>0.64583333333333337</v>
      </c>
      <c r="M1317" s="11">
        <f t="shared" si="20"/>
        <v>9.0000000000000018</v>
      </c>
      <c r="N1317" s="214" t="s">
        <v>1</v>
      </c>
      <c r="P1317" s="4"/>
      <c r="Q1317" s="4"/>
      <c r="R1317" s="4"/>
      <c r="S1317" s="4"/>
      <c r="T1317" s="4"/>
      <c r="U1317" s="4"/>
      <c r="V1317" s="4"/>
      <c r="W1317" s="4"/>
    </row>
    <row r="1318" spans="1:23" s="32" customFormat="1" ht="15.6" hidden="1" x14ac:dyDescent="0.3">
      <c r="A1318" s="40" t="s">
        <v>21</v>
      </c>
      <c r="B1318" s="21">
        <v>46039</v>
      </c>
      <c r="C1318" s="40" t="s">
        <v>274</v>
      </c>
      <c r="D1318" s="263"/>
      <c r="E1318" s="263"/>
      <c r="F1318" s="265"/>
      <c r="G1318" s="267"/>
      <c r="H1318" s="259"/>
      <c r="I1318" s="85"/>
      <c r="J1318" s="85"/>
      <c r="K1318" s="51">
        <v>0.27083333333333331</v>
      </c>
      <c r="L1318" s="51">
        <v>0.64583333333333337</v>
      </c>
      <c r="M1318" s="11">
        <f t="shared" si="20"/>
        <v>9.0000000000000018</v>
      </c>
      <c r="N1318" s="215"/>
      <c r="P1318" s="4"/>
      <c r="Q1318" s="4"/>
      <c r="R1318" s="4"/>
      <c r="S1318" s="4"/>
      <c r="T1318" s="4"/>
      <c r="U1318" s="4"/>
      <c r="V1318" s="4"/>
      <c r="W1318" s="4"/>
    </row>
    <row r="1319" spans="1:23" s="32" customFormat="1" hidden="1" x14ac:dyDescent="0.3">
      <c r="A1319" s="40" t="s">
        <v>21</v>
      </c>
      <c r="B1319" s="21">
        <v>46039</v>
      </c>
      <c r="C1319" s="40" t="s">
        <v>118</v>
      </c>
      <c r="D1319" s="260" t="s">
        <v>54</v>
      </c>
      <c r="E1319" s="260" t="s">
        <v>882</v>
      </c>
      <c r="F1319" s="260" t="s">
        <v>899</v>
      </c>
      <c r="G1319" s="266">
        <v>46038</v>
      </c>
      <c r="H1319" s="259">
        <v>46039</v>
      </c>
      <c r="I1319" s="266"/>
      <c r="J1319" s="36"/>
      <c r="K1319" s="51">
        <v>0.35416666666666669</v>
      </c>
      <c r="L1319" s="51">
        <v>0.72916666666666663</v>
      </c>
      <c r="M1319" s="11">
        <f t="shared" si="20"/>
        <v>8.9999999999999982</v>
      </c>
      <c r="N1319" s="233" t="s">
        <v>0</v>
      </c>
      <c r="P1319" s="4"/>
      <c r="Q1319" s="4"/>
      <c r="R1319" s="4"/>
      <c r="S1319" s="4"/>
      <c r="T1319" s="4"/>
      <c r="U1319" s="4"/>
      <c r="V1319" s="4"/>
      <c r="W1319" s="4"/>
    </row>
    <row r="1320" spans="1:23" s="32" customFormat="1" hidden="1" x14ac:dyDescent="0.3">
      <c r="A1320" s="40" t="s">
        <v>21</v>
      </c>
      <c r="B1320" s="21">
        <v>46039</v>
      </c>
      <c r="C1320" s="40" t="s">
        <v>34</v>
      </c>
      <c r="D1320" s="260"/>
      <c r="E1320" s="260"/>
      <c r="F1320" s="260"/>
      <c r="G1320" s="267"/>
      <c r="H1320" s="259"/>
      <c r="I1320" s="267"/>
      <c r="J1320" s="37"/>
      <c r="K1320" s="51">
        <v>0.35416666666666669</v>
      </c>
      <c r="L1320" s="51">
        <v>0.72916666666666663</v>
      </c>
      <c r="M1320" s="11">
        <f t="shared" si="20"/>
        <v>8.9999999999999982</v>
      </c>
      <c r="N1320" s="233"/>
      <c r="P1320" s="4"/>
      <c r="Q1320" s="4"/>
      <c r="R1320" s="4"/>
      <c r="S1320" s="4"/>
      <c r="T1320" s="4"/>
      <c r="U1320" s="4"/>
      <c r="V1320" s="4"/>
      <c r="W1320" s="4"/>
    </row>
    <row r="1321" spans="1:23" s="32" customFormat="1" hidden="1" x14ac:dyDescent="0.3">
      <c r="A1321" s="40" t="s">
        <v>21</v>
      </c>
      <c r="B1321" s="21">
        <v>46039</v>
      </c>
      <c r="C1321" s="40" t="s">
        <v>25</v>
      </c>
      <c r="D1321" s="10" t="s">
        <v>43</v>
      </c>
      <c r="E1321" s="10" t="s">
        <v>814</v>
      </c>
      <c r="F1321" s="10" t="s">
        <v>349</v>
      </c>
      <c r="G1321" s="41">
        <v>46039</v>
      </c>
      <c r="H1321" s="41">
        <v>46039</v>
      </c>
      <c r="I1321" s="41"/>
      <c r="J1321" s="41"/>
      <c r="K1321" s="45">
        <v>0.27083333333333331</v>
      </c>
      <c r="L1321" s="51">
        <v>0.64583333333333337</v>
      </c>
      <c r="M1321" s="11">
        <f t="shared" si="20"/>
        <v>9.0000000000000018</v>
      </c>
      <c r="N1321" s="63" t="s">
        <v>1</v>
      </c>
      <c r="P1321" s="4"/>
      <c r="Q1321" s="4"/>
      <c r="R1321" s="4"/>
      <c r="S1321" s="4"/>
      <c r="T1321" s="4"/>
      <c r="U1321" s="4"/>
      <c r="V1321" s="4"/>
      <c r="W1321" s="4"/>
    </row>
    <row r="1322" spans="1:23" s="32" customFormat="1" hidden="1" x14ac:dyDescent="0.3">
      <c r="A1322" s="40" t="s">
        <v>21</v>
      </c>
      <c r="B1322" s="21">
        <v>46039</v>
      </c>
      <c r="C1322" s="40" t="s">
        <v>907</v>
      </c>
      <c r="D1322" s="10" t="s">
        <v>8</v>
      </c>
      <c r="E1322" s="10" t="s">
        <v>908</v>
      </c>
      <c r="F1322" s="10" t="s">
        <v>593</v>
      </c>
      <c r="G1322" s="41">
        <v>46039</v>
      </c>
      <c r="H1322" s="41">
        <v>46039</v>
      </c>
      <c r="I1322" s="36"/>
      <c r="J1322" s="36"/>
      <c r="K1322" s="51">
        <v>0.35416666666666669</v>
      </c>
      <c r="L1322" s="51">
        <v>0.72916666666666663</v>
      </c>
      <c r="M1322" s="11">
        <f t="shared" si="20"/>
        <v>8.9999999999999982</v>
      </c>
      <c r="N1322" s="62" t="s">
        <v>0</v>
      </c>
      <c r="P1322" s="4"/>
      <c r="Q1322" s="4"/>
      <c r="R1322" s="4"/>
      <c r="S1322" s="4"/>
      <c r="T1322" s="4"/>
      <c r="U1322" s="4"/>
      <c r="V1322" s="4"/>
      <c r="W1322" s="4"/>
    </row>
    <row r="1323" spans="1:23" s="32" customFormat="1" hidden="1" x14ac:dyDescent="0.3">
      <c r="A1323" s="22" t="s">
        <v>19</v>
      </c>
      <c r="B1323" s="21">
        <v>46039</v>
      </c>
      <c r="C1323" s="22" t="s">
        <v>7</v>
      </c>
      <c r="D1323" s="13" t="s">
        <v>44</v>
      </c>
      <c r="E1323" s="13" t="s">
        <v>900</v>
      </c>
      <c r="F1323" s="13" t="s">
        <v>244</v>
      </c>
      <c r="G1323" s="41">
        <v>46039</v>
      </c>
      <c r="H1323" s="41">
        <v>46039</v>
      </c>
      <c r="I1323" s="36"/>
      <c r="J1323" s="36"/>
      <c r="K1323" s="45">
        <v>0.27083333333333331</v>
      </c>
      <c r="L1323" s="48">
        <v>0.4375</v>
      </c>
      <c r="M1323" s="11">
        <f t="shared" si="20"/>
        <v>4</v>
      </c>
      <c r="N1323" s="22" t="s">
        <v>0</v>
      </c>
      <c r="P1323" s="4"/>
      <c r="Q1323" s="4"/>
      <c r="R1323" s="4"/>
      <c r="S1323" s="4"/>
      <c r="T1323" s="4"/>
      <c r="U1323" s="4"/>
      <c r="V1323" s="4"/>
      <c r="W1323" s="4"/>
    </row>
    <row r="1324" spans="1:23" s="32" customFormat="1" hidden="1" x14ac:dyDescent="0.3">
      <c r="A1324" s="22" t="s">
        <v>19</v>
      </c>
      <c r="B1324" s="21">
        <v>46039</v>
      </c>
      <c r="C1324" s="22" t="s">
        <v>9</v>
      </c>
      <c r="D1324" s="13" t="s">
        <v>8</v>
      </c>
      <c r="E1324" s="13" t="s">
        <v>235</v>
      </c>
      <c r="F1324" s="14" t="s">
        <v>901</v>
      </c>
      <c r="G1324" s="36">
        <v>46038</v>
      </c>
      <c r="H1324" s="41">
        <v>46039</v>
      </c>
      <c r="I1324" s="21"/>
      <c r="J1324" s="21"/>
      <c r="K1324" s="45">
        <v>0.27083333333333331</v>
      </c>
      <c r="L1324" s="48">
        <v>0.4375</v>
      </c>
      <c r="M1324" s="11">
        <f t="shared" si="20"/>
        <v>4</v>
      </c>
      <c r="N1324" s="67" t="s">
        <v>1</v>
      </c>
      <c r="P1324" s="4"/>
      <c r="Q1324" s="4"/>
      <c r="R1324" s="4"/>
      <c r="S1324" s="4"/>
      <c r="T1324" s="4"/>
      <c r="U1324" s="4"/>
      <c r="V1324" s="4"/>
      <c r="W1324" s="4"/>
    </row>
    <row r="1325" spans="1:23" s="32" customFormat="1" hidden="1" x14ac:dyDescent="0.3">
      <c r="A1325" s="22" t="s">
        <v>19</v>
      </c>
      <c r="B1325" s="21">
        <v>46039</v>
      </c>
      <c r="C1325" s="22" t="s">
        <v>9</v>
      </c>
      <c r="D1325" s="13" t="s">
        <v>8</v>
      </c>
      <c r="E1325" s="13" t="s">
        <v>416</v>
      </c>
      <c r="F1325" s="14" t="s">
        <v>902</v>
      </c>
      <c r="G1325" s="41">
        <v>46039</v>
      </c>
      <c r="H1325" s="41">
        <v>46039</v>
      </c>
      <c r="I1325" s="17"/>
      <c r="J1325" s="17"/>
      <c r="K1325" s="48">
        <v>0.4375</v>
      </c>
      <c r="L1325" s="48" t="s">
        <v>903</v>
      </c>
      <c r="M1325" s="11" t="e">
        <f t="shared" si="20"/>
        <v>#VALUE!</v>
      </c>
      <c r="N1325" s="42" t="s">
        <v>0</v>
      </c>
      <c r="P1325" s="4"/>
      <c r="Q1325" s="4"/>
      <c r="R1325" s="4"/>
      <c r="S1325" s="4"/>
      <c r="T1325" s="4"/>
      <c r="U1325" s="4"/>
      <c r="V1325" s="4"/>
      <c r="W1325" s="4"/>
    </row>
    <row r="1326" spans="1:23" s="32" customFormat="1" hidden="1" x14ac:dyDescent="0.3">
      <c r="A1326" s="22" t="s">
        <v>19</v>
      </c>
      <c r="B1326" s="21">
        <v>46039</v>
      </c>
      <c r="C1326" s="22" t="s">
        <v>208</v>
      </c>
      <c r="D1326" s="216" t="s">
        <v>8</v>
      </c>
      <c r="E1326" s="216" t="s">
        <v>876</v>
      </c>
      <c r="F1326" s="216" t="s">
        <v>886</v>
      </c>
      <c r="G1326" s="266">
        <v>46037</v>
      </c>
      <c r="H1326" s="266">
        <v>46039</v>
      </c>
      <c r="I1326" s="17"/>
      <c r="J1326" s="17"/>
      <c r="K1326" s="45">
        <v>0.35416666666666669</v>
      </c>
      <c r="L1326" s="48">
        <v>0.72916666666666663</v>
      </c>
      <c r="M1326" s="11">
        <f t="shared" si="20"/>
        <v>8.9999999999999982</v>
      </c>
      <c r="N1326" s="227" t="s">
        <v>1</v>
      </c>
      <c r="P1326" s="4"/>
      <c r="Q1326" s="4"/>
      <c r="R1326" s="4"/>
      <c r="S1326" s="4"/>
      <c r="T1326" s="4"/>
      <c r="U1326" s="4"/>
      <c r="V1326" s="4"/>
      <c r="W1326" s="4"/>
    </row>
    <row r="1327" spans="1:23" s="32" customFormat="1" hidden="1" x14ac:dyDescent="0.3">
      <c r="A1327" s="22" t="s">
        <v>19</v>
      </c>
      <c r="B1327" s="21">
        <v>46039</v>
      </c>
      <c r="C1327" s="22" t="s">
        <v>904</v>
      </c>
      <c r="D1327" s="217"/>
      <c r="E1327" s="222"/>
      <c r="F1327" s="222"/>
      <c r="G1327" s="267"/>
      <c r="H1327" s="267"/>
      <c r="I1327" s="17"/>
      <c r="J1327" s="17"/>
      <c r="K1327" s="48">
        <v>0.4375</v>
      </c>
      <c r="L1327" s="48" t="s">
        <v>903</v>
      </c>
      <c r="M1327" s="11" t="e">
        <f t="shared" si="20"/>
        <v>#VALUE!</v>
      </c>
      <c r="N1327" s="228"/>
      <c r="P1327" s="4"/>
      <c r="Q1327" s="4"/>
      <c r="R1327" s="4"/>
      <c r="S1327" s="4"/>
      <c r="T1327" s="4"/>
      <c r="U1327" s="4"/>
      <c r="V1327" s="4"/>
      <c r="W1327" s="4"/>
    </row>
    <row r="1328" spans="1:23" s="32" customFormat="1" hidden="1" x14ac:dyDescent="0.3">
      <c r="A1328" s="22" t="s">
        <v>20</v>
      </c>
      <c r="B1328" s="21">
        <v>46039</v>
      </c>
      <c r="C1328" s="69" t="s">
        <v>444</v>
      </c>
      <c r="D1328" s="214" t="s">
        <v>44</v>
      </c>
      <c r="E1328" s="226" t="s">
        <v>906</v>
      </c>
      <c r="F1328" s="242" t="s">
        <v>125</v>
      </c>
      <c r="G1328" s="266">
        <v>46039</v>
      </c>
      <c r="H1328" s="266">
        <v>46043</v>
      </c>
      <c r="I1328" s="266"/>
      <c r="J1328" s="36"/>
      <c r="K1328" s="45">
        <v>0.35416666666666669</v>
      </c>
      <c r="L1328" s="48">
        <v>4.1666666666666664E-2</v>
      </c>
      <c r="M1328" s="11">
        <f t="shared" si="20"/>
        <v>16.5</v>
      </c>
      <c r="N1328" s="224" t="s">
        <v>0</v>
      </c>
      <c r="P1328" s="4"/>
      <c r="Q1328" s="4"/>
      <c r="R1328" s="4"/>
      <c r="S1328" s="4"/>
      <c r="T1328" s="4"/>
      <c r="U1328" s="4"/>
      <c r="V1328" s="4"/>
      <c r="W1328" s="4"/>
    </row>
    <row r="1329" spans="1:23" s="32" customFormat="1" hidden="1" x14ac:dyDescent="0.3">
      <c r="A1329" s="11" t="s">
        <v>20</v>
      </c>
      <c r="B1329" s="17">
        <v>46039</v>
      </c>
      <c r="C1329" s="76" t="s">
        <v>421</v>
      </c>
      <c r="D1329" s="226"/>
      <c r="E1329" s="226"/>
      <c r="F1329" s="242"/>
      <c r="G1329" s="268"/>
      <c r="H1329" s="268"/>
      <c r="I1329" s="268"/>
      <c r="J1329" s="15"/>
      <c r="K1329" s="47">
        <v>0.35416666666666669</v>
      </c>
      <c r="L1329" s="49">
        <v>4.1666666666666664E-2</v>
      </c>
      <c r="M1329" s="11">
        <f t="shared" si="20"/>
        <v>16.5</v>
      </c>
      <c r="N1329" s="231"/>
      <c r="P1329" s="4"/>
      <c r="Q1329" s="4"/>
      <c r="R1329" s="4"/>
      <c r="S1329" s="4"/>
      <c r="T1329" s="4"/>
      <c r="U1329" s="4"/>
      <c r="V1329" s="4"/>
      <c r="W1329" s="4"/>
    </row>
    <row r="1330" spans="1:23" s="32" customFormat="1" hidden="1" x14ac:dyDescent="0.3">
      <c r="A1330" s="22" t="s">
        <v>20</v>
      </c>
      <c r="B1330" s="21">
        <v>46039</v>
      </c>
      <c r="C1330" s="22" t="s">
        <v>12</v>
      </c>
      <c r="D1330" s="233" t="s">
        <v>44</v>
      </c>
      <c r="E1330" s="233" t="s">
        <v>861</v>
      </c>
      <c r="F1330" s="238" t="s">
        <v>905</v>
      </c>
      <c r="G1330" s="259">
        <v>46039</v>
      </c>
      <c r="H1330" s="259">
        <v>46043</v>
      </c>
      <c r="I1330" s="223"/>
      <c r="J1330" s="21"/>
      <c r="K1330" s="45">
        <v>0.27083333333333331</v>
      </c>
      <c r="L1330" s="48">
        <v>0.64583333333333337</v>
      </c>
      <c r="M1330" s="11">
        <f t="shared" si="20"/>
        <v>9.0000000000000018</v>
      </c>
      <c r="N1330" s="249" t="s">
        <v>0</v>
      </c>
      <c r="P1330" s="4"/>
      <c r="Q1330" s="4"/>
      <c r="R1330" s="4"/>
      <c r="S1330" s="4"/>
      <c r="T1330" s="4"/>
      <c r="U1330" s="4"/>
      <c r="V1330" s="4"/>
      <c r="W1330" s="4"/>
    </row>
    <row r="1331" spans="1:23" s="32" customFormat="1" hidden="1" x14ac:dyDescent="0.3">
      <c r="A1331" s="12" t="s">
        <v>20</v>
      </c>
      <c r="B1331" s="19">
        <v>46039</v>
      </c>
      <c r="C1331" s="86" t="s">
        <v>33</v>
      </c>
      <c r="D1331" s="215"/>
      <c r="E1331" s="215"/>
      <c r="F1331" s="248"/>
      <c r="G1331" s="267"/>
      <c r="H1331" s="267"/>
      <c r="I1331" s="220"/>
      <c r="J1331" s="23"/>
      <c r="K1331" s="50">
        <v>0.27083333333333331</v>
      </c>
      <c r="L1331" s="53">
        <v>0.64583333333333337</v>
      </c>
      <c r="M1331" s="11">
        <f t="shared" si="20"/>
        <v>9.0000000000000018</v>
      </c>
      <c r="N1331" s="225"/>
      <c r="P1331" s="4"/>
      <c r="Q1331" s="4"/>
      <c r="R1331" s="4"/>
      <c r="S1331" s="4"/>
      <c r="T1331" s="4"/>
      <c r="U1331" s="4"/>
      <c r="V1331" s="4"/>
      <c r="W1331" s="4"/>
    </row>
    <row r="1332" spans="1:23" s="32" customFormat="1" hidden="1" x14ac:dyDescent="0.3">
      <c r="A1332" s="22" t="s">
        <v>20</v>
      </c>
      <c r="B1332" s="21">
        <v>46039</v>
      </c>
      <c r="C1332" s="22" t="s">
        <v>28</v>
      </c>
      <c r="D1332" s="13" t="s">
        <v>65</v>
      </c>
      <c r="E1332" s="13" t="s">
        <v>890</v>
      </c>
      <c r="F1332" s="26" t="s">
        <v>891</v>
      </c>
      <c r="G1332" s="21">
        <v>46038</v>
      </c>
      <c r="H1332" s="21">
        <v>46039</v>
      </c>
      <c r="I1332" s="21"/>
      <c r="J1332" s="17"/>
      <c r="K1332" s="47">
        <v>0.27083333333333331</v>
      </c>
      <c r="L1332" s="48">
        <v>0.64583333333333337</v>
      </c>
      <c r="M1332" s="11">
        <f t="shared" si="20"/>
        <v>9.0000000000000018</v>
      </c>
      <c r="N1332" s="67" t="s">
        <v>1</v>
      </c>
      <c r="P1332" s="4"/>
      <c r="Q1332" s="4"/>
      <c r="R1332" s="4"/>
      <c r="S1332" s="4"/>
      <c r="T1332" s="4"/>
      <c r="U1332" s="4"/>
      <c r="V1332" s="4"/>
      <c r="W1332" s="4"/>
    </row>
    <row r="1333" spans="1:23" s="32" customFormat="1" hidden="1" x14ac:dyDescent="0.3">
      <c r="A1333" s="22" t="s">
        <v>20</v>
      </c>
      <c r="B1333" s="21">
        <v>46039</v>
      </c>
      <c r="C1333" s="22" t="s">
        <v>17</v>
      </c>
      <c r="D1333" s="216" t="s">
        <v>65</v>
      </c>
      <c r="E1333" s="216" t="s">
        <v>784</v>
      </c>
      <c r="F1333" s="243" t="s">
        <v>892</v>
      </c>
      <c r="G1333" s="219">
        <v>46031</v>
      </c>
      <c r="H1333" s="219">
        <v>46039</v>
      </c>
      <c r="I1333" s="219"/>
      <c r="J1333" s="17"/>
      <c r="K1333" s="47">
        <v>0.27083333333333331</v>
      </c>
      <c r="L1333" s="48">
        <v>0.52083333333333337</v>
      </c>
      <c r="M1333" s="11">
        <f t="shared" si="20"/>
        <v>6.0000000000000018</v>
      </c>
      <c r="N1333" s="231" t="s">
        <v>0</v>
      </c>
      <c r="P1333" s="4"/>
      <c r="Q1333" s="4"/>
      <c r="R1333" s="4"/>
      <c r="S1333" s="4"/>
      <c r="T1333" s="4"/>
      <c r="U1333" s="4"/>
      <c r="V1333" s="4"/>
      <c r="W1333" s="4"/>
    </row>
    <row r="1334" spans="1:23" s="32" customFormat="1" hidden="1" x14ac:dyDescent="0.3">
      <c r="A1334" s="22" t="s">
        <v>20</v>
      </c>
      <c r="B1334" s="21">
        <v>46039</v>
      </c>
      <c r="C1334" s="22" t="s">
        <v>31</v>
      </c>
      <c r="D1334" s="217"/>
      <c r="E1334" s="217"/>
      <c r="F1334" s="244"/>
      <c r="G1334" s="220"/>
      <c r="H1334" s="220"/>
      <c r="I1334" s="220"/>
      <c r="J1334" s="23"/>
      <c r="K1334" s="47">
        <v>0.54166666666666663</v>
      </c>
      <c r="L1334" s="48">
        <v>0.58333333333333337</v>
      </c>
      <c r="M1334" s="11">
        <f t="shared" si="20"/>
        <v>1.0000000000000018</v>
      </c>
      <c r="N1334" s="225"/>
      <c r="P1334" s="4"/>
      <c r="Q1334" s="4"/>
      <c r="R1334" s="4"/>
      <c r="S1334" s="4"/>
      <c r="T1334" s="4"/>
      <c r="U1334" s="4"/>
      <c r="V1334" s="4"/>
      <c r="W1334" s="4"/>
    </row>
    <row r="1335" spans="1:23" s="32" customFormat="1" hidden="1" x14ac:dyDescent="0.3">
      <c r="A1335" s="22" t="s">
        <v>20</v>
      </c>
      <c r="B1335" s="21">
        <v>46039</v>
      </c>
      <c r="C1335" s="22" t="s">
        <v>167</v>
      </c>
      <c r="D1335" s="216" t="s">
        <v>65</v>
      </c>
      <c r="E1335" s="216" t="s">
        <v>785</v>
      </c>
      <c r="F1335" s="243" t="s">
        <v>893</v>
      </c>
      <c r="G1335" s="219">
        <v>46031</v>
      </c>
      <c r="H1335" s="219">
        <v>46038</v>
      </c>
      <c r="I1335" s="219"/>
      <c r="J1335" s="17"/>
      <c r="K1335" s="47">
        <v>0.27083333333333331</v>
      </c>
      <c r="L1335" s="48">
        <v>0.72916666666666663</v>
      </c>
      <c r="M1335" s="11">
        <f t="shared" si="20"/>
        <v>11</v>
      </c>
      <c r="N1335" s="230" t="s">
        <v>1</v>
      </c>
      <c r="P1335" s="4"/>
      <c r="Q1335" s="4"/>
      <c r="R1335" s="4"/>
      <c r="S1335" s="4"/>
      <c r="T1335" s="4"/>
      <c r="U1335" s="4"/>
      <c r="V1335" s="4"/>
      <c r="W1335" s="4"/>
    </row>
    <row r="1336" spans="1:23" s="32" customFormat="1" hidden="1" x14ac:dyDescent="0.3">
      <c r="A1336" s="22" t="s">
        <v>20</v>
      </c>
      <c r="B1336" s="21">
        <v>46039</v>
      </c>
      <c r="C1336" s="22" t="s">
        <v>31</v>
      </c>
      <c r="D1336" s="217"/>
      <c r="E1336" s="217"/>
      <c r="F1336" s="244"/>
      <c r="G1336" s="220"/>
      <c r="H1336" s="220"/>
      <c r="I1336" s="220"/>
      <c r="J1336" s="23"/>
      <c r="K1336" s="47">
        <v>0.35416666666666669</v>
      </c>
      <c r="L1336" s="45">
        <v>0.4375</v>
      </c>
      <c r="M1336" s="11">
        <f t="shared" si="20"/>
        <v>1.9999999999999996</v>
      </c>
      <c r="N1336" s="228"/>
      <c r="P1336" s="4"/>
      <c r="Q1336" s="4"/>
      <c r="R1336" s="4"/>
      <c r="S1336" s="4"/>
      <c r="T1336" s="4"/>
      <c r="U1336" s="4"/>
      <c r="V1336" s="4"/>
      <c r="W1336" s="4"/>
    </row>
    <row r="1337" spans="1:23" s="32" customFormat="1" hidden="1" x14ac:dyDescent="0.3">
      <c r="A1337" s="22" t="s">
        <v>20</v>
      </c>
      <c r="B1337" s="21">
        <v>46039</v>
      </c>
      <c r="C1337" s="22" t="s">
        <v>16</v>
      </c>
      <c r="D1337" s="216" t="s">
        <v>65</v>
      </c>
      <c r="E1337" s="214" t="s">
        <v>875</v>
      </c>
      <c r="F1337" s="243" t="s">
        <v>894</v>
      </c>
      <c r="G1337" s="219">
        <v>46037</v>
      </c>
      <c r="H1337" s="219">
        <v>46038</v>
      </c>
      <c r="I1337" s="219"/>
      <c r="J1337" s="17"/>
      <c r="K1337" s="47">
        <v>0.27083333333333331</v>
      </c>
      <c r="L1337" s="48">
        <v>0.72916666666666663</v>
      </c>
      <c r="M1337" s="11">
        <f t="shared" si="20"/>
        <v>11</v>
      </c>
      <c r="N1337" s="224" t="s">
        <v>0</v>
      </c>
      <c r="P1337" s="4"/>
      <c r="Q1337" s="4"/>
      <c r="R1337" s="4"/>
      <c r="S1337" s="4"/>
      <c r="T1337" s="4"/>
      <c r="U1337" s="4"/>
      <c r="V1337" s="4"/>
      <c r="W1337" s="4"/>
    </row>
    <row r="1338" spans="1:23" s="32" customFormat="1" hidden="1" x14ac:dyDescent="0.3">
      <c r="A1338" s="22" t="s">
        <v>20</v>
      </c>
      <c r="B1338" s="21">
        <v>46039</v>
      </c>
      <c r="C1338" s="22" t="s">
        <v>31</v>
      </c>
      <c r="D1338" s="217"/>
      <c r="E1338" s="215"/>
      <c r="F1338" s="244"/>
      <c r="G1338" s="220"/>
      <c r="H1338" s="220"/>
      <c r="I1338" s="220"/>
      <c r="J1338" s="23"/>
      <c r="K1338" s="47">
        <v>0.4375</v>
      </c>
      <c r="L1338" s="48">
        <v>0.5</v>
      </c>
      <c r="M1338" s="11">
        <f t="shared" si="20"/>
        <v>1.5</v>
      </c>
      <c r="N1338" s="225"/>
      <c r="P1338" s="4"/>
      <c r="Q1338" s="4"/>
      <c r="R1338" s="4"/>
      <c r="S1338" s="4"/>
      <c r="T1338" s="4"/>
      <c r="U1338" s="4"/>
      <c r="V1338" s="4"/>
      <c r="W1338" s="4"/>
    </row>
    <row r="1339" spans="1:23" s="32" customFormat="1" hidden="1" x14ac:dyDescent="0.3">
      <c r="A1339" s="22" t="s">
        <v>20</v>
      </c>
      <c r="B1339" s="21">
        <v>46039</v>
      </c>
      <c r="C1339" s="69" t="s">
        <v>47</v>
      </c>
      <c r="D1339" s="221" t="s">
        <v>65</v>
      </c>
      <c r="E1339" s="233" t="s">
        <v>895</v>
      </c>
      <c r="F1339" s="245" t="s">
        <v>115</v>
      </c>
      <c r="G1339" s="219">
        <v>46037</v>
      </c>
      <c r="H1339" s="219">
        <v>46038</v>
      </c>
      <c r="I1339" s="219"/>
      <c r="J1339" s="17"/>
      <c r="K1339" s="47">
        <v>0.27083333333333331</v>
      </c>
      <c r="L1339" s="48">
        <v>0.72916666666666663</v>
      </c>
      <c r="M1339" s="11">
        <f t="shared" si="20"/>
        <v>11</v>
      </c>
      <c r="N1339" s="224" t="s">
        <v>1</v>
      </c>
      <c r="P1339" s="4"/>
      <c r="Q1339" s="4"/>
      <c r="R1339" s="4"/>
      <c r="S1339" s="4"/>
      <c r="T1339" s="4"/>
      <c r="U1339" s="4"/>
      <c r="V1339" s="4"/>
      <c r="W1339" s="4"/>
    </row>
    <row r="1340" spans="1:23" s="32" customFormat="1" hidden="1" x14ac:dyDescent="0.3">
      <c r="A1340" s="22" t="s">
        <v>20</v>
      </c>
      <c r="B1340" s="21">
        <v>46039</v>
      </c>
      <c r="C1340" s="69" t="s">
        <v>31</v>
      </c>
      <c r="D1340" s="221"/>
      <c r="E1340" s="233"/>
      <c r="F1340" s="245"/>
      <c r="G1340" s="220"/>
      <c r="H1340" s="220"/>
      <c r="I1340" s="220"/>
      <c r="J1340" s="19"/>
      <c r="K1340" s="45">
        <v>0.58333333333333337</v>
      </c>
      <c r="L1340" s="48">
        <v>0.66666666666666663</v>
      </c>
      <c r="M1340" s="11">
        <f t="shared" si="20"/>
        <v>1.9999999999999982</v>
      </c>
      <c r="N1340" s="225"/>
      <c r="P1340" s="4"/>
      <c r="Q1340" s="4"/>
      <c r="R1340" s="4"/>
      <c r="S1340" s="4"/>
      <c r="T1340" s="4"/>
      <c r="U1340" s="4"/>
      <c r="V1340" s="4"/>
      <c r="W1340" s="4"/>
    </row>
    <row r="1341" spans="1:23" s="32" customFormat="1" hidden="1" x14ac:dyDescent="0.3">
      <c r="A1341" s="22" t="s">
        <v>20</v>
      </c>
      <c r="B1341" s="21">
        <v>46039</v>
      </c>
      <c r="C1341" s="69" t="s">
        <v>15</v>
      </c>
      <c r="D1341" s="24" t="s">
        <v>65</v>
      </c>
      <c r="E1341" s="22" t="s">
        <v>854</v>
      </c>
      <c r="F1341" s="25" t="s">
        <v>380</v>
      </c>
      <c r="G1341" s="21">
        <v>46036</v>
      </c>
      <c r="H1341" s="21">
        <v>46038</v>
      </c>
      <c r="I1341" s="21"/>
      <c r="J1341" s="21"/>
      <c r="K1341" s="45">
        <v>0.27083333333333331</v>
      </c>
      <c r="L1341" s="48">
        <v>0.72916666666666663</v>
      </c>
      <c r="M1341" s="11">
        <f t="shared" si="20"/>
        <v>11</v>
      </c>
      <c r="N1341" s="67" t="s">
        <v>1</v>
      </c>
      <c r="P1341" s="4"/>
      <c r="Q1341" s="4"/>
      <c r="R1341" s="4"/>
      <c r="S1341" s="4"/>
      <c r="T1341" s="4"/>
      <c r="U1341" s="4"/>
      <c r="V1341" s="4"/>
      <c r="W1341" s="4"/>
    </row>
    <row r="1342" spans="1:23" s="32" customFormat="1" ht="15.6" hidden="1" x14ac:dyDescent="0.3">
      <c r="A1342" s="40" t="s">
        <v>21</v>
      </c>
      <c r="B1342" s="21">
        <v>46041</v>
      </c>
      <c r="C1342" s="40" t="s">
        <v>26</v>
      </c>
      <c r="D1342" s="40" t="s">
        <v>24</v>
      </c>
      <c r="E1342" s="40" t="s">
        <v>827</v>
      </c>
      <c r="F1342" s="84" t="s">
        <v>909</v>
      </c>
      <c r="G1342" s="41">
        <v>46035</v>
      </c>
      <c r="H1342" s="41">
        <v>46042</v>
      </c>
      <c r="I1342" s="85"/>
      <c r="J1342" s="85"/>
      <c r="K1342" s="51">
        <v>0.27083333333333331</v>
      </c>
      <c r="L1342" s="51">
        <v>0.64583333333333337</v>
      </c>
      <c r="M1342" s="11">
        <f t="shared" si="20"/>
        <v>9.0000000000000018</v>
      </c>
      <c r="N1342" s="22" t="s">
        <v>1</v>
      </c>
      <c r="P1342" s="4"/>
      <c r="Q1342" s="4"/>
      <c r="R1342" s="4"/>
      <c r="S1342" s="4"/>
      <c r="T1342" s="4"/>
      <c r="U1342" s="4"/>
      <c r="V1342" s="4"/>
      <c r="W1342" s="4"/>
    </row>
    <row r="1343" spans="1:23" s="32" customFormat="1" ht="15.6" hidden="1" x14ac:dyDescent="0.3">
      <c r="A1343" s="40" t="s">
        <v>21</v>
      </c>
      <c r="B1343" s="21">
        <v>46041</v>
      </c>
      <c r="C1343" s="40" t="s">
        <v>50</v>
      </c>
      <c r="D1343" s="40" t="s">
        <v>24</v>
      </c>
      <c r="E1343" s="40" t="s">
        <v>829</v>
      </c>
      <c r="F1343" s="84" t="s">
        <v>909</v>
      </c>
      <c r="G1343" s="41">
        <v>46035</v>
      </c>
      <c r="H1343" s="41">
        <v>46042</v>
      </c>
      <c r="I1343" s="85"/>
      <c r="J1343" s="85"/>
      <c r="K1343" s="51">
        <v>0.27083333333333331</v>
      </c>
      <c r="L1343" s="51">
        <v>0.64583333333333337</v>
      </c>
      <c r="M1343" s="11">
        <f t="shared" si="20"/>
        <v>9.0000000000000018</v>
      </c>
      <c r="N1343" s="22" t="s">
        <v>1</v>
      </c>
      <c r="P1343" s="4"/>
      <c r="Q1343" s="4"/>
      <c r="R1343" s="4"/>
      <c r="S1343" s="4"/>
      <c r="T1343" s="4"/>
      <c r="U1343" s="4"/>
      <c r="V1343" s="4"/>
      <c r="W1343" s="4"/>
    </row>
    <row r="1344" spans="1:23" s="32" customFormat="1" hidden="1" x14ac:dyDescent="0.3">
      <c r="A1344" s="40" t="s">
        <v>21</v>
      </c>
      <c r="B1344" s="21">
        <v>46041</v>
      </c>
      <c r="C1344" s="40" t="s">
        <v>830</v>
      </c>
      <c r="D1344" s="40" t="s">
        <v>24</v>
      </c>
      <c r="E1344" s="40" t="s">
        <v>916</v>
      </c>
      <c r="F1344" s="84" t="s">
        <v>917</v>
      </c>
      <c r="G1344" s="41">
        <v>46041</v>
      </c>
      <c r="H1344" s="41">
        <v>46041</v>
      </c>
      <c r="I1344" s="41">
        <v>46041</v>
      </c>
      <c r="J1344" s="41"/>
      <c r="K1344" s="51">
        <v>0.35416666666666669</v>
      </c>
      <c r="L1344" s="51">
        <v>0.72916666666666663</v>
      </c>
      <c r="M1344" s="11">
        <f t="shared" si="20"/>
        <v>8.9999999999999982</v>
      </c>
      <c r="N1344" s="22" t="s">
        <v>0</v>
      </c>
      <c r="P1344" s="4"/>
      <c r="Q1344" s="4"/>
      <c r="R1344" s="4"/>
      <c r="S1344" s="4"/>
      <c r="T1344" s="4"/>
      <c r="U1344" s="4"/>
      <c r="V1344" s="4"/>
      <c r="W1344" s="4"/>
    </row>
    <row r="1345" spans="1:23" s="32" customFormat="1" ht="15.6" hidden="1" x14ac:dyDescent="0.3">
      <c r="A1345" s="40" t="s">
        <v>21</v>
      </c>
      <c r="B1345" s="21">
        <v>46041</v>
      </c>
      <c r="C1345" s="40" t="s">
        <v>50</v>
      </c>
      <c r="D1345" s="260" t="s">
        <v>8</v>
      </c>
      <c r="E1345" s="260" t="s">
        <v>908</v>
      </c>
      <c r="F1345" s="261" t="s">
        <v>910</v>
      </c>
      <c r="G1345" s="259">
        <v>46041</v>
      </c>
      <c r="H1345" s="259">
        <v>46041</v>
      </c>
      <c r="I1345" s="85"/>
      <c r="J1345" s="85"/>
      <c r="K1345" s="51">
        <v>0.35416666666666669</v>
      </c>
      <c r="L1345" s="51">
        <v>0.54166666666666663</v>
      </c>
      <c r="M1345" s="11">
        <f t="shared" si="20"/>
        <v>4.4999999999999982</v>
      </c>
      <c r="N1345" s="233" t="s">
        <v>1</v>
      </c>
      <c r="P1345" s="4"/>
      <c r="Q1345" s="4"/>
      <c r="R1345" s="4"/>
      <c r="S1345" s="4"/>
      <c r="T1345" s="4"/>
      <c r="U1345" s="4"/>
      <c r="V1345" s="4"/>
      <c r="W1345" s="4"/>
    </row>
    <row r="1346" spans="1:23" s="32" customFormat="1" ht="15.6" hidden="1" x14ac:dyDescent="0.3">
      <c r="A1346" s="40" t="s">
        <v>21</v>
      </c>
      <c r="B1346" s="21">
        <v>46041</v>
      </c>
      <c r="C1346" s="40" t="s">
        <v>18</v>
      </c>
      <c r="D1346" s="260"/>
      <c r="E1346" s="260"/>
      <c r="F1346" s="261"/>
      <c r="G1346" s="259"/>
      <c r="H1346" s="259"/>
      <c r="I1346" s="85"/>
      <c r="J1346" s="85"/>
      <c r="K1346" s="51">
        <v>0.35416666666666669</v>
      </c>
      <c r="L1346" s="51">
        <v>0.54166666666666663</v>
      </c>
      <c r="M1346" s="11">
        <f t="shared" ref="M1346:M1409" si="21">MOD(L1346-K1346,1)*24</f>
        <v>4.4999999999999982</v>
      </c>
      <c r="N1346" s="233"/>
      <c r="P1346" s="4"/>
      <c r="Q1346" s="4"/>
      <c r="R1346" s="4"/>
      <c r="S1346" s="4"/>
      <c r="T1346" s="4"/>
      <c r="U1346" s="4"/>
      <c r="V1346" s="4"/>
      <c r="W1346" s="4"/>
    </row>
    <row r="1347" spans="1:23" s="32" customFormat="1" hidden="1" x14ac:dyDescent="0.3">
      <c r="A1347" s="40" t="s">
        <v>21</v>
      </c>
      <c r="B1347" s="21">
        <v>46041</v>
      </c>
      <c r="C1347" s="40" t="s">
        <v>55</v>
      </c>
      <c r="D1347" s="40" t="s">
        <v>43</v>
      </c>
      <c r="E1347" s="40" t="s">
        <v>865</v>
      </c>
      <c r="F1347" s="84" t="s">
        <v>884</v>
      </c>
      <c r="G1347" s="41">
        <v>46038</v>
      </c>
      <c r="H1347" s="41">
        <v>46041</v>
      </c>
      <c r="I1347" s="41">
        <v>46041</v>
      </c>
      <c r="J1347" s="41"/>
      <c r="K1347" s="51">
        <v>0.27083333333333331</v>
      </c>
      <c r="L1347" s="51">
        <v>0.54166666666666663</v>
      </c>
      <c r="M1347" s="11">
        <f t="shared" si="21"/>
        <v>6.5</v>
      </c>
      <c r="N1347" s="42" t="s">
        <v>0</v>
      </c>
      <c r="P1347" s="4"/>
      <c r="Q1347" s="4"/>
      <c r="R1347" s="4"/>
      <c r="S1347" s="4"/>
      <c r="T1347" s="4"/>
      <c r="U1347" s="4"/>
      <c r="V1347" s="4"/>
      <c r="W1347" s="4"/>
    </row>
    <row r="1348" spans="1:23" s="32" customFormat="1" hidden="1" x14ac:dyDescent="0.3">
      <c r="A1348" s="40" t="s">
        <v>21</v>
      </c>
      <c r="B1348" s="21">
        <v>46041</v>
      </c>
      <c r="C1348" s="40" t="s">
        <v>771</v>
      </c>
      <c r="D1348" s="262" t="s">
        <v>43</v>
      </c>
      <c r="E1348" s="260" t="s">
        <v>911</v>
      </c>
      <c r="F1348" s="264" t="s">
        <v>912</v>
      </c>
      <c r="G1348" s="259">
        <v>46041</v>
      </c>
      <c r="H1348" s="259">
        <v>46041</v>
      </c>
      <c r="I1348" s="266"/>
      <c r="J1348" s="36"/>
      <c r="K1348" s="51">
        <v>0.27083333333333331</v>
      </c>
      <c r="L1348" s="51">
        <v>0.64583333333333337</v>
      </c>
      <c r="M1348" s="11">
        <f t="shared" si="21"/>
        <v>9.0000000000000018</v>
      </c>
      <c r="N1348" s="246" t="s">
        <v>30</v>
      </c>
      <c r="P1348" s="4"/>
      <c r="Q1348" s="4"/>
      <c r="R1348" s="4"/>
      <c r="S1348" s="4"/>
      <c r="T1348" s="4"/>
      <c r="U1348" s="4"/>
      <c r="V1348" s="4"/>
      <c r="W1348" s="4"/>
    </row>
    <row r="1349" spans="1:23" s="32" customFormat="1" hidden="1" x14ac:dyDescent="0.3">
      <c r="A1349" s="40" t="s">
        <v>21</v>
      </c>
      <c r="B1349" s="21">
        <v>46041</v>
      </c>
      <c r="C1349" s="40" t="s">
        <v>320</v>
      </c>
      <c r="D1349" s="263"/>
      <c r="E1349" s="260"/>
      <c r="F1349" s="265"/>
      <c r="G1349" s="259"/>
      <c r="H1349" s="259"/>
      <c r="I1349" s="267"/>
      <c r="J1349" s="37"/>
      <c r="K1349" s="51">
        <v>0.27083333333333331</v>
      </c>
      <c r="L1349" s="51">
        <v>0.64583333333333337</v>
      </c>
      <c r="M1349" s="11">
        <f t="shared" si="21"/>
        <v>9.0000000000000018</v>
      </c>
      <c r="N1349" s="247"/>
      <c r="P1349" s="4"/>
      <c r="Q1349" s="4"/>
      <c r="R1349" s="4"/>
      <c r="S1349" s="4"/>
      <c r="T1349" s="4"/>
      <c r="U1349" s="4"/>
      <c r="V1349" s="4"/>
      <c r="W1349" s="4"/>
    </row>
    <row r="1350" spans="1:23" s="32" customFormat="1" ht="15.6" hidden="1" x14ac:dyDescent="0.3">
      <c r="A1350" s="40" t="s">
        <v>21</v>
      </c>
      <c r="B1350" s="21">
        <v>46041</v>
      </c>
      <c r="C1350" s="40" t="s">
        <v>56</v>
      </c>
      <c r="D1350" s="10" t="s">
        <v>8</v>
      </c>
      <c r="E1350" s="10" t="s">
        <v>908</v>
      </c>
      <c r="F1350" s="38" t="s">
        <v>913</v>
      </c>
      <c r="G1350" s="36">
        <v>46041</v>
      </c>
      <c r="H1350" s="36">
        <v>46041</v>
      </c>
      <c r="I1350" s="85"/>
      <c r="J1350" s="85"/>
      <c r="K1350" s="51">
        <v>0.27083333333333331</v>
      </c>
      <c r="L1350" s="51">
        <v>0.64583333333333337</v>
      </c>
      <c r="M1350" s="11">
        <f t="shared" si="21"/>
        <v>9.0000000000000018</v>
      </c>
      <c r="N1350" s="11" t="s">
        <v>1</v>
      </c>
      <c r="P1350" s="4"/>
      <c r="Q1350" s="4"/>
      <c r="R1350" s="4"/>
      <c r="S1350" s="4"/>
      <c r="T1350" s="4"/>
      <c r="U1350" s="4"/>
      <c r="V1350" s="4"/>
      <c r="W1350" s="4"/>
    </row>
    <row r="1351" spans="1:23" s="32" customFormat="1" hidden="1" x14ac:dyDescent="0.3">
      <c r="A1351" s="40" t="s">
        <v>21</v>
      </c>
      <c r="B1351" s="21">
        <v>46041</v>
      </c>
      <c r="C1351" s="40" t="s">
        <v>118</v>
      </c>
      <c r="D1351" s="260" t="s">
        <v>54</v>
      </c>
      <c r="E1351" s="260" t="s">
        <v>688</v>
      </c>
      <c r="F1351" s="260" t="s">
        <v>914</v>
      </c>
      <c r="G1351" s="259">
        <v>46041</v>
      </c>
      <c r="H1351" s="259">
        <v>46041</v>
      </c>
      <c r="I1351" s="266"/>
      <c r="J1351" s="36"/>
      <c r="K1351" s="51">
        <v>0.35416666666666669</v>
      </c>
      <c r="L1351" s="51">
        <v>0.54166666666666663</v>
      </c>
      <c r="M1351" s="11">
        <f t="shared" si="21"/>
        <v>4.4999999999999982</v>
      </c>
      <c r="N1351" s="233" t="s">
        <v>1</v>
      </c>
      <c r="P1351" s="4"/>
      <c r="Q1351" s="4"/>
      <c r="R1351" s="4"/>
      <c r="S1351" s="4"/>
      <c r="T1351" s="4"/>
      <c r="U1351" s="4"/>
      <c r="V1351" s="4"/>
      <c r="W1351" s="4"/>
    </row>
    <row r="1352" spans="1:23" s="32" customFormat="1" hidden="1" x14ac:dyDescent="0.3">
      <c r="A1352" s="40" t="s">
        <v>21</v>
      </c>
      <c r="B1352" s="21">
        <v>46041</v>
      </c>
      <c r="C1352" s="40" t="s">
        <v>34</v>
      </c>
      <c r="D1352" s="260"/>
      <c r="E1352" s="260"/>
      <c r="F1352" s="260"/>
      <c r="G1352" s="259"/>
      <c r="H1352" s="259"/>
      <c r="I1352" s="267"/>
      <c r="J1352" s="37"/>
      <c r="K1352" s="51">
        <v>0.35416666666666669</v>
      </c>
      <c r="L1352" s="51">
        <v>0.54166666666666663</v>
      </c>
      <c r="M1352" s="11">
        <f t="shared" si="21"/>
        <v>4.4999999999999982</v>
      </c>
      <c r="N1352" s="233"/>
      <c r="P1352" s="4"/>
      <c r="Q1352" s="4"/>
      <c r="R1352" s="4"/>
      <c r="S1352" s="4"/>
      <c r="T1352" s="4"/>
      <c r="U1352" s="4"/>
      <c r="V1352" s="4"/>
      <c r="W1352" s="4"/>
    </row>
    <row r="1353" spans="1:23" s="32" customFormat="1" hidden="1" x14ac:dyDescent="0.3">
      <c r="A1353" s="40" t="s">
        <v>21</v>
      </c>
      <c r="B1353" s="21">
        <v>46041</v>
      </c>
      <c r="C1353" s="40" t="s">
        <v>25</v>
      </c>
      <c r="D1353" s="10" t="s">
        <v>43</v>
      </c>
      <c r="E1353" s="10" t="s">
        <v>847</v>
      </c>
      <c r="F1353" s="10" t="s">
        <v>349</v>
      </c>
      <c r="G1353" s="41">
        <v>46039</v>
      </c>
      <c r="H1353" s="41">
        <v>46041</v>
      </c>
      <c r="I1353" s="41"/>
      <c r="J1353" s="41"/>
      <c r="K1353" s="45">
        <v>0.27083333333333331</v>
      </c>
      <c r="L1353" s="51">
        <v>0.64583333333333337</v>
      </c>
      <c r="M1353" s="11">
        <f t="shared" si="21"/>
        <v>9.0000000000000018</v>
      </c>
      <c r="N1353" s="87" t="s">
        <v>30</v>
      </c>
      <c r="P1353" s="4"/>
      <c r="Q1353" s="4"/>
      <c r="R1353" s="4"/>
      <c r="S1353" s="4"/>
      <c r="T1353" s="4"/>
      <c r="U1353" s="4"/>
      <c r="V1353" s="4"/>
      <c r="W1353" s="4"/>
    </row>
    <row r="1354" spans="1:23" s="32" customFormat="1" hidden="1" x14ac:dyDescent="0.3">
      <c r="A1354" s="40" t="s">
        <v>21</v>
      </c>
      <c r="B1354" s="21">
        <v>46041</v>
      </c>
      <c r="C1354" s="40" t="s">
        <v>771</v>
      </c>
      <c r="D1354" s="262" t="s">
        <v>27</v>
      </c>
      <c r="E1354" s="262" t="s">
        <v>922</v>
      </c>
      <c r="F1354" s="262" t="s">
        <v>923</v>
      </c>
      <c r="G1354" s="266">
        <v>46041</v>
      </c>
      <c r="H1354" s="266">
        <v>46041</v>
      </c>
      <c r="I1354" s="266">
        <v>46041</v>
      </c>
      <c r="J1354" s="36"/>
      <c r="K1354" s="45">
        <v>0.5</v>
      </c>
      <c r="L1354" s="51">
        <v>0.64583333333333337</v>
      </c>
      <c r="M1354" s="11">
        <f t="shared" si="21"/>
        <v>3.5000000000000009</v>
      </c>
      <c r="N1354" s="269" t="s">
        <v>0</v>
      </c>
      <c r="P1354" s="4"/>
      <c r="Q1354" s="4"/>
      <c r="R1354" s="4"/>
      <c r="S1354" s="4"/>
      <c r="T1354" s="4"/>
      <c r="U1354" s="4"/>
      <c r="V1354" s="4"/>
      <c r="W1354" s="4"/>
    </row>
    <row r="1355" spans="1:23" s="32" customFormat="1" hidden="1" x14ac:dyDescent="0.3">
      <c r="A1355" s="40" t="s">
        <v>21</v>
      </c>
      <c r="B1355" s="21">
        <v>46041</v>
      </c>
      <c r="C1355" s="40" t="s">
        <v>320</v>
      </c>
      <c r="D1355" s="272"/>
      <c r="E1355" s="272"/>
      <c r="F1355" s="272"/>
      <c r="G1355" s="268"/>
      <c r="H1355" s="268"/>
      <c r="I1355" s="268"/>
      <c r="J1355" s="15"/>
      <c r="K1355" s="51">
        <v>0.64583333333333337</v>
      </c>
      <c r="L1355" s="51">
        <v>0.64583333333333337</v>
      </c>
      <c r="M1355" s="11">
        <f t="shared" si="21"/>
        <v>0</v>
      </c>
      <c r="N1355" s="270"/>
      <c r="P1355" s="4"/>
      <c r="Q1355" s="4"/>
      <c r="R1355" s="4"/>
      <c r="S1355" s="4"/>
      <c r="T1355" s="4"/>
      <c r="U1355" s="4"/>
      <c r="V1355" s="4"/>
      <c r="W1355" s="4"/>
    </row>
    <row r="1356" spans="1:23" s="32" customFormat="1" hidden="1" x14ac:dyDescent="0.3">
      <c r="A1356" s="40" t="s">
        <v>21</v>
      </c>
      <c r="B1356" s="21">
        <v>46041</v>
      </c>
      <c r="C1356" s="40" t="s">
        <v>25</v>
      </c>
      <c r="D1356" s="263"/>
      <c r="E1356" s="263"/>
      <c r="F1356" s="263"/>
      <c r="G1356" s="267"/>
      <c r="H1356" s="267"/>
      <c r="I1356" s="267"/>
      <c r="J1356" s="37"/>
      <c r="K1356" s="51">
        <v>0.64583333333333337</v>
      </c>
      <c r="L1356" s="51">
        <v>0.64583333333333337</v>
      </c>
      <c r="M1356" s="11">
        <f t="shared" si="21"/>
        <v>0</v>
      </c>
      <c r="N1356" s="271"/>
      <c r="P1356" s="4"/>
      <c r="Q1356" s="4"/>
      <c r="R1356" s="4"/>
      <c r="S1356" s="4"/>
      <c r="T1356" s="4"/>
      <c r="U1356" s="4"/>
      <c r="V1356" s="4"/>
      <c r="W1356" s="4"/>
    </row>
    <row r="1357" spans="1:23" s="32" customFormat="1" hidden="1" x14ac:dyDescent="0.3">
      <c r="A1357" s="22" t="s">
        <v>19</v>
      </c>
      <c r="B1357" s="21">
        <v>46041</v>
      </c>
      <c r="C1357" s="22" t="s">
        <v>7</v>
      </c>
      <c r="D1357" s="13" t="s">
        <v>29</v>
      </c>
      <c r="E1357" s="13" t="s">
        <v>921</v>
      </c>
      <c r="F1357" s="13" t="s">
        <v>915</v>
      </c>
      <c r="G1357" s="41">
        <v>46041</v>
      </c>
      <c r="H1357" s="41">
        <v>46041</v>
      </c>
      <c r="I1357" s="41">
        <v>46041</v>
      </c>
      <c r="J1357" s="41"/>
      <c r="K1357" s="45">
        <v>0.27083333333333331</v>
      </c>
      <c r="L1357" s="48">
        <v>0.4375</v>
      </c>
      <c r="M1357" s="11">
        <f t="shared" si="21"/>
        <v>4</v>
      </c>
      <c r="N1357" s="22" t="s">
        <v>0</v>
      </c>
      <c r="P1357" s="4"/>
      <c r="Q1357" s="4"/>
      <c r="R1357" s="4"/>
      <c r="S1357" s="4"/>
      <c r="T1357" s="4"/>
      <c r="U1357" s="4"/>
      <c r="V1357" s="4"/>
      <c r="W1357" s="4"/>
    </row>
    <row r="1358" spans="1:23" s="32" customFormat="1" hidden="1" x14ac:dyDescent="0.3">
      <c r="A1358" s="22" t="s">
        <v>19</v>
      </c>
      <c r="B1358" s="21">
        <v>46041</v>
      </c>
      <c r="C1358" s="22" t="s">
        <v>208</v>
      </c>
      <c r="D1358" s="216" t="s">
        <v>8</v>
      </c>
      <c r="E1358" s="216" t="s">
        <v>876</v>
      </c>
      <c r="F1358" s="216" t="s">
        <v>886</v>
      </c>
      <c r="G1358" s="266">
        <v>46037</v>
      </c>
      <c r="H1358" s="266">
        <v>46039</v>
      </c>
      <c r="I1358" s="17"/>
      <c r="J1358" s="17"/>
      <c r="K1358" s="45">
        <v>0.27083333333333331</v>
      </c>
      <c r="L1358" s="48">
        <v>0.72916666666666663</v>
      </c>
      <c r="M1358" s="11">
        <f t="shared" si="21"/>
        <v>11</v>
      </c>
      <c r="N1358" s="227" t="s">
        <v>1</v>
      </c>
      <c r="P1358" s="4"/>
      <c r="Q1358" s="4"/>
      <c r="R1358" s="4"/>
      <c r="S1358" s="4"/>
      <c r="T1358" s="4"/>
      <c r="U1358" s="4"/>
      <c r="V1358" s="4"/>
      <c r="W1358" s="4"/>
    </row>
    <row r="1359" spans="1:23" s="32" customFormat="1" hidden="1" x14ac:dyDescent="0.3">
      <c r="A1359" s="22" t="s">
        <v>19</v>
      </c>
      <c r="B1359" s="21">
        <v>46041</v>
      </c>
      <c r="C1359" s="22" t="s">
        <v>9</v>
      </c>
      <c r="D1359" s="217"/>
      <c r="E1359" s="222"/>
      <c r="F1359" s="222"/>
      <c r="G1359" s="267"/>
      <c r="H1359" s="267"/>
      <c r="I1359" s="17"/>
      <c r="J1359" s="17"/>
      <c r="K1359" s="48">
        <v>0.35416666666666669</v>
      </c>
      <c r="L1359" s="48">
        <v>0.64583333333333337</v>
      </c>
      <c r="M1359" s="11">
        <f t="shared" si="21"/>
        <v>7</v>
      </c>
      <c r="N1359" s="228"/>
      <c r="P1359" s="4"/>
      <c r="Q1359" s="4"/>
      <c r="R1359" s="4"/>
      <c r="S1359" s="4"/>
      <c r="T1359" s="4"/>
      <c r="U1359" s="4"/>
      <c r="V1359" s="4"/>
      <c r="W1359" s="4"/>
    </row>
    <row r="1360" spans="1:23" s="32" customFormat="1" hidden="1" x14ac:dyDescent="0.3">
      <c r="A1360" s="22" t="s">
        <v>20</v>
      </c>
      <c r="B1360" s="21">
        <v>46041</v>
      </c>
      <c r="C1360" s="69" t="s">
        <v>444</v>
      </c>
      <c r="D1360" s="214" t="s">
        <v>44</v>
      </c>
      <c r="E1360" s="226" t="s">
        <v>906</v>
      </c>
      <c r="F1360" s="242" t="s">
        <v>125</v>
      </c>
      <c r="G1360" s="266">
        <v>46039</v>
      </c>
      <c r="H1360" s="266">
        <v>46043</v>
      </c>
      <c r="I1360" s="266">
        <v>46043</v>
      </c>
      <c r="J1360" s="36"/>
      <c r="K1360" s="45">
        <v>0.35416666666666669</v>
      </c>
      <c r="L1360" s="48">
        <v>4.1666666666666664E-2</v>
      </c>
      <c r="M1360" s="11">
        <f t="shared" si="21"/>
        <v>16.5</v>
      </c>
      <c r="N1360" s="224" t="s">
        <v>0</v>
      </c>
      <c r="P1360" s="4"/>
      <c r="Q1360" s="4"/>
      <c r="R1360" s="4"/>
      <c r="S1360" s="4"/>
      <c r="T1360" s="4"/>
      <c r="U1360" s="4"/>
      <c r="V1360" s="4"/>
      <c r="W1360" s="4"/>
    </row>
    <row r="1361" spans="1:23" s="32" customFormat="1" hidden="1" x14ac:dyDescent="0.3">
      <c r="A1361" s="22" t="s">
        <v>20</v>
      </c>
      <c r="B1361" s="21">
        <v>46041</v>
      </c>
      <c r="C1361" s="69" t="s">
        <v>421</v>
      </c>
      <c r="D1361" s="215"/>
      <c r="E1361" s="215"/>
      <c r="F1361" s="248"/>
      <c r="G1361" s="267"/>
      <c r="H1361" s="267"/>
      <c r="I1361" s="267"/>
      <c r="J1361" s="37"/>
      <c r="K1361" s="45">
        <v>0.35416666666666669</v>
      </c>
      <c r="L1361" s="48">
        <v>4.1666666666666664E-2</v>
      </c>
      <c r="M1361" s="11">
        <f t="shared" si="21"/>
        <v>16.5</v>
      </c>
      <c r="N1361" s="225"/>
      <c r="P1361" s="4"/>
      <c r="Q1361" s="4"/>
      <c r="R1361" s="4"/>
      <c r="S1361" s="4"/>
      <c r="T1361" s="4"/>
      <c r="U1361" s="4"/>
      <c r="V1361" s="4"/>
      <c r="W1361" s="4"/>
    </row>
    <row r="1362" spans="1:23" s="32" customFormat="1" hidden="1" x14ac:dyDescent="0.3">
      <c r="A1362" s="22" t="s">
        <v>20</v>
      </c>
      <c r="B1362" s="21">
        <v>46041</v>
      </c>
      <c r="C1362" s="69" t="s">
        <v>444</v>
      </c>
      <c r="D1362" s="214" t="s">
        <v>44</v>
      </c>
      <c r="E1362" s="214" t="s">
        <v>924</v>
      </c>
      <c r="F1362" s="214" t="s">
        <v>925</v>
      </c>
      <c r="G1362" s="219">
        <v>46041</v>
      </c>
      <c r="H1362" s="219">
        <v>46053</v>
      </c>
      <c r="I1362" s="219">
        <v>46053</v>
      </c>
      <c r="J1362" s="17"/>
      <c r="K1362" s="47">
        <v>0.58333333333333337</v>
      </c>
      <c r="L1362" s="48">
        <v>0.72916666666666663</v>
      </c>
      <c r="M1362" s="11">
        <f t="shared" si="21"/>
        <v>3.4999999999999982</v>
      </c>
      <c r="N1362" s="224" t="s">
        <v>0</v>
      </c>
      <c r="P1362" s="4"/>
      <c r="Q1362" s="4"/>
      <c r="R1362" s="4"/>
      <c r="S1362" s="4"/>
      <c r="T1362" s="4"/>
      <c r="U1362" s="4"/>
      <c r="V1362" s="4"/>
      <c r="W1362" s="4"/>
    </row>
    <row r="1363" spans="1:23" s="32" customFormat="1" hidden="1" x14ac:dyDescent="0.3">
      <c r="A1363" s="11" t="s">
        <v>20</v>
      </c>
      <c r="B1363" s="17">
        <v>46041</v>
      </c>
      <c r="C1363" s="76" t="s">
        <v>421</v>
      </c>
      <c r="D1363" s="226"/>
      <c r="E1363" s="226"/>
      <c r="F1363" s="226"/>
      <c r="G1363" s="226"/>
      <c r="H1363" s="226"/>
      <c r="I1363" s="226"/>
      <c r="J1363" s="18"/>
      <c r="K1363" s="47">
        <v>0.58333333333333337</v>
      </c>
      <c r="L1363" s="49">
        <v>0.72916666666666663</v>
      </c>
      <c r="M1363" s="11">
        <f t="shared" si="21"/>
        <v>3.4999999999999982</v>
      </c>
      <c r="N1363" s="231"/>
      <c r="P1363" s="4"/>
      <c r="Q1363" s="4"/>
      <c r="R1363" s="4"/>
      <c r="S1363" s="4"/>
      <c r="T1363" s="4"/>
      <c r="U1363" s="4"/>
      <c r="V1363" s="4"/>
      <c r="W1363" s="4"/>
    </row>
    <row r="1364" spans="1:23" s="32" customFormat="1" hidden="1" x14ac:dyDescent="0.3">
      <c r="A1364" s="22" t="s">
        <v>20</v>
      </c>
      <c r="B1364" s="21">
        <v>46041</v>
      </c>
      <c r="C1364" s="22" t="s">
        <v>12</v>
      </c>
      <c r="D1364" s="233" t="s">
        <v>44</v>
      </c>
      <c r="E1364" s="233" t="s">
        <v>861</v>
      </c>
      <c r="F1364" s="238" t="s">
        <v>905</v>
      </c>
      <c r="G1364" s="259">
        <v>46039</v>
      </c>
      <c r="H1364" s="259">
        <v>46043</v>
      </c>
      <c r="I1364" s="259">
        <v>46043</v>
      </c>
      <c r="J1364" s="41"/>
      <c r="K1364" s="45">
        <v>0.27083333333333331</v>
      </c>
      <c r="L1364" s="48">
        <v>0.64583333333333337</v>
      </c>
      <c r="M1364" s="11">
        <f t="shared" si="21"/>
        <v>9.0000000000000018</v>
      </c>
      <c r="N1364" s="249" t="s">
        <v>0</v>
      </c>
      <c r="P1364" s="4"/>
      <c r="Q1364" s="4"/>
      <c r="R1364" s="4"/>
      <c r="S1364" s="4"/>
      <c r="T1364" s="4"/>
      <c r="U1364" s="4"/>
      <c r="V1364" s="4"/>
      <c r="W1364" s="4"/>
    </row>
    <row r="1365" spans="1:23" s="32" customFormat="1" hidden="1" x14ac:dyDescent="0.3">
      <c r="A1365" s="12" t="s">
        <v>20</v>
      </c>
      <c r="B1365" s="19">
        <v>46041</v>
      </c>
      <c r="C1365" s="86" t="s">
        <v>33</v>
      </c>
      <c r="D1365" s="215"/>
      <c r="E1365" s="215"/>
      <c r="F1365" s="248"/>
      <c r="G1365" s="267"/>
      <c r="H1365" s="267"/>
      <c r="I1365" s="267"/>
      <c r="J1365" s="15"/>
      <c r="K1365" s="50">
        <v>0.27083333333333331</v>
      </c>
      <c r="L1365" s="53">
        <v>0.64583333333333337</v>
      </c>
      <c r="M1365" s="11">
        <f t="shared" si="21"/>
        <v>9.0000000000000018</v>
      </c>
      <c r="N1365" s="225"/>
      <c r="P1365" s="4"/>
      <c r="Q1365" s="4"/>
      <c r="R1365" s="4"/>
      <c r="S1365" s="4"/>
      <c r="T1365" s="4"/>
      <c r="U1365" s="4"/>
      <c r="V1365" s="4"/>
      <c r="W1365" s="4"/>
    </row>
    <row r="1366" spans="1:23" s="32" customFormat="1" hidden="1" x14ac:dyDescent="0.3">
      <c r="A1366" s="22" t="s">
        <v>20</v>
      </c>
      <c r="B1366" s="21">
        <v>46041</v>
      </c>
      <c r="C1366" s="22" t="s">
        <v>28</v>
      </c>
      <c r="D1366" s="13" t="s">
        <v>65</v>
      </c>
      <c r="E1366" s="13" t="s">
        <v>890</v>
      </c>
      <c r="F1366" s="26" t="s">
        <v>918</v>
      </c>
      <c r="G1366" s="21">
        <v>46038</v>
      </c>
      <c r="H1366" s="21">
        <v>46041</v>
      </c>
      <c r="I1366" s="21">
        <v>46041</v>
      </c>
      <c r="J1366" s="17"/>
      <c r="K1366" s="47">
        <v>0.27083333333333331</v>
      </c>
      <c r="L1366" s="48">
        <v>0.72916666666666663</v>
      </c>
      <c r="M1366" s="11">
        <f t="shared" si="21"/>
        <v>11</v>
      </c>
      <c r="N1366" s="42" t="s">
        <v>0</v>
      </c>
      <c r="P1366" s="4"/>
      <c r="Q1366" s="4"/>
      <c r="R1366" s="4"/>
      <c r="S1366" s="4"/>
      <c r="T1366" s="4"/>
      <c r="U1366" s="4"/>
      <c r="V1366" s="4"/>
      <c r="W1366" s="4"/>
    </row>
    <row r="1367" spans="1:23" s="32" customFormat="1" hidden="1" x14ac:dyDescent="0.3">
      <c r="A1367" s="22" t="s">
        <v>20</v>
      </c>
      <c r="B1367" s="21">
        <v>46041</v>
      </c>
      <c r="C1367" s="22" t="s">
        <v>15</v>
      </c>
      <c r="D1367" s="216" t="s">
        <v>65</v>
      </c>
      <c r="E1367" s="216" t="s">
        <v>854</v>
      </c>
      <c r="F1367" s="243" t="s">
        <v>700</v>
      </c>
      <c r="G1367" s="219">
        <v>46031</v>
      </c>
      <c r="H1367" s="219">
        <v>46039</v>
      </c>
      <c r="I1367" s="219"/>
      <c r="J1367" s="17"/>
      <c r="K1367" s="47">
        <v>0.27083333333333331</v>
      </c>
      <c r="L1367" s="48">
        <v>0.72916666666666663</v>
      </c>
      <c r="M1367" s="11">
        <f t="shared" si="21"/>
        <v>11</v>
      </c>
      <c r="N1367" s="230" t="s">
        <v>1</v>
      </c>
      <c r="P1367" s="4"/>
      <c r="Q1367" s="4"/>
      <c r="R1367" s="4"/>
      <c r="S1367" s="4"/>
      <c r="T1367" s="4"/>
      <c r="U1367" s="4"/>
      <c r="V1367" s="4"/>
      <c r="W1367" s="4"/>
    </row>
    <row r="1368" spans="1:23" s="32" customFormat="1" hidden="1" x14ac:dyDescent="0.3">
      <c r="A1368" s="22" t="s">
        <v>20</v>
      </c>
      <c r="B1368" s="21">
        <v>46041</v>
      </c>
      <c r="C1368" s="22" t="s">
        <v>31</v>
      </c>
      <c r="D1368" s="217"/>
      <c r="E1368" s="217"/>
      <c r="F1368" s="244"/>
      <c r="G1368" s="220"/>
      <c r="H1368" s="220"/>
      <c r="I1368" s="220"/>
      <c r="J1368" s="23"/>
      <c r="K1368" s="47">
        <v>0.54166666666666663</v>
      </c>
      <c r="L1368" s="48">
        <v>0.58333333333333337</v>
      </c>
      <c r="M1368" s="11">
        <f t="shared" si="21"/>
        <v>1.0000000000000018</v>
      </c>
      <c r="N1368" s="228"/>
      <c r="P1368" s="4"/>
      <c r="Q1368" s="4"/>
      <c r="R1368" s="4"/>
      <c r="S1368" s="4"/>
      <c r="T1368" s="4"/>
      <c r="U1368" s="4"/>
      <c r="V1368" s="4"/>
      <c r="W1368" s="4"/>
    </row>
    <row r="1369" spans="1:23" s="32" customFormat="1" hidden="1" x14ac:dyDescent="0.3">
      <c r="A1369" s="22" t="s">
        <v>20</v>
      </c>
      <c r="B1369" s="21">
        <v>46041</v>
      </c>
      <c r="C1369" s="22" t="s">
        <v>167</v>
      </c>
      <c r="D1369" s="216" t="s">
        <v>65</v>
      </c>
      <c r="E1369" s="216" t="s">
        <v>784</v>
      </c>
      <c r="F1369" s="243" t="s">
        <v>609</v>
      </c>
      <c r="G1369" s="219">
        <v>46031</v>
      </c>
      <c r="H1369" s="219">
        <v>46041</v>
      </c>
      <c r="I1369" s="219">
        <v>46041</v>
      </c>
      <c r="J1369" s="17"/>
      <c r="K1369" s="47">
        <v>0.27083333333333331</v>
      </c>
      <c r="L1369" s="48">
        <v>0.72916666666666663</v>
      </c>
      <c r="M1369" s="11">
        <f t="shared" si="21"/>
        <v>11</v>
      </c>
      <c r="N1369" s="231" t="s">
        <v>0</v>
      </c>
      <c r="P1369" s="4"/>
      <c r="Q1369" s="4"/>
      <c r="R1369" s="4"/>
      <c r="S1369" s="4"/>
      <c r="T1369" s="4"/>
      <c r="U1369" s="4"/>
      <c r="V1369" s="4"/>
      <c r="W1369" s="4"/>
    </row>
    <row r="1370" spans="1:23" s="32" customFormat="1" hidden="1" x14ac:dyDescent="0.3">
      <c r="A1370" s="22" t="s">
        <v>20</v>
      </c>
      <c r="B1370" s="21">
        <v>46041</v>
      </c>
      <c r="C1370" s="22" t="s">
        <v>31</v>
      </c>
      <c r="D1370" s="217"/>
      <c r="E1370" s="217"/>
      <c r="F1370" s="244"/>
      <c r="G1370" s="220"/>
      <c r="H1370" s="220"/>
      <c r="I1370" s="220"/>
      <c r="J1370" s="23"/>
      <c r="K1370" s="47">
        <v>0.35416666666666669</v>
      </c>
      <c r="L1370" s="45">
        <v>0.4375</v>
      </c>
      <c r="M1370" s="11">
        <f t="shared" si="21"/>
        <v>1.9999999999999996</v>
      </c>
      <c r="N1370" s="225"/>
      <c r="P1370" s="4"/>
      <c r="Q1370" s="4"/>
      <c r="R1370" s="4"/>
      <c r="S1370" s="4"/>
      <c r="T1370" s="4"/>
      <c r="U1370" s="4"/>
      <c r="V1370" s="4"/>
      <c r="W1370" s="4"/>
    </row>
    <row r="1371" spans="1:23" s="32" customFormat="1" hidden="1" x14ac:dyDescent="0.3">
      <c r="A1371" s="22" t="s">
        <v>20</v>
      </c>
      <c r="B1371" s="21">
        <v>46041</v>
      </c>
      <c r="C1371" s="22" t="s">
        <v>16</v>
      </c>
      <c r="D1371" s="216" t="s">
        <v>65</v>
      </c>
      <c r="E1371" s="214" t="s">
        <v>875</v>
      </c>
      <c r="F1371" s="243" t="s">
        <v>59</v>
      </c>
      <c r="G1371" s="219">
        <v>46037</v>
      </c>
      <c r="H1371" s="219">
        <v>46041</v>
      </c>
      <c r="I1371" s="219"/>
      <c r="J1371" s="17"/>
      <c r="K1371" s="47">
        <v>0.27083333333333331</v>
      </c>
      <c r="L1371" s="48">
        <v>0.72916666666666663</v>
      </c>
      <c r="M1371" s="11">
        <f t="shared" si="21"/>
        <v>11</v>
      </c>
      <c r="N1371" s="224" t="s">
        <v>1</v>
      </c>
      <c r="P1371" s="4"/>
      <c r="Q1371" s="4"/>
      <c r="R1371" s="4"/>
      <c r="S1371" s="4"/>
      <c r="T1371" s="4"/>
      <c r="U1371" s="4"/>
      <c r="V1371" s="4"/>
      <c r="W1371" s="4"/>
    </row>
    <row r="1372" spans="1:23" s="32" customFormat="1" hidden="1" x14ac:dyDescent="0.3">
      <c r="A1372" s="22" t="s">
        <v>20</v>
      </c>
      <c r="B1372" s="21">
        <v>46041</v>
      </c>
      <c r="C1372" s="22" t="s">
        <v>31</v>
      </c>
      <c r="D1372" s="217"/>
      <c r="E1372" s="215"/>
      <c r="F1372" s="244"/>
      <c r="G1372" s="220"/>
      <c r="H1372" s="220"/>
      <c r="I1372" s="220"/>
      <c r="J1372" s="23"/>
      <c r="K1372" s="47">
        <v>0.4375</v>
      </c>
      <c r="L1372" s="48">
        <v>0.5</v>
      </c>
      <c r="M1372" s="11">
        <f t="shared" si="21"/>
        <v>1.5</v>
      </c>
      <c r="N1372" s="225"/>
      <c r="P1372" s="4"/>
      <c r="Q1372" s="4"/>
      <c r="R1372" s="4"/>
      <c r="S1372" s="4"/>
      <c r="T1372" s="4"/>
      <c r="U1372" s="4"/>
      <c r="V1372" s="4"/>
      <c r="W1372" s="4"/>
    </row>
    <row r="1373" spans="1:23" s="32" customFormat="1" hidden="1" x14ac:dyDescent="0.3">
      <c r="A1373" s="22" t="s">
        <v>20</v>
      </c>
      <c r="B1373" s="21">
        <v>46041</v>
      </c>
      <c r="C1373" s="69" t="s">
        <v>47</v>
      </c>
      <c r="D1373" s="221" t="s">
        <v>65</v>
      </c>
      <c r="E1373" s="233" t="s">
        <v>919</v>
      </c>
      <c r="F1373" s="245" t="s">
        <v>920</v>
      </c>
      <c r="G1373" s="219">
        <v>46039</v>
      </c>
      <c r="H1373" s="219">
        <v>46041</v>
      </c>
      <c r="I1373" s="219">
        <v>46041</v>
      </c>
      <c r="J1373" s="17"/>
      <c r="K1373" s="47">
        <v>0.27083333333333331</v>
      </c>
      <c r="L1373" s="48">
        <v>0.72916666666666663</v>
      </c>
      <c r="M1373" s="11">
        <f t="shared" si="21"/>
        <v>11</v>
      </c>
      <c r="N1373" s="224" t="s">
        <v>0</v>
      </c>
      <c r="P1373" s="4"/>
      <c r="Q1373" s="4"/>
      <c r="R1373" s="4"/>
      <c r="S1373" s="4"/>
      <c r="T1373" s="4"/>
      <c r="U1373" s="4"/>
      <c r="V1373" s="4"/>
      <c r="W1373" s="4"/>
    </row>
    <row r="1374" spans="1:23" s="32" customFormat="1" hidden="1" x14ac:dyDescent="0.3">
      <c r="A1374" s="22" t="s">
        <v>20</v>
      </c>
      <c r="B1374" s="21">
        <v>46041</v>
      </c>
      <c r="C1374" s="69" t="s">
        <v>31</v>
      </c>
      <c r="D1374" s="221"/>
      <c r="E1374" s="233"/>
      <c r="F1374" s="245"/>
      <c r="G1374" s="220"/>
      <c r="H1374" s="220"/>
      <c r="I1374" s="220"/>
      <c r="J1374" s="19"/>
      <c r="K1374" s="45">
        <v>0.58333333333333337</v>
      </c>
      <c r="L1374" s="48">
        <v>0.66666666666666663</v>
      </c>
      <c r="M1374" s="11">
        <f t="shared" si="21"/>
        <v>1.9999999999999982</v>
      </c>
      <c r="N1374" s="225"/>
      <c r="P1374" s="4"/>
      <c r="Q1374" s="4"/>
      <c r="R1374" s="4"/>
      <c r="S1374" s="4"/>
      <c r="T1374" s="4"/>
      <c r="U1374" s="4"/>
      <c r="V1374" s="4"/>
      <c r="W1374" s="4"/>
    </row>
    <row r="1375" spans="1:23" s="32" customFormat="1" ht="15.6" hidden="1" x14ac:dyDescent="0.3">
      <c r="A1375" s="40" t="s">
        <v>21</v>
      </c>
      <c r="B1375" s="21">
        <v>46042</v>
      </c>
      <c r="C1375" s="40" t="s">
        <v>26</v>
      </c>
      <c r="D1375" s="40" t="s">
        <v>24</v>
      </c>
      <c r="E1375" s="40" t="s">
        <v>827</v>
      </c>
      <c r="F1375" s="84" t="s">
        <v>909</v>
      </c>
      <c r="G1375" s="41">
        <v>46035</v>
      </c>
      <c r="H1375" s="41">
        <v>46042</v>
      </c>
      <c r="I1375" s="85"/>
      <c r="J1375" s="85"/>
      <c r="K1375" s="51">
        <v>0.27083333333333331</v>
      </c>
      <c r="L1375" s="51">
        <v>0.64583333333333337</v>
      </c>
      <c r="M1375" s="11">
        <f t="shared" si="21"/>
        <v>9.0000000000000018</v>
      </c>
      <c r="N1375" s="22" t="s">
        <v>1</v>
      </c>
      <c r="P1375" s="4"/>
      <c r="Q1375" s="4"/>
      <c r="R1375" s="4"/>
      <c r="S1375" s="4"/>
      <c r="T1375" s="4"/>
      <c r="U1375" s="4"/>
      <c r="V1375" s="4"/>
      <c r="W1375" s="4"/>
    </row>
    <row r="1376" spans="1:23" s="32" customFormat="1" ht="15.6" hidden="1" x14ac:dyDescent="0.3">
      <c r="A1376" s="40" t="s">
        <v>21</v>
      </c>
      <c r="B1376" s="21">
        <v>46042</v>
      </c>
      <c r="C1376" s="40" t="s">
        <v>50</v>
      </c>
      <c r="D1376" s="40" t="s">
        <v>24</v>
      </c>
      <c r="E1376" s="40" t="s">
        <v>829</v>
      </c>
      <c r="F1376" s="84" t="s">
        <v>909</v>
      </c>
      <c r="G1376" s="41">
        <v>46035</v>
      </c>
      <c r="H1376" s="41">
        <v>46042</v>
      </c>
      <c r="I1376" s="85"/>
      <c r="J1376" s="85"/>
      <c r="K1376" s="51">
        <v>0.35416666666666669</v>
      </c>
      <c r="L1376" s="51">
        <v>0.72916666666666663</v>
      </c>
      <c r="M1376" s="11">
        <f t="shared" si="21"/>
        <v>8.9999999999999982</v>
      </c>
      <c r="N1376" s="22" t="s">
        <v>1</v>
      </c>
      <c r="P1376" s="4"/>
      <c r="Q1376" s="4"/>
      <c r="R1376" s="4"/>
      <c r="S1376" s="4"/>
      <c r="T1376" s="4"/>
      <c r="U1376" s="4"/>
      <c r="V1376" s="4"/>
      <c r="W1376" s="4"/>
    </row>
    <row r="1377" spans="1:23" s="32" customFormat="1" hidden="1" x14ac:dyDescent="0.3">
      <c r="A1377" s="40" t="s">
        <v>21</v>
      </c>
      <c r="B1377" s="21">
        <v>46042</v>
      </c>
      <c r="C1377" s="40" t="s">
        <v>830</v>
      </c>
      <c r="D1377" s="40" t="s">
        <v>24</v>
      </c>
      <c r="E1377" s="40" t="s">
        <v>436</v>
      </c>
      <c r="F1377" s="84" t="s">
        <v>929</v>
      </c>
      <c r="G1377" s="41">
        <v>46042</v>
      </c>
      <c r="H1377" s="41">
        <v>46042</v>
      </c>
      <c r="I1377" s="41">
        <v>46042</v>
      </c>
      <c r="J1377" s="41"/>
      <c r="K1377" s="51">
        <v>0.35416666666666669</v>
      </c>
      <c r="L1377" s="51">
        <v>0.72916666666666663</v>
      </c>
      <c r="M1377" s="11">
        <f t="shared" si="21"/>
        <v>8.9999999999999982</v>
      </c>
      <c r="N1377" s="22" t="s">
        <v>0</v>
      </c>
      <c r="P1377" s="4"/>
      <c r="Q1377" s="4"/>
      <c r="R1377" s="4"/>
      <c r="S1377" s="4"/>
      <c r="T1377" s="4"/>
      <c r="U1377" s="4"/>
      <c r="V1377" s="4"/>
      <c r="W1377" s="4"/>
    </row>
    <row r="1378" spans="1:23" s="32" customFormat="1" hidden="1" x14ac:dyDescent="0.3">
      <c r="A1378" s="40" t="s">
        <v>21</v>
      </c>
      <c r="B1378" s="21">
        <v>46042</v>
      </c>
      <c r="C1378" s="40" t="s">
        <v>50</v>
      </c>
      <c r="D1378" s="260" t="s">
        <v>8</v>
      </c>
      <c r="E1378" s="260" t="s">
        <v>908</v>
      </c>
      <c r="F1378" s="261" t="s">
        <v>910</v>
      </c>
      <c r="G1378" s="259">
        <v>46041</v>
      </c>
      <c r="H1378" s="259">
        <v>46042</v>
      </c>
      <c r="I1378" s="259">
        <v>46042</v>
      </c>
      <c r="J1378" s="41"/>
      <c r="K1378" s="51">
        <v>0.27083333333333331</v>
      </c>
      <c r="L1378" s="51">
        <v>0.72916666666666663</v>
      </c>
      <c r="M1378" s="11">
        <f t="shared" si="21"/>
        <v>11</v>
      </c>
      <c r="N1378" s="233" t="s">
        <v>0</v>
      </c>
      <c r="P1378" s="4"/>
      <c r="Q1378" s="4"/>
      <c r="R1378" s="4"/>
      <c r="S1378" s="4"/>
      <c r="T1378" s="4"/>
      <c r="U1378" s="4"/>
      <c r="V1378" s="4"/>
      <c r="W1378" s="4"/>
    </row>
    <row r="1379" spans="1:23" s="32" customFormat="1" hidden="1" x14ac:dyDescent="0.3">
      <c r="A1379" s="40" t="s">
        <v>21</v>
      </c>
      <c r="B1379" s="21">
        <v>46042</v>
      </c>
      <c r="C1379" s="40" t="s">
        <v>18</v>
      </c>
      <c r="D1379" s="260"/>
      <c r="E1379" s="260"/>
      <c r="F1379" s="261"/>
      <c r="G1379" s="259"/>
      <c r="H1379" s="259"/>
      <c r="I1379" s="259"/>
      <c r="J1379" s="41"/>
      <c r="K1379" s="51">
        <v>0.27083333333333331</v>
      </c>
      <c r="L1379" s="51">
        <v>0.72916666666666663</v>
      </c>
      <c r="M1379" s="11">
        <f t="shared" si="21"/>
        <v>11</v>
      </c>
      <c r="N1379" s="233"/>
      <c r="P1379" s="4"/>
      <c r="Q1379" s="4"/>
      <c r="R1379" s="4"/>
      <c r="S1379" s="4"/>
      <c r="T1379" s="4"/>
      <c r="U1379" s="4"/>
      <c r="V1379" s="4"/>
      <c r="W1379" s="4"/>
    </row>
    <row r="1380" spans="1:23" s="32" customFormat="1" hidden="1" x14ac:dyDescent="0.3">
      <c r="A1380" s="40" t="s">
        <v>21</v>
      </c>
      <c r="B1380" s="21">
        <v>46042</v>
      </c>
      <c r="C1380" s="40" t="s">
        <v>55</v>
      </c>
      <c r="D1380" s="40" t="s">
        <v>43</v>
      </c>
      <c r="E1380" s="40" t="s">
        <v>927</v>
      </c>
      <c r="F1380" s="84" t="s">
        <v>928</v>
      </c>
      <c r="G1380" s="41">
        <v>46042</v>
      </c>
      <c r="H1380" s="41">
        <v>46042</v>
      </c>
      <c r="I1380" s="41">
        <v>46042</v>
      </c>
      <c r="J1380" s="41"/>
      <c r="K1380" s="51">
        <v>0.27083333333333331</v>
      </c>
      <c r="L1380" s="51">
        <v>0.64583333333333337</v>
      </c>
      <c r="M1380" s="11">
        <f t="shared" si="21"/>
        <v>9.0000000000000018</v>
      </c>
      <c r="N1380" s="42" t="s">
        <v>0</v>
      </c>
      <c r="P1380" s="4"/>
      <c r="Q1380" s="4"/>
      <c r="R1380" s="4"/>
      <c r="S1380" s="4"/>
      <c r="T1380" s="4"/>
      <c r="U1380" s="4"/>
      <c r="V1380" s="4"/>
      <c r="W1380" s="4"/>
    </row>
    <row r="1381" spans="1:23" s="32" customFormat="1" hidden="1" x14ac:dyDescent="0.3">
      <c r="A1381" s="40" t="s">
        <v>21</v>
      </c>
      <c r="B1381" s="21">
        <v>46042</v>
      </c>
      <c r="C1381" s="40" t="s">
        <v>771</v>
      </c>
      <c r="D1381" s="262" t="s">
        <v>43</v>
      </c>
      <c r="E1381" s="260" t="s">
        <v>896</v>
      </c>
      <c r="F1381" s="264" t="s">
        <v>912</v>
      </c>
      <c r="G1381" s="259">
        <v>46041</v>
      </c>
      <c r="H1381" s="259">
        <v>46042</v>
      </c>
      <c r="I1381" s="259">
        <v>46042</v>
      </c>
      <c r="J1381" s="41"/>
      <c r="K1381" s="51">
        <v>0.375</v>
      </c>
      <c r="L1381" s="51">
        <v>0.64583333333333337</v>
      </c>
      <c r="M1381" s="11">
        <f t="shared" si="21"/>
        <v>6.5000000000000009</v>
      </c>
      <c r="N1381" s="224" t="s">
        <v>0</v>
      </c>
      <c r="P1381" s="4"/>
      <c r="Q1381" s="4"/>
      <c r="R1381" s="4"/>
      <c r="S1381" s="4"/>
      <c r="T1381" s="4"/>
      <c r="U1381" s="4"/>
      <c r="V1381" s="4"/>
      <c r="W1381" s="4"/>
    </row>
    <row r="1382" spans="1:23" s="32" customFormat="1" hidden="1" x14ac:dyDescent="0.3">
      <c r="A1382" s="40" t="s">
        <v>21</v>
      </c>
      <c r="B1382" s="21">
        <v>46042</v>
      </c>
      <c r="C1382" s="40" t="s">
        <v>320</v>
      </c>
      <c r="D1382" s="263"/>
      <c r="E1382" s="260"/>
      <c r="F1382" s="265"/>
      <c r="G1382" s="259"/>
      <c r="H1382" s="259"/>
      <c r="I1382" s="259"/>
      <c r="J1382" s="41"/>
      <c r="K1382" s="51">
        <v>0.375</v>
      </c>
      <c r="L1382" s="51">
        <v>0.64583333333333337</v>
      </c>
      <c r="M1382" s="11">
        <f t="shared" si="21"/>
        <v>6.5000000000000009</v>
      </c>
      <c r="N1382" s="225"/>
      <c r="P1382" s="4"/>
      <c r="Q1382" s="4"/>
      <c r="R1382" s="4"/>
      <c r="S1382" s="4"/>
      <c r="T1382" s="4"/>
      <c r="U1382" s="4"/>
      <c r="V1382" s="4"/>
      <c r="W1382" s="4"/>
    </row>
    <row r="1383" spans="1:23" s="32" customFormat="1" hidden="1" x14ac:dyDescent="0.3">
      <c r="A1383" s="40" t="s">
        <v>21</v>
      </c>
      <c r="B1383" s="21">
        <v>46042</v>
      </c>
      <c r="C1383" s="40" t="s">
        <v>56</v>
      </c>
      <c r="D1383" s="10" t="s">
        <v>8</v>
      </c>
      <c r="E1383" s="10" t="s">
        <v>908</v>
      </c>
      <c r="F1383" s="38" t="s">
        <v>913</v>
      </c>
      <c r="G1383" s="36">
        <v>46041</v>
      </c>
      <c r="H1383" s="36">
        <v>46042</v>
      </c>
      <c r="I1383" s="36">
        <v>46042</v>
      </c>
      <c r="J1383" s="36"/>
      <c r="K1383" s="51">
        <v>0.27083333333333331</v>
      </c>
      <c r="L1383" s="51">
        <v>0.64583333333333337</v>
      </c>
      <c r="M1383" s="11">
        <f t="shared" si="21"/>
        <v>9.0000000000000018</v>
      </c>
      <c r="N1383" s="63" t="s">
        <v>0</v>
      </c>
      <c r="P1383" s="4"/>
      <c r="Q1383" s="4"/>
      <c r="R1383" s="4"/>
      <c r="S1383" s="4"/>
      <c r="T1383" s="4"/>
      <c r="U1383" s="4"/>
      <c r="V1383" s="4"/>
      <c r="W1383" s="4"/>
    </row>
    <row r="1384" spans="1:23" s="32" customFormat="1" hidden="1" x14ac:dyDescent="0.3">
      <c r="A1384" s="40" t="s">
        <v>21</v>
      </c>
      <c r="B1384" s="21">
        <v>46042</v>
      </c>
      <c r="C1384" s="40" t="s">
        <v>118</v>
      </c>
      <c r="D1384" s="260" t="s">
        <v>54</v>
      </c>
      <c r="E1384" s="260" t="s">
        <v>688</v>
      </c>
      <c r="F1384" s="260" t="s">
        <v>926</v>
      </c>
      <c r="G1384" s="259">
        <v>46041</v>
      </c>
      <c r="H1384" s="259">
        <v>46042</v>
      </c>
      <c r="I1384" s="259">
        <v>46042</v>
      </c>
      <c r="J1384" s="41"/>
      <c r="K1384" s="51">
        <v>0.35416666666666669</v>
      </c>
      <c r="L1384" s="51">
        <v>0.72916666666666663</v>
      </c>
      <c r="M1384" s="11">
        <f t="shared" si="21"/>
        <v>8.9999999999999982</v>
      </c>
      <c r="N1384" s="254" t="s">
        <v>0</v>
      </c>
      <c r="P1384" s="4"/>
      <c r="Q1384" s="4"/>
      <c r="R1384" s="4"/>
      <c r="S1384" s="4"/>
      <c r="T1384" s="4"/>
      <c r="U1384" s="4"/>
      <c r="V1384" s="4"/>
      <c r="W1384" s="4"/>
    </row>
    <row r="1385" spans="1:23" s="32" customFormat="1" hidden="1" x14ac:dyDescent="0.3">
      <c r="A1385" s="40" t="s">
        <v>21</v>
      </c>
      <c r="B1385" s="21">
        <v>46042</v>
      </c>
      <c r="C1385" s="40" t="s">
        <v>34</v>
      </c>
      <c r="D1385" s="260"/>
      <c r="E1385" s="260"/>
      <c r="F1385" s="260"/>
      <c r="G1385" s="259"/>
      <c r="H1385" s="259"/>
      <c r="I1385" s="259"/>
      <c r="J1385" s="41"/>
      <c r="K1385" s="51">
        <v>0.35416666666666669</v>
      </c>
      <c r="L1385" s="51">
        <v>0.72916666666666663</v>
      </c>
      <c r="M1385" s="11">
        <f t="shared" si="21"/>
        <v>8.9999999999999982</v>
      </c>
      <c r="N1385" s="254"/>
      <c r="P1385" s="4"/>
      <c r="Q1385" s="4"/>
      <c r="R1385" s="4"/>
      <c r="S1385" s="4"/>
      <c r="T1385" s="4"/>
      <c r="U1385" s="4"/>
      <c r="V1385" s="4"/>
      <c r="W1385" s="4"/>
    </row>
    <row r="1386" spans="1:23" s="32" customFormat="1" hidden="1" x14ac:dyDescent="0.3">
      <c r="A1386" s="40" t="s">
        <v>21</v>
      </c>
      <c r="B1386" s="21">
        <v>46042</v>
      </c>
      <c r="C1386" s="40" t="s">
        <v>25</v>
      </c>
      <c r="D1386" s="10" t="s">
        <v>43</v>
      </c>
      <c r="E1386" s="10" t="s">
        <v>847</v>
      </c>
      <c r="F1386" s="10" t="s">
        <v>349</v>
      </c>
      <c r="G1386" s="41">
        <v>46039</v>
      </c>
      <c r="H1386" s="41">
        <v>46042</v>
      </c>
      <c r="I1386" s="41">
        <v>46042</v>
      </c>
      <c r="J1386" s="41"/>
      <c r="K1386" s="51">
        <v>0.375</v>
      </c>
      <c r="L1386" s="51">
        <v>0.64583333333333337</v>
      </c>
      <c r="M1386" s="11">
        <f t="shared" si="21"/>
        <v>6.5000000000000009</v>
      </c>
      <c r="N1386" s="62" t="s">
        <v>0</v>
      </c>
      <c r="P1386" s="4"/>
      <c r="Q1386" s="4"/>
      <c r="R1386" s="4"/>
      <c r="S1386" s="4"/>
      <c r="T1386" s="4"/>
      <c r="U1386" s="4"/>
      <c r="V1386" s="4"/>
      <c r="W1386" s="4"/>
    </row>
    <row r="1387" spans="1:23" s="32" customFormat="1" hidden="1" x14ac:dyDescent="0.3">
      <c r="A1387" s="40" t="s">
        <v>21</v>
      </c>
      <c r="B1387" s="21">
        <v>46042</v>
      </c>
      <c r="C1387" s="40" t="s">
        <v>771</v>
      </c>
      <c r="D1387" s="262" t="s">
        <v>27</v>
      </c>
      <c r="E1387" s="262" t="s">
        <v>922</v>
      </c>
      <c r="F1387" s="262" t="s">
        <v>923</v>
      </c>
      <c r="G1387" s="266">
        <v>46041</v>
      </c>
      <c r="H1387" s="266">
        <v>46042</v>
      </c>
      <c r="I1387" s="266">
        <v>46042</v>
      </c>
      <c r="J1387" s="36"/>
      <c r="K1387" s="51">
        <v>0.27083333333333331</v>
      </c>
      <c r="L1387" s="51">
        <v>0.375</v>
      </c>
      <c r="M1387" s="11">
        <f t="shared" si="21"/>
        <v>2.5000000000000004</v>
      </c>
      <c r="N1387" s="269" t="s">
        <v>0</v>
      </c>
      <c r="P1387" s="4"/>
      <c r="Q1387" s="4"/>
      <c r="R1387" s="4"/>
      <c r="S1387" s="4"/>
      <c r="T1387" s="4"/>
      <c r="U1387" s="4"/>
      <c r="V1387" s="4"/>
      <c r="W1387" s="4"/>
    </row>
    <row r="1388" spans="1:23" s="32" customFormat="1" hidden="1" x14ac:dyDescent="0.3">
      <c r="A1388" s="40" t="s">
        <v>21</v>
      </c>
      <c r="B1388" s="21">
        <v>46042</v>
      </c>
      <c r="C1388" s="40" t="s">
        <v>320</v>
      </c>
      <c r="D1388" s="272"/>
      <c r="E1388" s="272"/>
      <c r="F1388" s="272"/>
      <c r="G1388" s="268"/>
      <c r="H1388" s="268"/>
      <c r="I1388" s="268"/>
      <c r="J1388" s="15"/>
      <c r="K1388" s="51">
        <v>0.27083333333333331</v>
      </c>
      <c r="L1388" s="51">
        <v>0.375</v>
      </c>
      <c r="M1388" s="11">
        <f t="shared" si="21"/>
        <v>2.5000000000000004</v>
      </c>
      <c r="N1388" s="270"/>
      <c r="P1388" s="4"/>
      <c r="Q1388" s="4"/>
      <c r="R1388" s="4"/>
      <c r="S1388" s="4"/>
      <c r="T1388" s="4"/>
      <c r="U1388" s="4"/>
      <c r="V1388" s="4"/>
      <c r="W1388" s="4"/>
    </row>
    <row r="1389" spans="1:23" s="32" customFormat="1" hidden="1" x14ac:dyDescent="0.3">
      <c r="A1389" s="40" t="s">
        <v>21</v>
      </c>
      <c r="B1389" s="21">
        <v>46042</v>
      </c>
      <c r="C1389" s="40" t="s">
        <v>25</v>
      </c>
      <c r="D1389" s="263"/>
      <c r="E1389" s="263"/>
      <c r="F1389" s="263"/>
      <c r="G1389" s="267"/>
      <c r="H1389" s="267"/>
      <c r="I1389" s="267"/>
      <c r="J1389" s="37"/>
      <c r="K1389" s="51">
        <v>0.27083333333333331</v>
      </c>
      <c r="L1389" s="51">
        <v>0.375</v>
      </c>
      <c r="M1389" s="11">
        <f t="shared" si="21"/>
        <v>2.5000000000000004</v>
      </c>
      <c r="N1389" s="271"/>
      <c r="P1389" s="4"/>
      <c r="Q1389" s="4"/>
      <c r="R1389" s="4"/>
      <c r="S1389" s="4"/>
      <c r="T1389" s="4"/>
      <c r="U1389" s="4"/>
      <c r="V1389" s="4"/>
      <c r="W1389" s="4"/>
    </row>
    <row r="1390" spans="1:23" s="32" customFormat="1" hidden="1" x14ac:dyDescent="0.3">
      <c r="A1390" s="22" t="s">
        <v>19</v>
      </c>
      <c r="B1390" s="21">
        <v>46042</v>
      </c>
      <c r="C1390" s="22" t="s">
        <v>9</v>
      </c>
      <c r="D1390" s="13" t="s">
        <v>8</v>
      </c>
      <c r="E1390" s="13" t="s">
        <v>340</v>
      </c>
      <c r="F1390" s="13" t="s">
        <v>244</v>
      </c>
      <c r="G1390" s="41">
        <v>46042</v>
      </c>
      <c r="H1390" s="41">
        <v>46042</v>
      </c>
      <c r="I1390" s="41">
        <v>46042</v>
      </c>
      <c r="J1390" s="41"/>
      <c r="K1390" s="48">
        <v>0.35416666666666669</v>
      </c>
      <c r="L1390" s="48">
        <v>0.4375</v>
      </c>
      <c r="M1390" s="11">
        <f t="shared" si="21"/>
        <v>1.9999999999999996</v>
      </c>
      <c r="N1390" s="67" t="s">
        <v>0</v>
      </c>
      <c r="P1390" s="4"/>
      <c r="Q1390" s="4"/>
      <c r="R1390" s="4"/>
      <c r="S1390" s="4"/>
      <c r="T1390" s="4"/>
      <c r="U1390" s="4"/>
      <c r="V1390" s="4"/>
      <c r="W1390" s="4"/>
    </row>
    <row r="1391" spans="1:23" s="32" customFormat="1" hidden="1" x14ac:dyDescent="0.3">
      <c r="A1391" s="22" t="s">
        <v>19</v>
      </c>
      <c r="B1391" s="21">
        <v>46042</v>
      </c>
      <c r="C1391" s="22" t="s">
        <v>208</v>
      </c>
      <c r="D1391" s="13" t="s">
        <v>8</v>
      </c>
      <c r="E1391" s="13" t="s">
        <v>876</v>
      </c>
      <c r="F1391" s="13" t="s">
        <v>762</v>
      </c>
      <c r="G1391" s="36">
        <v>46037</v>
      </c>
      <c r="H1391" s="41">
        <v>46042</v>
      </c>
      <c r="I1391" s="17"/>
      <c r="J1391" s="17"/>
      <c r="K1391" s="45">
        <v>0.27083333333333331</v>
      </c>
      <c r="L1391" s="48">
        <v>0.64583333333333337</v>
      </c>
      <c r="M1391" s="11">
        <f t="shared" si="21"/>
        <v>9.0000000000000018</v>
      </c>
      <c r="N1391" s="87" t="s">
        <v>30</v>
      </c>
      <c r="P1391" s="4"/>
      <c r="Q1391" s="4"/>
      <c r="R1391" s="4"/>
      <c r="S1391" s="4"/>
      <c r="T1391" s="4"/>
      <c r="U1391" s="4"/>
      <c r="V1391" s="4"/>
      <c r="W1391" s="4"/>
    </row>
    <row r="1392" spans="1:23" s="32" customFormat="1" hidden="1" x14ac:dyDescent="0.3">
      <c r="A1392" s="22" t="s">
        <v>19</v>
      </c>
      <c r="B1392" s="21">
        <v>46042</v>
      </c>
      <c r="C1392" s="22" t="s">
        <v>9</v>
      </c>
      <c r="D1392" s="13" t="s">
        <v>8</v>
      </c>
      <c r="E1392" s="20" t="s">
        <v>206</v>
      </c>
      <c r="F1392" s="20" t="s">
        <v>695</v>
      </c>
      <c r="G1392" s="41">
        <v>46042</v>
      </c>
      <c r="H1392" s="41">
        <v>46042</v>
      </c>
      <c r="I1392" s="41">
        <v>46042</v>
      </c>
      <c r="J1392" s="41"/>
      <c r="K1392" s="45">
        <v>0.4375</v>
      </c>
      <c r="L1392" s="48">
        <v>0.5625</v>
      </c>
      <c r="M1392" s="11">
        <f t="shared" si="21"/>
        <v>3</v>
      </c>
      <c r="N1392" s="67" t="s">
        <v>0</v>
      </c>
      <c r="P1392" s="4"/>
      <c r="Q1392" s="4"/>
      <c r="R1392" s="4"/>
      <c r="S1392" s="4"/>
      <c r="T1392" s="4"/>
      <c r="U1392" s="4"/>
      <c r="V1392" s="4"/>
      <c r="W1392" s="4"/>
    </row>
    <row r="1393" spans="1:23" s="32" customFormat="1" hidden="1" x14ac:dyDescent="0.3">
      <c r="A1393" s="22" t="s">
        <v>19</v>
      </c>
      <c r="B1393" s="21">
        <v>46042</v>
      </c>
      <c r="C1393" s="22" t="s">
        <v>9</v>
      </c>
      <c r="D1393" s="13" t="s">
        <v>8</v>
      </c>
      <c r="E1393" s="20" t="s">
        <v>481</v>
      </c>
      <c r="F1393" s="20" t="s">
        <v>941</v>
      </c>
      <c r="G1393" s="41">
        <v>46042</v>
      </c>
      <c r="H1393" s="41">
        <v>46042</v>
      </c>
      <c r="I1393" s="17"/>
      <c r="J1393" s="17"/>
      <c r="K1393" s="48">
        <v>0.5625</v>
      </c>
      <c r="L1393" s="48">
        <v>0.72916666666666663</v>
      </c>
      <c r="M1393" s="11">
        <f t="shared" si="21"/>
        <v>3.9999999999999991</v>
      </c>
      <c r="N1393" s="87" t="s">
        <v>30</v>
      </c>
      <c r="P1393" s="4"/>
      <c r="Q1393" s="4"/>
      <c r="R1393" s="4"/>
      <c r="S1393" s="4"/>
      <c r="T1393" s="4"/>
      <c r="U1393" s="4"/>
      <c r="V1393" s="4"/>
      <c r="W1393" s="4"/>
    </row>
    <row r="1394" spans="1:23" s="32" customFormat="1" hidden="1" x14ac:dyDescent="0.3">
      <c r="A1394" s="11" t="s">
        <v>19</v>
      </c>
      <c r="B1394" s="17">
        <v>46042</v>
      </c>
      <c r="C1394" s="11" t="s">
        <v>942</v>
      </c>
      <c r="D1394" s="13" t="s">
        <v>27</v>
      </c>
      <c r="E1394" s="20" t="s">
        <v>943</v>
      </c>
      <c r="F1394" s="20" t="s">
        <v>944</v>
      </c>
      <c r="G1394" s="36">
        <v>46042</v>
      </c>
      <c r="H1394" s="36">
        <v>46042</v>
      </c>
      <c r="I1394" s="36">
        <v>46042</v>
      </c>
      <c r="J1394" s="36"/>
      <c r="K1394" s="49">
        <v>0.5625</v>
      </c>
      <c r="L1394" s="49">
        <v>0.5625</v>
      </c>
      <c r="M1394" s="11">
        <f t="shared" si="21"/>
        <v>0</v>
      </c>
      <c r="N1394" s="63" t="s">
        <v>0</v>
      </c>
      <c r="P1394" s="4"/>
      <c r="Q1394" s="4"/>
      <c r="R1394" s="4"/>
      <c r="S1394" s="4"/>
      <c r="T1394" s="4"/>
      <c r="U1394" s="4"/>
      <c r="V1394" s="4"/>
      <c r="W1394" s="4"/>
    </row>
    <row r="1395" spans="1:23" s="32" customFormat="1" hidden="1" x14ac:dyDescent="0.3">
      <c r="A1395" s="22" t="s">
        <v>20</v>
      </c>
      <c r="B1395" s="21">
        <v>46042</v>
      </c>
      <c r="C1395" s="22" t="s">
        <v>14</v>
      </c>
      <c r="D1395" s="233" t="s">
        <v>44</v>
      </c>
      <c r="E1395" s="233" t="s">
        <v>861</v>
      </c>
      <c r="F1395" s="238" t="s">
        <v>930</v>
      </c>
      <c r="G1395" s="259">
        <v>46042</v>
      </c>
      <c r="H1395" s="259">
        <v>46043</v>
      </c>
      <c r="I1395" s="259">
        <v>46043</v>
      </c>
      <c r="J1395" s="41"/>
      <c r="K1395" s="45">
        <v>0.27083333333333331</v>
      </c>
      <c r="L1395" s="48">
        <v>0.64583333333333337</v>
      </c>
      <c r="M1395" s="11">
        <f t="shared" si="21"/>
        <v>9.0000000000000018</v>
      </c>
      <c r="N1395" s="249" t="s">
        <v>0</v>
      </c>
      <c r="P1395" s="4"/>
      <c r="Q1395" s="4"/>
      <c r="R1395" s="4"/>
      <c r="S1395" s="4"/>
      <c r="T1395" s="4"/>
      <c r="U1395" s="4"/>
      <c r="V1395" s="4"/>
      <c r="W1395" s="4"/>
    </row>
    <row r="1396" spans="1:23" s="32" customFormat="1" hidden="1" x14ac:dyDescent="0.3">
      <c r="A1396" s="12" t="s">
        <v>20</v>
      </c>
      <c r="B1396" s="19">
        <v>46042</v>
      </c>
      <c r="C1396" s="86" t="s">
        <v>33</v>
      </c>
      <c r="D1396" s="215"/>
      <c r="E1396" s="215"/>
      <c r="F1396" s="248"/>
      <c r="G1396" s="267"/>
      <c r="H1396" s="267"/>
      <c r="I1396" s="267"/>
      <c r="J1396" s="37"/>
      <c r="K1396" s="46">
        <v>0.27083333333333331</v>
      </c>
      <c r="L1396" s="53">
        <v>0.64583333333333337</v>
      </c>
      <c r="M1396" s="11">
        <f t="shared" si="21"/>
        <v>9.0000000000000018</v>
      </c>
      <c r="N1396" s="225"/>
      <c r="P1396" s="4"/>
      <c r="Q1396" s="4"/>
      <c r="R1396" s="4"/>
      <c r="S1396" s="4"/>
      <c r="T1396" s="4"/>
      <c r="U1396" s="4"/>
      <c r="V1396" s="4"/>
      <c r="W1396" s="4"/>
    </row>
    <row r="1397" spans="1:23" s="32" customFormat="1" hidden="1" x14ac:dyDescent="0.3">
      <c r="A1397" s="22" t="s">
        <v>20</v>
      </c>
      <c r="B1397" s="21">
        <v>46042</v>
      </c>
      <c r="C1397" s="69" t="s">
        <v>444</v>
      </c>
      <c r="D1397" s="214" t="s">
        <v>44</v>
      </c>
      <c r="E1397" s="214" t="s">
        <v>931</v>
      </c>
      <c r="F1397" s="214" t="s">
        <v>932</v>
      </c>
      <c r="G1397" s="219">
        <v>46041</v>
      </c>
      <c r="H1397" s="219">
        <v>46053</v>
      </c>
      <c r="I1397" s="219">
        <v>46053</v>
      </c>
      <c r="J1397" s="17"/>
      <c r="K1397" s="47">
        <v>0.35416666666666669</v>
      </c>
      <c r="L1397" s="48">
        <v>0.72916666666666663</v>
      </c>
      <c r="M1397" s="11">
        <f t="shared" si="21"/>
        <v>8.9999999999999982</v>
      </c>
      <c r="N1397" s="224" t="s">
        <v>0</v>
      </c>
      <c r="P1397" s="4"/>
      <c r="Q1397" s="4"/>
      <c r="R1397" s="4"/>
      <c r="S1397" s="4"/>
      <c r="T1397" s="4"/>
      <c r="U1397" s="4"/>
      <c r="V1397" s="4"/>
      <c r="W1397" s="4"/>
    </row>
    <row r="1398" spans="1:23" s="32" customFormat="1" hidden="1" x14ac:dyDescent="0.3">
      <c r="A1398" s="22" t="s">
        <v>20</v>
      </c>
      <c r="B1398" s="21">
        <v>46042</v>
      </c>
      <c r="C1398" s="69" t="s">
        <v>421</v>
      </c>
      <c r="D1398" s="215"/>
      <c r="E1398" s="215"/>
      <c r="F1398" s="215"/>
      <c r="G1398" s="215"/>
      <c r="H1398" s="215"/>
      <c r="I1398" s="215"/>
      <c r="J1398" s="18"/>
      <c r="K1398" s="47">
        <v>0.35416666666666669</v>
      </c>
      <c r="L1398" s="48">
        <v>0.72916666666666663</v>
      </c>
      <c r="M1398" s="11">
        <f t="shared" si="21"/>
        <v>8.9999999999999982</v>
      </c>
      <c r="N1398" s="225"/>
      <c r="P1398" s="4"/>
      <c r="Q1398" s="4"/>
      <c r="R1398" s="4"/>
      <c r="S1398" s="4"/>
      <c r="T1398" s="4"/>
      <c r="U1398" s="4"/>
      <c r="V1398" s="4"/>
      <c r="W1398" s="4"/>
    </row>
    <row r="1399" spans="1:23" s="32" customFormat="1" hidden="1" x14ac:dyDescent="0.3">
      <c r="A1399" s="22" t="s">
        <v>20</v>
      </c>
      <c r="B1399" s="21">
        <v>46042</v>
      </c>
      <c r="C1399" s="69" t="s">
        <v>12</v>
      </c>
      <c r="D1399" s="11" t="s">
        <v>27</v>
      </c>
      <c r="E1399" s="18" t="s">
        <v>82</v>
      </c>
      <c r="F1399" s="73" t="s">
        <v>905</v>
      </c>
      <c r="G1399" s="36">
        <v>46042</v>
      </c>
      <c r="H1399" s="36">
        <v>46042</v>
      </c>
      <c r="I1399" s="36">
        <v>46042</v>
      </c>
      <c r="J1399" s="36"/>
      <c r="K1399" s="47">
        <v>0.27083333333333331</v>
      </c>
      <c r="L1399" s="48">
        <v>0.64583333333333337</v>
      </c>
      <c r="M1399" s="11">
        <f t="shared" si="21"/>
        <v>9.0000000000000018</v>
      </c>
      <c r="N1399" s="62" t="s">
        <v>0</v>
      </c>
      <c r="P1399" s="4"/>
      <c r="Q1399" s="4"/>
      <c r="R1399" s="4"/>
      <c r="S1399" s="4"/>
      <c r="T1399" s="4"/>
      <c r="U1399" s="4"/>
      <c r="V1399" s="4"/>
      <c r="W1399" s="4"/>
    </row>
    <row r="1400" spans="1:23" s="32" customFormat="1" hidden="1" x14ac:dyDescent="0.3">
      <c r="A1400" s="22" t="s">
        <v>20</v>
      </c>
      <c r="B1400" s="21">
        <v>46042</v>
      </c>
      <c r="C1400" s="22" t="s">
        <v>28</v>
      </c>
      <c r="D1400" s="13" t="s">
        <v>65</v>
      </c>
      <c r="E1400" s="13" t="s">
        <v>890</v>
      </c>
      <c r="F1400" s="26" t="s">
        <v>933</v>
      </c>
      <c r="G1400" s="21">
        <v>46038</v>
      </c>
      <c r="H1400" s="36">
        <v>46042</v>
      </c>
      <c r="I1400" s="36">
        <v>46042</v>
      </c>
      <c r="J1400" s="36"/>
      <c r="K1400" s="47">
        <v>0.27083333333333331</v>
      </c>
      <c r="L1400" s="48">
        <v>0.72916666666666663</v>
      </c>
      <c r="M1400" s="11">
        <f t="shared" si="21"/>
        <v>11</v>
      </c>
      <c r="N1400" s="42" t="s">
        <v>0</v>
      </c>
      <c r="P1400" s="4"/>
      <c r="Q1400" s="4"/>
      <c r="R1400" s="4"/>
      <c r="S1400" s="4"/>
      <c r="T1400" s="4"/>
      <c r="U1400" s="4"/>
      <c r="V1400" s="4"/>
      <c r="W1400" s="4"/>
    </row>
    <row r="1401" spans="1:23" s="32" customFormat="1" hidden="1" x14ac:dyDescent="0.3">
      <c r="A1401" s="22" t="s">
        <v>20</v>
      </c>
      <c r="B1401" s="21">
        <v>46042</v>
      </c>
      <c r="C1401" s="22" t="s">
        <v>15</v>
      </c>
      <c r="D1401" s="216" t="s">
        <v>65</v>
      </c>
      <c r="E1401" s="216" t="s">
        <v>854</v>
      </c>
      <c r="F1401" s="243" t="s">
        <v>935</v>
      </c>
      <c r="G1401" s="219">
        <v>46041</v>
      </c>
      <c r="H1401" s="219">
        <v>46042</v>
      </c>
      <c r="I1401" s="219">
        <v>46042</v>
      </c>
      <c r="J1401" s="17"/>
      <c r="K1401" s="47">
        <v>0.35416666666666669</v>
      </c>
      <c r="L1401" s="48">
        <v>0.72916666666666663</v>
      </c>
      <c r="M1401" s="11">
        <f t="shared" si="21"/>
        <v>8.9999999999999982</v>
      </c>
      <c r="N1401" s="231" t="s">
        <v>0</v>
      </c>
      <c r="P1401" s="4"/>
      <c r="Q1401" s="4"/>
      <c r="R1401" s="4"/>
      <c r="S1401" s="4"/>
      <c r="T1401" s="4"/>
      <c r="U1401" s="4"/>
      <c r="V1401" s="4"/>
      <c r="W1401" s="4"/>
    </row>
    <row r="1402" spans="1:23" s="32" customFormat="1" hidden="1" x14ac:dyDescent="0.3">
      <c r="A1402" s="22" t="s">
        <v>20</v>
      </c>
      <c r="B1402" s="21">
        <v>46042</v>
      </c>
      <c r="C1402" s="22" t="s">
        <v>31</v>
      </c>
      <c r="D1402" s="217"/>
      <c r="E1402" s="217"/>
      <c r="F1402" s="244"/>
      <c r="G1402" s="220"/>
      <c r="H1402" s="220"/>
      <c r="I1402" s="220"/>
      <c r="J1402" s="23"/>
      <c r="K1402" s="47">
        <v>0.54166666666666663</v>
      </c>
      <c r="L1402" s="48">
        <v>0.58333333333333337</v>
      </c>
      <c r="M1402" s="11">
        <f t="shared" si="21"/>
        <v>1.0000000000000018</v>
      </c>
      <c r="N1402" s="225"/>
      <c r="P1402" s="4"/>
      <c r="Q1402" s="4"/>
      <c r="R1402" s="4"/>
      <c r="S1402" s="4"/>
      <c r="T1402" s="4"/>
      <c r="U1402" s="4"/>
      <c r="V1402" s="4"/>
      <c r="W1402" s="4"/>
    </row>
    <row r="1403" spans="1:23" s="32" customFormat="1" hidden="1" x14ac:dyDescent="0.3">
      <c r="A1403" s="22" t="s">
        <v>20</v>
      </c>
      <c r="B1403" s="21">
        <v>46042</v>
      </c>
      <c r="C1403" s="22" t="s">
        <v>167</v>
      </c>
      <c r="D1403" s="216" t="s">
        <v>65</v>
      </c>
      <c r="E1403" s="216" t="s">
        <v>784</v>
      </c>
      <c r="F1403" s="243" t="s">
        <v>934</v>
      </c>
      <c r="G1403" s="219">
        <v>46041</v>
      </c>
      <c r="H1403" s="219">
        <v>46042</v>
      </c>
      <c r="I1403" s="219"/>
      <c r="J1403" s="17"/>
      <c r="K1403" s="47">
        <v>0.27083333333333331</v>
      </c>
      <c r="L1403" s="45">
        <v>0.4375</v>
      </c>
      <c r="M1403" s="11">
        <f t="shared" si="21"/>
        <v>4</v>
      </c>
      <c r="N1403" s="230" t="s">
        <v>1</v>
      </c>
      <c r="P1403" s="4"/>
      <c r="Q1403" s="4"/>
      <c r="R1403" s="4"/>
      <c r="S1403" s="4"/>
      <c r="T1403" s="4"/>
      <c r="U1403" s="4"/>
      <c r="V1403" s="4"/>
      <c r="W1403" s="4"/>
    </row>
    <row r="1404" spans="1:23" s="32" customFormat="1" hidden="1" x14ac:dyDescent="0.3">
      <c r="A1404" s="22" t="s">
        <v>20</v>
      </c>
      <c r="B1404" s="21">
        <v>46042</v>
      </c>
      <c r="C1404" s="22" t="s">
        <v>31</v>
      </c>
      <c r="D1404" s="217"/>
      <c r="E1404" s="217"/>
      <c r="F1404" s="244"/>
      <c r="G1404" s="220"/>
      <c r="H1404" s="220"/>
      <c r="I1404" s="220"/>
      <c r="J1404" s="23"/>
      <c r="K1404" s="47">
        <v>0.35416666666666669</v>
      </c>
      <c r="L1404" s="45">
        <v>0.4375</v>
      </c>
      <c r="M1404" s="11">
        <f t="shared" si="21"/>
        <v>1.9999999999999996</v>
      </c>
      <c r="N1404" s="228"/>
      <c r="P1404" s="4"/>
      <c r="Q1404" s="4"/>
      <c r="R1404" s="4"/>
      <c r="S1404" s="4"/>
      <c r="T1404" s="4"/>
      <c r="U1404" s="4"/>
      <c r="V1404" s="4"/>
      <c r="W1404" s="4"/>
    </row>
    <row r="1405" spans="1:23" s="32" customFormat="1" hidden="1" x14ac:dyDescent="0.3">
      <c r="A1405" s="22" t="s">
        <v>20</v>
      </c>
      <c r="B1405" s="21">
        <v>46042</v>
      </c>
      <c r="C1405" s="22" t="s">
        <v>16</v>
      </c>
      <c r="D1405" s="216" t="s">
        <v>65</v>
      </c>
      <c r="E1405" s="214" t="s">
        <v>936</v>
      </c>
      <c r="F1405" s="243" t="s">
        <v>937</v>
      </c>
      <c r="G1405" s="219">
        <v>46042</v>
      </c>
      <c r="H1405" s="219">
        <v>46042</v>
      </c>
      <c r="I1405" s="219">
        <v>46042</v>
      </c>
      <c r="J1405" s="17"/>
      <c r="K1405" s="47">
        <v>0.27083333333333331</v>
      </c>
      <c r="L1405" s="48">
        <v>0.72916666666666663</v>
      </c>
      <c r="M1405" s="11">
        <f t="shared" si="21"/>
        <v>11</v>
      </c>
      <c r="N1405" s="227" t="s">
        <v>0</v>
      </c>
      <c r="P1405" s="4"/>
      <c r="Q1405" s="4"/>
      <c r="R1405" s="4"/>
      <c r="S1405" s="4"/>
      <c r="T1405" s="4"/>
      <c r="U1405" s="4"/>
      <c r="V1405" s="4"/>
      <c r="W1405" s="4"/>
    </row>
    <row r="1406" spans="1:23" s="32" customFormat="1" hidden="1" x14ac:dyDescent="0.3">
      <c r="A1406" s="22" t="s">
        <v>20</v>
      </c>
      <c r="B1406" s="21">
        <v>46042</v>
      </c>
      <c r="C1406" s="22" t="s">
        <v>31</v>
      </c>
      <c r="D1406" s="217"/>
      <c r="E1406" s="215"/>
      <c r="F1406" s="244"/>
      <c r="G1406" s="220"/>
      <c r="H1406" s="220"/>
      <c r="I1406" s="220"/>
      <c r="J1406" s="23"/>
      <c r="K1406" s="47">
        <v>0.4375</v>
      </c>
      <c r="L1406" s="48">
        <v>0.5</v>
      </c>
      <c r="M1406" s="11">
        <f t="shared" si="21"/>
        <v>1.5</v>
      </c>
      <c r="N1406" s="228"/>
      <c r="P1406" s="4"/>
      <c r="Q1406" s="4"/>
      <c r="R1406" s="4"/>
      <c r="S1406" s="4"/>
      <c r="T1406" s="4"/>
      <c r="U1406" s="4"/>
      <c r="V1406" s="4"/>
      <c r="W1406" s="4"/>
    </row>
    <row r="1407" spans="1:23" s="32" customFormat="1" hidden="1" x14ac:dyDescent="0.3">
      <c r="A1407" s="22" t="s">
        <v>20</v>
      </c>
      <c r="B1407" s="21">
        <v>46042</v>
      </c>
      <c r="C1407" s="69" t="s">
        <v>47</v>
      </c>
      <c r="D1407" s="221" t="s">
        <v>65</v>
      </c>
      <c r="E1407" s="233" t="s">
        <v>919</v>
      </c>
      <c r="F1407" s="245" t="s">
        <v>938</v>
      </c>
      <c r="G1407" s="219">
        <v>46042</v>
      </c>
      <c r="H1407" s="219">
        <v>46042</v>
      </c>
      <c r="I1407" s="219">
        <v>46042</v>
      </c>
      <c r="J1407" s="17"/>
      <c r="K1407" s="47">
        <v>0.27083333333333331</v>
      </c>
      <c r="L1407" s="47">
        <v>0.35416666666666669</v>
      </c>
      <c r="M1407" s="11">
        <f t="shared" si="21"/>
        <v>2.0000000000000009</v>
      </c>
      <c r="N1407" s="227" t="s">
        <v>0</v>
      </c>
      <c r="P1407" s="4"/>
      <c r="Q1407" s="4"/>
      <c r="R1407" s="4"/>
      <c r="S1407" s="4"/>
      <c r="T1407" s="4"/>
      <c r="U1407" s="4"/>
      <c r="V1407" s="4"/>
      <c r="W1407" s="4"/>
    </row>
    <row r="1408" spans="1:23" s="32" customFormat="1" hidden="1" x14ac:dyDescent="0.3">
      <c r="A1408" s="22" t="s">
        <v>20</v>
      </c>
      <c r="B1408" s="21">
        <v>46042</v>
      </c>
      <c r="C1408" s="69" t="s">
        <v>31</v>
      </c>
      <c r="D1408" s="221"/>
      <c r="E1408" s="233"/>
      <c r="F1408" s="245"/>
      <c r="G1408" s="220"/>
      <c r="H1408" s="220"/>
      <c r="I1408" s="220"/>
      <c r="J1408" s="19"/>
      <c r="K1408" s="45">
        <v>0.58333333333333337</v>
      </c>
      <c r="L1408" s="48">
        <v>0.66666666666666663</v>
      </c>
      <c r="M1408" s="11">
        <f t="shared" si="21"/>
        <v>1.9999999999999982</v>
      </c>
      <c r="N1408" s="228"/>
      <c r="P1408" s="4"/>
      <c r="Q1408" s="4"/>
      <c r="R1408" s="4"/>
      <c r="S1408" s="4"/>
      <c r="T1408" s="4"/>
      <c r="U1408" s="4"/>
      <c r="V1408" s="4"/>
      <c r="W1408" s="4"/>
    </row>
    <row r="1409" spans="1:23" s="32" customFormat="1" hidden="1" x14ac:dyDescent="0.3">
      <c r="A1409" s="22" t="s">
        <v>20</v>
      </c>
      <c r="B1409" s="21">
        <v>46042</v>
      </c>
      <c r="C1409" s="69" t="s">
        <v>47</v>
      </c>
      <c r="D1409" s="24" t="s">
        <v>65</v>
      </c>
      <c r="E1409" s="22" t="s">
        <v>939</v>
      </c>
      <c r="F1409" s="25" t="s">
        <v>940</v>
      </c>
      <c r="G1409" s="30">
        <v>46042</v>
      </c>
      <c r="H1409" s="30">
        <v>46042</v>
      </c>
      <c r="I1409" s="30">
        <v>46042</v>
      </c>
      <c r="J1409" s="30"/>
      <c r="K1409" s="45">
        <v>0.35416666666666669</v>
      </c>
      <c r="L1409" s="48">
        <v>0.72916666666666663</v>
      </c>
      <c r="M1409" s="11">
        <f t="shared" si="21"/>
        <v>8.9999999999999982</v>
      </c>
      <c r="N1409" s="22" t="s">
        <v>0</v>
      </c>
      <c r="P1409" s="4"/>
      <c r="Q1409" s="4"/>
      <c r="R1409" s="4"/>
      <c r="S1409" s="4"/>
      <c r="T1409" s="4"/>
      <c r="U1409" s="4"/>
      <c r="V1409" s="4"/>
      <c r="W1409" s="4"/>
    </row>
    <row r="1410" spans="1:23" s="32" customFormat="1" ht="15.6" hidden="1" x14ac:dyDescent="0.3">
      <c r="A1410" s="40" t="s">
        <v>21</v>
      </c>
      <c r="B1410" s="21">
        <v>46043</v>
      </c>
      <c r="C1410" s="40" t="s">
        <v>26</v>
      </c>
      <c r="D1410" s="40" t="s">
        <v>24</v>
      </c>
      <c r="E1410" s="40" t="s">
        <v>945</v>
      </c>
      <c r="F1410" s="84" t="s">
        <v>946</v>
      </c>
      <c r="G1410" s="41">
        <v>46043</v>
      </c>
      <c r="H1410" s="41">
        <v>46046</v>
      </c>
      <c r="I1410" s="85"/>
      <c r="J1410" s="85"/>
      <c r="K1410" s="51">
        <v>0.27083333333333331</v>
      </c>
      <c r="L1410" s="51">
        <v>0.64583333333333337</v>
      </c>
      <c r="M1410" s="11">
        <f t="shared" ref="M1410:M1473" si="22">MOD(L1410-K1410,1)*24</f>
        <v>9.0000000000000018</v>
      </c>
      <c r="N1410" s="67" t="s">
        <v>1</v>
      </c>
      <c r="P1410" s="4"/>
      <c r="Q1410" s="4"/>
      <c r="R1410" s="4"/>
      <c r="S1410" s="4"/>
      <c r="T1410" s="4"/>
      <c r="U1410" s="4"/>
      <c r="V1410" s="4"/>
      <c r="W1410" s="4"/>
    </row>
    <row r="1411" spans="1:23" s="32" customFormat="1" ht="15.6" hidden="1" x14ac:dyDescent="0.3">
      <c r="A1411" s="40" t="s">
        <v>21</v>
      </c>
      <c r="B1411" s="21">
        <v>46043</v>
      </c>
      <c r="C1411" s="40" t="s">
        <v>50</v>
      </c>
      <c r="D1411" s="40" t="s">
        <v>24</v>
      </c>
      <c r="E1411" s="40" t="s">
        <v>744</v>
      </c>
      <c r="F1411" s="84" t="s">
        <v>947</v>
      </c>
      <c r="G1411" s="41">
        <v>46043</v>
      </c>
      <c r="H1411" s="41">
        <v>46043</v>
      </c>
      <c r="I1411" s="85"/>
      <c r="J1411" s="85"/>
      <c r="K1411" s="51">
        <v>0.35416666666666669</v>
      </c>
      <c r="L1411" s="51">
        <v>0.72916666666666663</v>
      </c>
      <c r="M1411" s="11">
        <f t="shared" si="22"/>
        <v>8.9999999999999982</v>
      </c>
      <c r="N1411" s="67" t="s">
        <v>30</v>
      </c>
      <c r="P1411" s="4"/>
      <c r="Q1411" s="4"/>
      <c r="R1411" s="4"/>
      <c r="S1411" s="4"/>
      <c r="T1411" s="4"/>
      <c r="U1411" s="4"/>
      <c r="V1411" s="4"/>
      <c r="W1411" s="4"/>
    </row>
    <row r="1412" spans="1:23" s="32" customFormat="1" hidden="1" x14ac:dyDescent="0.3">
      <c r="A1412" s="40" t="s">
        <v>21</v>
      </c>
      <c r="B1412" s="21">
        <v>46043</v>
      </c>
      <c r="C1412" s="40" t="s">
        <v>830</v>
      </c>
      <c r="D1412" s="40" t="s">
        <v>24</v>
      </c>
      <c r="E1412" s="40" t="s">
        <v>948</v>
      </c>
      <c r="F1412" s="84" t="s">
        <v>946</v>
      </c>
      <c r="G1412" s="41">
        <v>46043</v>
      </c>
      <c r="H1412" s="41">
        <v>46046</v>
      </c>
      <c r="I1412" s="41"/>
      <c r="J1412" s="41"/>
      <c r="K1412" s="51">
        <v>0.35416666666666669</v>
      </c>
      <c r="L1412" s="51">
        <v>0.72916666666666663</v>
      </c>
      <c r="M1412" s="11">
        <f t="shared" si="22"/>
        <v>8.9999999999999982</v>
      </c>
      <c r="N1412" s="67" t="s">
        <v>1</v>
      </c>
      <c r="P1412" s="4"/>
      <c r="Q1412" s="4"/>
      <c r="R1412" s="4"/>
      <c r="S1412" s="4"/>
      <c r="T1412" s="4"/>
      <c r="U1412" s="4"/>
      <c r="V1412" s="4"/>
      <c r="W1412" s="4"/>
    </row>
    <row r="1413" spans="1:23" s="32" customFormat="1" hidden="1" x14ac:dyDescent="0.3">
      <c r="A1413" s="40" t="s">
        <v>21</v>
      </c>
      <c r="B1413" s="21">
        <v>46043</v>
      </c>
      <c r="C1413" s="40" t="s">
        <v>274</v>
      </c>
      <c r="D1413" s="260" t="s">
        <v>8</v>
      </c>
      <c r="E1413" s="260" t="s">
        <v>908</v>
      </c>
      <c r="F1413" s="261" t="s">
        <v>346</v>
      </c>
      <c r="G1413" s="259">
        <v>46043</v>
      </c>
      <c r="H1413" s="259">
        <v>46043</v>
      </c>
      <c r="I1413" s="259">
        <v>46043</v>
      </c>
      <c r="J1413" s="41"/>
      <c r="K1413" s="51">
        <v>0.27083333333333331</v>
      </c>
      <c r="L1413" s="51">
        <v>0.72916666666666663</v>
      </c>
      <c r="M1413" s="11">
        <f t="shared" si="22"/>
        <v>11</v>
      </c>
      <c r="N1413" s="254" t="s">
        <v>0</v>
      </c>
      <c r="P1413" s="4"/>
      <c r="Q1413" s="4"/>
      <c r="R1413" s="4"/>
      <c r="S1413" s="4"/>
      <c r="T1413" s="4"/>
      <c r="U1413" s="4"/>
      <c r="V1413" s="4"/>
      <c r="W1413" s="4"/>
    </row>
    <row r="1414" spans="1:23" s="32" customFormat="1" hidden="1" x14ac:dyDescent="0.3">
      <c r="A1414" s="40" t="s">
        <v>21</v>
      </c>
      <c r="B1414" s="21">
        <v>46043</v>
      </c>
      <c r="C1414" s="40" t="s">
        <v>18</v>
      </c>
      <c r="D1414" s="260"/>
      <c r="E1414" s="260"/>
      <c r="F1414" s="261"/>
      <c r="G1414" s="259"/>
      <c r="H1414" s="259"/>
      <c r="I1414" s="259"/>
      <c r="J1414" s="41"/>
      <c r="K1414" s="51">
        <v>0.27083333333333331</v>
      </c>
      <c r="L1414" s="51">
        <v>0.72916666666666663</v>
      </c>
      <c r="M1414" s="11">
        <f t="shared" si="22"/>
        <v>11</v>
      </c>
      <c r="N1414" s="254"/>
      <c r="P1414" s="4"/>
      <c r="Q1414" s="4"/>
      <c r="R1414" s="4"/>
      <c r="S1414" s="4"/>
      <c r="T1414" s="4"/>
      <c r="U1414" s="4"/>
      <c r="V1414" s="4"/>
      <c r="W1414" s="4"/>
    </row>
    <row r="1415" spans="1:23" s="32" customFormat="1" hidden="1" x14ac:dyDescent="0.3">
      <c r="A1415" s="40" t="s">
        <v>21</v>
      </c>
      <c r="B1415" s="21">
        <v>46043</v>
      </c>
      <c r="C1415" s="40" t="s">
        <v>771</v>
      </c>
      <c r="D1415" s="40" t="s">
        <v>43</v>
      </c>
      <c r="E1415" s="40" t="s">
        <v>949</v>
      </c>
      <c r="F1415" s="84" t="s">
        <v>349</v>
      </c>
      <c r="G1415" s="41">
        <v>46043</v>
      </c>
      <c r="H1415" s="41">
        <v>46043</v>
      </c>
      <c r="I1415" s="41">
        <v>46043</v>
      </c>
      <c r="J1415" s="41"/>
      <c r="K1415" s="51">
        <v>0.27083333333333331</v>
      </c>
      <c r="L1415" s="51">
        <v>0.64583333333333337</v>
      </c>
      <c r="M1415" s="11">
        <f t="shared" si="22"/>
        <v>9.0000000000000018</v>
      </c>
      <c r="N1415" s="42" t="s">
        <v>0</v>
      </c>
      <c r="P1415" s="4"/>
      <c r="Q1415" s="4"/>
      <c r="R1415" s="4"/>
      <c r="S1415" s="4"/>
      <c r="T1415" s="4"/>
      <c r="U1415" s="4"/>
      <c r="V1415" s="4"/>
      <c r="W1415" s="4"/>
    </row>
    <row r="1416" spans="1:23" s="32" customFormat="1" hidden="1" x14ac:dyDescent="0.3">
      <c r="A1416" s="40" t="s">
        <v>21</v>
      </c>
      <c r="B1416" s="21">
        <v>46043</v>
      </c>
      <c r="C1416" s="40" t="s">
        <v>56</v>
      </c>
      <c r="D1416" s="10" t="s">
        <v>43</v>
      </c>
      <c r="E1416" s="10" t="s">
        <v>950</v>
      </c>
      <c r="F1416" s="38" t="s">
        <v>884</v>
      </c>
      <c r="G1416" s="36">
        <v>46043</v>
      </c>
      <c r="H1416" s="36">
        <v>46045</v>
      </c>
      <c r="I1416" s="36"/>
      <c r="J1416" s="36"/>
      <c r="K1416" s="51">
        <v>0.27083333333333331</v>
      </c>
      <c r="L1416" s="51">
        <v>0.64583333333333337</v>
      </c>
      <c r="M1416" s="11">
        <f t="shared" si="22"/>
        <v>9.0000000000000018</v>
      </c>
      <c r="N1416" s="63" t="s">
        <v>1</v>
      </c>
      <c r="P1416" s="4"/>
      <c r="Q1416" s="4"/>
      <c r="R1416" s="4"/>
      <c r="S1416" s="4"/>
      <c r="T1416" s="4"/>
      <c r="U1416" s="4"/>
      <c r="V1416" s="4"/>
      <c r="W1416" s="4"/>
    </row>
    <row r="1417" spans="1:23" s="32" customFormat="1" hidden="1" x14ac:dyDescent="0.3">
      <c r="A1417" s="40" t="s">
        <v>21</v>
      </c>
      <c r="B1417" s="21">
        <v>46043</v>
      </c>
      <c r="C1417" s="40" t="s">
        <v>118</v>
      </c>
      <c r="D1417" s="40" t="s">
        <v>54</v>
      </c>
      <c r="E1417" s="40" t="s">
        <v>688</v>
      </c>
      <c r="F1417" s="40" t="s">
        <v>926</v>
      </c>
      <c r="G1417" s="36">
        <v>46043</v>
      </c>
      <c r="H1417" s="36">
        <v>46043</v>
      </c>
      <c r="I1417" s="36">
        <v>46043</v>
      </c>
      <c r="J1417" s="36"/>
      <c r="K1417" s="51">
        <v>0.35416666666666669</v>
      </c>
      <c r="L1417" s="51">
        <v>0.72916666666666663</v>
      </c>
      <c r="M1417" s="11">
        <f t="shared" si="22"/>
        <v>8.9999999999999982</v>
      </c>
      <c r="N1417" s="67" t="s">
        <v>0</v>
      </c>
      <c r="P1417" s="4"/>
      <c r="Q1417" s="4"/>
      <c r="R1417" s="4"/>
      <c r="S1417" s="4"/>
      <c r="T1417" s="4"/>
      <c r="U1417" s="4"/>
      <c r="V1417" s="4"/>
      <c r="W1417" s="4"/>
    </row>
    <row r="1418" spans="1:23" s="32" customFormat="1" hidden="1" x14ac:dyDescent="0.3">
      <c r="A1418" s="40" t="s">
        <v>21</v>
      </c>
      <c r="B1418" s="21">
        <v>46043</v>
      </c>
      <c r="C1418" s="40" t="s">
        <v>34</v>
      </c>
      <c r="D1418" s="40" t="s">
        <v>54</v>
      </c>
      <c r="E1418" s="40" t="s">
        <v>688</v>
      </c>
      <c r="F1418" s="40" t="s">
        <v>952</v>
      </c>
      <c r="G1418" s="36">
        <v>46043</v>
      </c>
      <c r="H1418" s="36">
        <v>46043</v>
      </c>
      <c r="I1418" s="36">
        <v>46043</v>
      </c>
      <c r="J1418" s="36"/>
      <c r="K1418" s="51">
        <v>0.35416666666666669</v>
      </c>
      <c r="L1418" s="51">
        <v>0.54166666666666663</v>
      </c>
      <c r="M1418" s="11">
        <f t="shared" si="22"/>
        <v>4.4999999999999982</v>
      </c>
      <c r="N1418" s="67" t="s">
        <v>0</v>
      </c>
      <c r="P1418" s="4"/>
      <c r="Q1418" s="4"/>
      <c r="R1418" s="4"/>
      <c r="S1418" s="4"/>
      <c r="T1418" s="4"/>
      <c r="U1418" s="4"/>
      <c r="V1418" s="4"/>
      <c r="W1418" s="4"/>
    </row>
    <row r="1419" spans="1:23" s="32" customFormat="1" hidden="1" x14ac:dyDescent="0.3">
      <c r="A1419" s="40" t="s">
        <v>21</v>
      </c>
      <c r="B1419" s="21">
        <v>46043</v>
      </c>
      <c r="C1419" s="40" t="s">
        <v>25</v>
      </c>
      <c r="D1419" s="10" t="s">
        <v>43</v>
      </c>
      <c r="E1419" s="10" t="s">
        <v>951</v>
      </c>
      <c r="F1419" s="10" t="s">
        <v>349</v>
      </c>
      <c r="G1419" s="36">
        <v>46043</v>
      </c>
      <c r="H1419" s="36">
        <v>46043</v>
      </c>
      <c r="I1419" s="41"/>
      <c r="J1419" s="41"/>
      <c r="K1419" s="51">
        <v>0.27083333333333331</v>
      </c>
      <c r="L1419" s="51">
        <v>0.64583333333333337</v>
      </c>
      <c r="M1419" s="11">
        <f t="shared" si="22"/>
        <v>9.0000000000000018</v>
      </c>
      <c r="N1419" s="63" t="s">
        <v>1</v>
      </c>
      <c r="P1419" s="4"/>
      <c r="Q1419" s="4"/>
      <c r="R1419" s="4"/>
      <c r="S1419" s="4"/>
      <c r="T1419" s="4"/>
      <c r="U1419" s="4"/>
      <c r="V1419" s="4"/>
      <c r="W1419" s="4"/>
    </row>
    <row r="1420" spans="1:23" s="32" customFormat="1" hidden="1" x14ac:dyDescent="0.3">
      <c r="A1420" s="40" t="s">
        <v>21</v>
      </c>
      <c r="B1420" s="21">
        <v>46043</v>
      </c>
      <c r="C1420" s="40" t="s">
        <v>55</v>
      </c>
      <c r="D1420" s="10" t="s">
        <v>43</v>
      </c>
      <c r="E1420" s="10" t="s">
        <v>927</v>
      </c>
      <c r="F1420" s="10" t="s">
        <v>884</v>
      </c>
      <c r="G1420" s="36">
        <v>46043</v>
      </c>
      <c r="H1420" s="36">
        <v>46045</v>
      </c>
      <c r="I1420" s="41"/>
      <c r="J1420" s="41"/>
      <c r="K1420" s="51">
        <v>0.27083333333333331</v>
      </c>
      <c r="L1420" s="51">
        <v>0.64583333333333337</v>
      </c>
      <c r="M1420" s="11">
        <f t="shared" si="22"/>
        <v>9.0000000000000018</v>
      </c>
      <c r="N1420" s="63" t="s">
        <v>1</v>
      </c>
      <c r="P1420" s="4"/>
      <c r="Q1420" s="4"/>
      <c r="R1420" s="4"/>
      <c r="S1420" s="4"/>
      <c r="T1420" s="4"/>
      <c r="U1420" s="4"/>
      <c r="V1420" s="4"/>
      <c r="W1420" s="4"/>
    </row>
    <row r="1421" spans="1:23" s="32" customFormat="1" hidden="1" x14ac:dyDescent="0.3">
      <c r="A1421" s="40" t="s">
        <v>21</v>
      </c>
      <c r="B1421" s="21">
        <v>46043</v>
      </c>
      <c r="C1421" s="40" t="s">
        <v>320</v>
      </c>
      <c r="D1421" s="10" t="s">
        <v>43</v>
      </c>
      <c r="E1421" s="10" t="s">
        <v>953</v>
      </c>
      <c r="F1421" s="10" t="s">
        <v>349</v>
      </c>
      <c r="G1421" s="36">
        <v>46043</v>
      </c>
      <c r="H1421" s="36">
        <v>46043</v>
      </c>
      <c r="I1421" s="41"/>
      <c r="J1421" s="41"/>
      <c r="K1421" s="51">
        <v>0.35416666666666669</v>
      </c>
      <c r="L1421" s="51">
        <v>0.72916666666666663</v>
      </c>
      <c r="M1421" s="11">
        <f t="shared" si="22"/>
        <v>8.9999999999999982</v>
      </c>
      <c r="N1421" s="63" t="s">
        <v>1</v>
      </c>
      <c r="P1421" s="4"/>
      <c r="Q1421" s="4"/>
      <c r="R1421" s="4"/>
      <c r="S1421" s="4"/>
      <c r="T1421" s="4"/>
      <c r="U1421" s="4"/>
      <c r="V1421" s="4"/>
      <c r="W1421" s="4"/>
    </row>
    <row r="1422" spans="1:23" s="32" customFormat="1" hidden="1" x14ac:dyDescent="0.3">
      <c r="A1422" s="22" t="s">
        <v>19</v>
      </c>
      <c r="B1422" s="21">
        <v>46043</v>
      </c>
      <c r="C1422" s="22" t="s">
        <v>7</v>
      </c>
      <c r="D1422" s="216" t="s">
        <v>8</v>
      </c>
      <c r="E1422" s="216" t="s">
        <v>682</v>
      </c>
      <c r="F1422" s="216" t="s">
        <v>957</v>
      </c>
      <c r="G1422" s="266">
        <v>46043</v>
      </c>
      <c r="H1422" s="266">
        <v>46043</v>
      </c>
      <c r="I1422" s="41"/>
      <c r="J1422" s="41"/>
      <c r="K1422" s="51">
        <v>0.27083333333333331</v>
      </c>
      <c r="L1422" s="51">
        <v>0.64583333333333337</v>
      </c>
      <c r="M1422" s="11">
        <f t="shared" si="22"/>
        <v>9.0000000000000018</v>
      </c>
      <c r="N1422" s="227" t="s">
        <v>1</v>
      </c>
      <c r="P1422" s="4"/>
      <c r="Q1422" s="4"/>
      <c r="R1422" s="4"/>
      <c r="S1422" s="4"/>
      <c r="T1422" s="4"/>
      <c r="U1422" s="4"/>
      <c r="V1422" s="4"/>
      <c r="W1422" s="4"/>
    </row>
    <row r="1423" spans="1:23" s="32" customFormat="1" hidden="1" x14ac:dyDescent="0.3">
      <c r="A1423" s="22" t="s">
        <v>19</v>
      </c>
      <c r="B1423" s="21">
        <v>46043</v>
      </c>
      <c r="C1423" s="22" t="s">
        <v>208</v>
      </c>
      <c r="D1423" s="217"/>
      <c r="E1423" s="217"/>
      <c r="F1423" s="217"/>
      <c r="G1423" s="267"/>
      <c r="H1423" s="267"/>
      <c r="I1423" s="36"/>
      <c r="J1423" s="36"/>
      <c r="K1423" s="51">
        <v>0.27083333333333331</v>
      </c>
      <c r="L1423" s="48">
        <v>0.35416666666666669</v>
      </c>
      <c r="M1423" s="11">
        <f t="shared" si="22"/>
        <v>2.0000000000000009</v>
      </c>
      <c r="N1423" s="228"/>
      <c r="P1423" s="4"/>
      <c r="Q1423" s="4"/>
      <c r="R1423" s="4"/>
      <c r="S1423" s="4"/>
      <c r="T1423" s="4"/>
      <c r="U1423" s="4"/>
      <c r="V1423" s="4"/>
      <c r="W1423" s="4"/>
    </row>
    <row r="1424" spans="1:23" s="32" customFormat="1" hidden="1" x14ac:dyDescent="0.3">
      <c r="A1424" s="22" t="s">
        <v>19</v>
      </c>
      <c r="B1424" s="21">
        <v>46043</v>
      </c>
      <c r="C1424" s="22" t="s">
        <v>208</v>
      </c>
      <c r="D1424" s="216" t="s">
        <v>8</v>
      </c>
      <c r="E1424" s="216" t="s">
        <v>958</v>
      </c>
      <c r="F1424" s="216" t="s">
        <v>941</v>
      </c>
      <c r="G1424" s="266">
        <v>46043</v>
      </c>
      <c r="H1424" s="266">
        <v>46043</v>
      </c>
      <c r="I1424" s="17"/>
      <c r="J1424" s="17"/>
      <c r="K1424" s="51">
        <v>0.35416666666666669</v>
      </c>
      <c r="L1424" s="48">
        <v>0.4375</v>
      </c>
      <c r="M1424" s="11">
        <f t="shared" si="22"/>
        <v>1.9999999999999996</v>
      </c>
      <c r="N1424" s="246" t="s">
        <v>30</v>
      </c>
      <c r="P1424" s="4"/>
      <c r="Q1424" s="4"/>
      <c r="R1424" s="4"/>
      <c r="S1424" s="4"/>
      <c r="T1424" s="4"/>
      <c r="U1424" s="4"/>
      <c r="V1424" s="4"/>
      <c r="W1424" s="4"/>
    </row>
    <row r="1425" spans="1:23" s="32" customFormat="1" hidden="1" x14ac:dyDescent="0.3">
      <c r="A1425" s="22" t="s">
        <v>19</v>
      </c>
      <c r="B1425" s="21">
        <v>46043</v>
      </c>
      <c r="C1425" s="22" t="s">
        <v>9</v>
      </c>
      <c r="D1425" s="217"/>
      <c r="E1425" s="222"/>
      <c r="F1425" s="222"/>
      <c r="G1425" s="267"/>
      <c r="H1425" s="267"/>
      <c r="I1425" s="41"/>
      <c r="J1425" s="41"/>
      <c r="K1425" s="51">
        <v>0.35416666666666669</v>
      </c>
      <c r="L1425" s="48">
        <v>0.4375</v>
      </c>
      <c r="M1425" s="11">
        <f t="shared" si="22"/>
        <v>1.9999999999999996</v>
      </c>
      <c r="N1425" s="247"/>
      <c r="P1425" s="4"/>
      <c r="Q1425" s="4"/>
      <c r="R1425" s="4"/>
      <c r="S1425" s="4"/>
      <c r="T1425" s="4"/>
      <c r="U1425" s="4"/>
      <c r="V1425" s="4"/>
      <c r="W1425" s="4"/>
    </row>
    <row r="1426" spans="1:23" s="32" customFormat="1" hidden="1" x14ac:dyDescent="0.3">
      <c r="A1426" s="22" t="s">
        <v>19</v>
      </c>
      <c r="B1426" s="21">
        <v>46043</v>
      </c>
      <c r="C1426" s="22" t="s">
        <v>208</v>
      </c>
      <c r="D1426" s="216" t="s">
        <v>8</v>
      </c>
      <c r="E1426" s="221" t="s">
        <v>959</v>
      </c>
      <c r="F1426" s="221" t="s">
        <v>960</v>
      </c>
      <c r="G1426" s="266">
        <v>46043</v>
      </c>
      <c r="H1426" s="266">
        <v>46043</v>
      </c>
      <c r="I1426" s="17"/>
      <c r="J1426" s="17"/>
      <c r="K1426" s="48">
        <v>0.5625</v>
      </c>
      <c r="L1426" s="48">
        <v>0.5625</v>
      </c>
      <c r="M1426" s="11">
        <f t="shared" si="22"/>
        <v>0</v>
      </c>
      <c r="N1426" s="246" t="s">
        <v>30</v>
      </c>
      <c r="P1426" s="4"/>
      <c r="Q1426" s="4"/>
      <c r="R1426" s="4"/>
      <c r="S1426" s="4"/>
      <c r="T1426" s="4"/>
      <c r="U1426" s="4"/>
      <c r="V1426" s="4"/>
      <c r="W1426" s="4"/>
    </row>
    <row r="1427" spans="1:23" s="32" customFormat="1" hidden="1" x14ac:dyDescent="0.3">
      <c r="A1427" s="22" t="s">
        <v>19</v>
      </c>
      <c r="B1427" s="21">
        <v>46043</v>
      </c>
      <c r="C1427" s="22" t="s">
        <v>9</v>
      </c>
      <c r="D1427" s="217"/>
      <c r="E1427" s="221"/>
      <c r="F1427" s="221"/>
      <c r="G1427" s="267"/>
      <c r="H1427" s="267"/>
      <c r="I1427" s="41"/>
      <c r="J1427" s="41"/>
      <c r="K1427" s="48">
        <v>0.4375</v>
      </c>
      <c r="L1427" s="48">
        <v>0.5625</v>
      </c>
      <c r="M1427" s="11">
        <f t="shared" si="22"/>
        <v>3</v>
      </c>
      <c r="N1427" s="247"/>
      <c r="P1427" s="4"/>
      <c r="Q1427" s="4"/>
      <c r="R1427" s="4"/>
      <c r="S1427" s="4"/>
      <c r="T1427" s="4"/>
      <c r="U1427" s="4"/>
      <c r="V1427" s="4"/>
      <c r="W1427" s="4"/>
    </row>
    <row r="1428" spans="1:23" s="32" customFormat="1" hidden="1" x14ac:dyDescent="0.3">
      <c r="A1428" s="22" t="s">
        <v>19</v>
      </c>
      <c r="B1428" s="21">
        <v>46043</v>
      </c>
      <c r="C1428" s="22" t="s">
        <v>208</v>
      </c>
      <c r="D1428" s="216" t="s">
        <v>8</v>
      </c>
      <c r="E1428" s="221" t="s">
        <v>961</v>
      </c>
      <c r="F1428" s="221" t="s">
        <v>960</v>
      </c>
      <c r="G1428" s="266">
        <v>46043</v>
      </c>
      <c r="H1428" s="266">
        <v>46043</v>
      </c>
      <c r="I1428" s="266">
        <v>46043</v>
      </c>
      <c r="J1428" s="36"/>
      <c r="K1428" s="48">
        <v>0.375</v>
      </c>
      <c r="L1428" s="48">
        <v>0.58333333333333337</v>
      </c>
      <c r="M1428" s="11">
        <f t="shared" si="22"/>
        <v>5.0000000000000009</v>
      </c>
      <c r="N1428" s="224" t="s">
        <v>0</v>
      </c>
      <c r="P1428" s="4"/>
      <c r="Q1428" s="4"/>
      <c r="R1428" s="4"/>
      <c r="S1428" s="4"/>
      <c r="T1428" s="4"/>
      <c r="U1428" s="4"/>
      <c r="V1428" s="4"/>
      <c r="W1428" s="4"/>
    </row>
    <row r="1429" spans="1:23" s="32" customFormat="1" hidden="1" x14ac:dyDescent="0.3">
      <c r="A1429" s="22" t="s">
        <v>19</v>
      </c>
      <c r="B1429" s="21">
        <v>46043</v>
      </c>
      <c r="C1429" s="22" t="s">
        <v>9</v>
      </c>
      <c r="D1429" s="217"/>
      <c r="E1429" s="221"/>
      <c r="F1429" s="221"/>
      <c r="G1429" s="267"/>
      <c r="H1429" s="267"/>
      <c r="I1429" s="267"/>
      <c r="J1429" s="37"/>
      <c r="K1429" s="48">
        <v>0.375</v>
      </c>
      <c r="L1429" s="48">
        <v>0.58333333333333337</v>
      </c>
      <c r="M1429" s="11">
        <f t="shared" si="22"/>
        <v>5.0000000000000009</v>
      </c>
      <c r="N1429" s="225"/>
      <c r="P1429" s="4"/>
      <c r="Q1429" s="4"/>
      <c r="R1429" s="4"/>
      <c r="S1429" s="4"/>
      <c r="T1429" s="4"/>
      <c r="U1429" s="4"/>
      <c r="V1429" s="4"/>
      <c r="W1429" s="4"/>
    </row>
    <row r="1430" spans="1:23" s="32" customFormat="1" hidden="1" x14ac:dyDescent="0.3">
      <c r="A1430" s="22" t="s">
        <v>19</v>
      </c>
      <c r="B1430" s="21">
        <v>46043</v>
      </c>
      <c r="C1430" s="22" t="s">
        <v>9</v>
      </c>
      <c r="D1430" s="20" t="s">
        <v>8</v>
      </c>
      <c r="E1430" s="20" t="s">
        <v>962</v>
      </c>
      <c r="F1430" s="20" t="s">
        <v>963</v>
      </c>
      <c r="G1430" s="36">
        <v>46043</v>
      </c>
      <c r="H1430" s="36">
        <v>46043</v>
      </c>
      <c r="I1430" s="36">
        <v>46043</v>
      </c>
      <c r="J1430" s="36"/>
      <c r="K1430" s="48">
        <v>0.58333333333333337</v>
      </c>
      <c r="L1430" s="48">
        <v>0.72916666666666663</v>
      </c>
      <c r="M1430" s="11">
        <f t="shared" si="22"/>
        <v>3.4999999999999982</v>
      </c>
      <c r="N1430" s="34" t="s">
        <v>0</v>
      </c>
      <c r="P1430" s="4"/>
      <c r="Q1430" s="4"/>
      <c r="R1430" s="4"/>
      <c r="S1430" s="4"/>
      <c r="T1430" s="4"/>
      <c r="U1430" s="4"/>
      <c r="V1430" s="4"/>
      <c r="W1430" s="4"/>
    </row>
    <row r="1431" spans="1:23" s="32" customFormat="1" hidden="1" x14ac:dyDescent="0.3">
      <c r="A1431" s="22" t="s">
        <v>20</v>
      </c>
      <c r="B1431" s="21">
        <v>46043</v>
      </c>
      <c r="C1431" s="69" t="s">
        <v>14</v>
      </c>
      <c r="D1431" s="214" t="s">
        <v>44</v>
      </c>
      <c r="E1431" s="226" t="s">
        <v>804</v>
      </c>
      <c r="F1431" s="242" t="s">
        <v>954</v>
      </c>
      <c r="G1431" s="266">
        <v>46043</v>
      </c>
      <c r="H1431" s="266">
        <v>46043</v>
      </c>
      <c r="I1431" s="266">
        <v>46043</v>
      </c>
      <c r="J1431" s="36"/>
      <c r="K1431" s="48">
        <v>0.4375</v>
      </c>
      <c r="L1431" s="48">
        <v>0.5</v>
      </c>
      <c r="M1431" s="11">
        <f t="shared" si="22"/>
        <v>1.5</v>
      </c>
      <c r="N1431" s="224" t="s">
        <v>0</v>
      </c>
      <c r="P1431" s="4"/>
      <c r="Q1431" s="4"/>
      <c r="R1431" s="4"/>
      <c r="S1431" s="4"/>
      <c r="T1431" s="4"/>
      <c r="U1431" s="4"/>
      <c r="V1431" s="4"/>
      <c r="W1431" s="4"/>
    </row>
    <row r="1432" spans="1:23" s="32" customFormat="1" hidden="1" x14ac:dyDescent="0.3">
      <c r="A1432" s="22" t="s">
        <v>20</v>
      </c>
      <c r="B1432" s="21">
        <v>46043</v>
      </c>
      <c r="C1432" s="69" t="s">
        <v>33</v>
      </c>
      <c r="D1432" s="215"/>
      <c r="E1432" s="215"/>
      <c r="F1432" s="248"/>
      <c r="G1432" s="267"/>
      <c r="H1432" s="267"/>
      <c r="I1432" s="267"/>
      <c r="J1432" s="37"/>
      <c r="K1432" s="45">
        <v>0.27083333333333331</v>
      </c>
      <c r="L1432" s="48">
        <v>0.5</v>
      </c>
      <c r="M1432" s="11">
        <f t="shared" si="22"/>
        <v>5.5</v>
      </c>
      <c r="N1432" s="225"/>
      <c r="P1432" s="4"/>
      <c r="Q1432" s="4"/>
      <c r="R1432" s="4"/>
      <c r="S1432" s="4"/>
      <c r="T1432" s="4"/>
      <c r="U1432" s="4"/>
      <c r="V1432" s="4"/>
      <c r="W1432" s="4"/>
    </row>
    <row r="1433" spans="1:23" s="32" customFormat="1" hidden="1" x14ac:dyDescent="0.3">
      <c r="A1433" s="22" t="s">
        <v>20</v>
      </c>
      <c r="B1433" s="21">
        <v>46043</v>
      </c>
      <c r="C1433" s="69" t="s">
        <v>444</v>
      </c>
      <c r="D1433" s="214" t="s">
        <v>44</v>
      </c>
      <c r="E1433" s="214" t="s">
        <v>955</v>
      </c>
      <c r="F1433" s="214" t="s">
        <v>956</v>
      </c>
      <c r="G1433" s="266">
        <v>46043</v>
      </c>
      <c r="H1433" s="219">
        <v>46044</v>
      </c>
      <c r="I1433" s="219">
        <v>46044</v>
      </c>
      <c r="J1433" s="17"/>
      <c r="K1433" s="47">
        <v>0.35416666666666669</v>
      </c>
      <c r="L1433" s="48">
        <v>0.54166666666666663</v>
      </c>
      <c r="M1433" s="11">
        <f t="shared" si="22"/>
        <v>4.4999999999999982</v>
      </c>
      <c r="N1433" s="224" t="s">
        <v>0</v>
      </c>
      <c r="P1433" s="4"/>
      <c r="Q1433" s="4"/>
      <c r="R1433" s="4"/>
      <c r="S1433" s="4"/>
      <c r="T1433" s="4"/>
      <c r="U1433" s="4"/>
      <c r="V1433" s="4"/>
      <c r="W1433" s="4"/>
    </row>
    <row r="1434" spans="1:23" s="32" customFormat="1" hidden="1" x14ac:dyDescent="0.3">
      <c r="A1434" s="22" t="s">
        <v>20</v>
      </c>
      <c r="B1434" s="21">
        <v>46043</v>
      </c>
      <c r="C1434" s="69" t="s">
        <v>421</v>
      </c>
      <c r="D1434" s="215"/>
      <c r="E1434" s="215"/>
      <c r="F1434" s="215"/>
      <c r="G1434" s="267"/>
      <c r="H1434" s="215"/>
      <c r="I1434" s="215"/>
      <c r="J1434" s="18"/>
      <c r="K1434" s="47">
        <v>0.35416666666666669</v>
      </c>
      <c r="L1434" s="48">
        <v>0.54166666666666663</v>
      </c>
      <c r="M1434" s="11">
        <f t="shared" si="22"/>
        <v>4.4999999999999982</v>
      </c>
      <c r="N1434" s="225"/>
      <c r="P1434" s="4"/>
      <c r="Q1434" s="4"/>
      <c r="R1434" s="4"/>
      <c r="S1434" s="4"/>
      <c r="T1434" s="4"/>
      <c r="U1434" s="4"/>
      <c r="V1434" s="4"/>
      <c r="W1434" s="4"/>
    </row>
    <row r="1435" spans="1:23" s="32" customFormat="1" hidden="1" x14ac:dyDescent="0.3">
      <c r="A1435" s="22" t="s">
        <v>20</v>
      </c>
      <c r="B1435" s="21">
        <v>46043</v>
      </c>
      <c r="C1435" s="69" t="s">
        <v>12</v>
      </c>
      <c r="D1435" s="11" t="s">
        <v>27</v>
      </c>
      <c r="E1435" s="18" t="s">
        <v>82</v>
      </c>
      <c r="F1435" s="73" t="s">
        <v>905</v>
      </c>
      <c r="G1435" s="36">
        <v>46043</v>
      </c>
      <c r="H1435" s="36">
        <v>46043</v>
      </c>
      <c r="I1435" s="36">
        <v>46043</v>
      </c>
      <c r="J1435" s="36"/>
      <c r="K1435" s="47">
        <v>0.27083333333333331</v>
      </c>
      <c r="L1435" s="48">
        <v>0.64583333333333337</v>
      </c>
      <c r="M1435" s="11">
        <f t="shared" si="22"/>
        <v>9.0000000000000018</v>
      </c>
      <c r="N1435" s="62" t="s">
        <v>0</v>
      </c>
      <c r="P1435" s="4"/>
      <c r="Q1435" s="4"/>
      <c r="R1435" s="4"/>
      <c r="S1435" s="4"/>
      <c r="T1435" s="4"/>
      <c r="U1435" s="4"/>
      <c r="V1435" s="4"/>
      <c r="W1435" s="4"/>
    </row>
    <row r="1436" spans="1:23" s="32" customFormat="1" hidden="1" x14ac:dyDescent="0.3">
      <c r="A1436" s="22" t="s">
        <v>20</v>
      </c>
      <c r="B1436" s="21">
        <v>46043</v>
      </c>
      <c r="C1436" s="22" t="s">
        <v>28</v>
      </c>
      <c r="D1436" s="13" t="s">
        <v>65</v>
      </c>
      <c r="E1436" s="13" t="s">
        <v>890</v>
      </c>
      <c r="F1436" s="26" t="s">
        <v>933</v>
      </c>
      <c r="G1436" s="21">
        <v>46038</v>
      </c>
      <c r="H1436" s="36">
        <v>46042</v>
      </c>
      <c r="I1436" s="36">
        <v>46042</v>
      </c>
      <c r="J1436" s="36"/>
      <c r="K1436" s="47">
        <v>0.27083333333333331</v>
      </c>
      <c r="L1436" s="48">
        <v>0.72916666666666663</v>
      </c>
      <c r="M1436" s="11">
        <f t="shared" si="22"/>
        <v>11</v>
      </c>
      <c r="N1436" s="42" t="s">
        <v>0</v>
      </c>
      <c r="P1436" s="4"/>
      <c r="Q1436" s="4"/>
      <c r="R1436" s="4"/>
      <c r="S1436" s="4"/>
      <c r="T1436" s="4"/>
      <c r="U1436" s="4"/>
      <c r="V1436" s="4"/>
      <c r="W1436" s="4"/>
    </row>
    <row r="1437" spans="1:23" s="32" customFormat="1" hidden="1" x14ac:dyDescent="0.3">
      <c r="A1437" s="22" t="s">
        <v>20</v>
      </c>
      <c r="B1437" s="21">
        <v>46043</v>
      </c>
      <c r="C1437" s="22" t="s">
        <v>15</v>
      </c>
      <c r="D1437" s="216" t="s">
        <v>65</v>
      </c>
      <c r="E1437" s="216" t="s">
        <v>854</v>
      </c>
      <c r="F1437" s="243" t="s">
        <v>935</v>
      </c>
      <c r="G1437" s="219">
        <v>46041</v>
      </c>
      <c r="H1437" s="219">
        <v>46042</v>
      </c>
      <c r="I1437" s="219">
        <v>46042</v>
      </c>
      <c r="J1437" s="17"/>
      <c r="K1437" s="47">
        <v>0.35416666666666669</v>
      </c>
      <c r="L1437" s="48">
        <v>0.72916666666666663</v>
      </c>
      <c r="M1437" s="11">
        <f t="shared" si="22"/>
        <v>8.9999999999999982</v>
      </c>
      <c r="N1437" s="231" t="s">
        <v>0</v>
      </c>
      <c r="P1437" s="4"/>
      <c r="Q1437" s="4"/>
      <c r="R1437" s="4"/>
      <c r="S1437" s="4"/>
      <c r="T1437" s="4"/>
      <c r="U1437" s="4"/>
      <c r="V1437" s="4"/>
      <c r="W1437" s="4"/>
    </row>
    <row r="1438" spans="1:23" s="32" customFormat="1" hidden="1" x14ac:dyDescent="0.3">
      <c r="A1438" s="22" t="s">
        <v>20</v>
      </c>
      <c r="B1438" s="21">
        <v>46043</v>
      </c>
      <c r="C1438" s="22" t="s">
        <v>31</v>
      </c>
      <c r="D1438" s="217"/>
      <c r="E1438" s="217"/>
      <c r="F1438" s="244"/>
      <c r="G1438" s="220"/>
      <c r="H1438" s="220"/>
      <c r="I1438" s="220"/>
      <c r="J1438" s="23"/>
      <c r="K1438" s="47">
        <v>0.54166666666666663</v>
      </c>
      <c r="L1438" s="48">
        <v>0.58333333333333337</v>
      </c>
      <c r="M1438" s="11">
        <f t="shared" si="22"/>
        <v>1.0000000000000018</v>
      </c>
      <c r="N1438" s="225"/>
      <c r="P1438" s="4"/>
      <c r="Q1438" s="4"/>
      <c r="R1438" s="4"/>
      <c r="S1438" s="4"/>
      <c r="T1438" s="4"/>
      <c r="U1438" s="4"/>
      <c r="V1438" s="4"/>
      <c r="W1438" s="4"/>
    </row>
    <row r="1439" spans="1:23" s="32" customFormat="1" hidden="1" x14ac:dyDescent="0.3">
      <c r="A1439" s="22" t="s">
        <v>20</v>
      </c>
      <c r="B1439" s="21">
        <v>46043</v>
      </c>
      <c r="C1439" s="22" t="s">
        <v>167</v>
      </c>
      <c r="D1439" s="216" t="s">
        <v>65</v>
      </c>
      <c r="E1439" s="216" t="s">
        <v>784</v>
      </c>
      <c r="F1439" s="243" t="s">
        <v>934</v>
      </c>
      <c r="G1439" s="219">
        <v>46041</v>
      </c>
      <c r="H1439" s="219">
        <v>46042</v>
      </c>
      <c r="I1439" s="219">
        <v>46042</v>
      </c>
      <c r="J1439" s="17"/>
      <c r="K1439" s="47">
        <v>0.27083333333333331</v>
      </c>
      <c r="L1439" s="45">
        <v>0.4375</v>
      </c>
      <c r="M1439" s="11">
        <f t="shared" si="22"/>
        <v>4</v>
      </c>
      <c r="N1439" s="231" t="s">
        <v>0</v>
      </c>
      <c r="P1439" s="4"/>
      <c r="Q1439" s="4"/>
      <c r="R1439" s="4"/>
      <c r="S1439" s="4"/>
      <c r="T1439" s="4"/>
      <c r="U1439" s="4"/>
      <c r="V1439" s="4"/>
      <c r="W1439" s="4"/>
    </row>
    <row r="1440" spans="1:23" s="32" customFormat="1" hidden="1" x14ac:dyDescent="0.3">
      <c r="A1440" s="22" t="s">
        <v>20</v>
      </c>
      <c r="B1440" s="21">
        <v>46043</v>
      </c>
      <c r="C1440" s="22" t="s">
        <v>31</v>
      </c>
      <c r="D1440" s="217"/>
      <c r="E1440" s="217"/>
      <c r="F1440" s="244"/>
      <c r="G1440" s="220"/>
      <c r="H1440" s="220"/>
      <c r="I1440" s="220"/>
      <c r="J1440" s="23"/>
      <c r="K1440" s="47">
        <v>0.35416666666666669</v>
      </c>
      <c r="L1440" s="45">
        <v>0.4375</v>
      </c>
      <c r="M1440" s="11">
        <f t="shared" si="22"/>
        <v>1.9999999999999996</v>
      </c>
      <c r="N1440" s="225"/>
      <c r="P1440" s="4"/>
      <c r="Q1440" s="4"/>
      <c r="R1440" s="4"/>
      <c r="S1440" s="4"/>
      <c r="T1440" s="4"/>
      <c r="U1440" s="4"/>
      <c r="V1440" s="4"/>
      <c r="W1440" s="4"/>
    </row>
    <row r="1441" spans="1:23" s="32" customFormat="1" hidden="1" x14ac:dyDescent="0.3">
      <c r="A1441" s="22" t="s">
        <v>20</v>
      </c>
      <c r="B1441" s="21">
        <v>46043</v>
      </c>
      <c r="C1441" s="22" t="s">
        <v>16</v>
      </c>
      <c r="D1441" s="216" t="s">
        <v>65</v>
      </c>
      <c r="E1441" s="214" t="s">
        <v>936</v>
      </c>
      <c r="F1441" s="243" t="s">
        <v>937</v>
      </c>
      <c r="G1441" s="219">
        <v>46042</v>
      </c>
      <c r="H1441" s="219">
        <v>46042</v>
      </c>
      <c r="I1441" s="219">
        <v>46042</v>
      </c>
      <c r="J1441" s="17"/>
      <c r="K1441" s="47">
        <v>0.27083333333333331</v>
      </c>
      <c r="L1441" s="48">
        <v>0.72916666666666663</v>
      </c>
      <c r="M1441" s="11">
        <f t="shared" si="22"/>
        <v>11</v>
      </c>
      <c r="N1441" s="227" t="s">
        <v>0</v>
      </c>
      <c r="P1441" s="4"/>
      <c r="Q1441" s="4"/>
      <c r="R1441" s="4"/>
      <c r="S1441" s="4"/>
      <c r="T1441" s="4"/>
      <c r="U1441" s="4"/>
      <c r="V1441" s="4"/>
      <c r="W1441" s="4"/>
    </row>
    <row r="1442" spans="1:23" s="32" customFormat="1" hidden="1" x14ac:dyDescent="0.3">
      <c r="A1442" s="22" t="s">
        <v>20</v>
      </c>
      <c r="B1442" s="21">
        <v>46043</v>
      </c>
      <c r="C1442" s="22" t="s">
        <v>31</v>
      </c>
      <c r="D1442" s="217"/>
      <c r="E1442" s="215"/>
      <c r="F1442" s="244"/>
      <c r="G1442" s="220"/>
      <c r="H1442" s="220"/>
      <c r="I1442" s="220"/>
      <c r="J1442" s="23"/>
      <c r="K1442" s="47">
        <v>0.4375</v>
      </c>
      <c r="L1442" s="48">
        <v>0.5</v>
      </c>
      <c r="M1442" s="11">
        <f t="shared" si="22"/>
        <v>1.5</v>
      </c>
      <c r="N1442" s="228"/>
      <c r="P1442" s="4"/>
      <c r="Q1442" s="4"/>
      <c r="R1442" s="4"/>
      <c r="S1442" s="4"/>
      <c r="T1442" s="4"/>
      <c r="U1442" s="4"/>
      <c r="V1442" s="4"/>
      <c r="W1442" s="4"/>
    </row>
    <row r="1443" spans="1:23" s="32" customFormat="1" hidden="1" x14ac:dyDescent="0.3">
      <c r="A1443" s="22" t="s">
        <v>20</v>
      </c>
      <c r="B1443" s="21">
        <v>46043</v>
      </c>
      <c r="C1443" s="69" t="s">
        <v>47</v>
      </c>
      <c r="D1443" s="221" t="s">
        <v>65</v>
      </c>
      <c r="E1443" s="233" t="s">
        <v>919</v>
      </c>
      <c r="F1443" s="245" t="s">
        <v>938</v>
      </c>
      <c r="G1443" s="219">
        <v>46042</v>
      </c>
      <c r="H1443" s="219">
        <v>46042</v>
      </c>
      <c r="I1443" s="219">
        <v>46042</v>
      </c>
      <c r="J1443" s="17"/>
      <c r="K1443" s="47">
        <v>0.27083333333333331</v>
      </c>
      <c r="L1443" s="47">
        <v>0.35416666666666669</v>
      </c>
      <c r="M1443" s="11">
        <f t="shared" si="22"/>
        <v>2.0000000000000009</v>
      </c>
      <c r="N1443" s="227" t="s">
        <v>0</v>
      </c>
      <c r="P1443" s="4"/>
      <c r="Q1443" s="4"/>
      <c r="R1443" s="4"/>
      <c r="S1443" s="4"/>
      <c r="T1443" s="4"/>
      <c r="U1443" s="4"/>
      <c r="V1443" s="4"/>
      <c r="W1443" s="4"/>
    </row>
    <row r="1444" spans="1:23" s="32" customFormat="1" hidden="1" x14ac:dyDescent="0.3">
      <c r="A1444" s="22" t="s">
        <v>20</v>
      </c>
      <c r="B1444" s="21">
        <v>46043</v>
      </c>
      <c r="C1444" s="69" t="s">
        <v>31</v>
      </c>
      <c r="D1444" s="221"/>
      <c r="E1444" s="233"/>
      <c r="F1444" s="245"/>
      <c r="G1444" s="220"/>
      <c r="H1444" s="220"/>
      <c r="I1444" s="220"/>
      <c r="J1444" s="19"/>
      <c r="K1444" s="45">
        <v>0.58333333333333337</v>
      </c>
      <c r="L1444" s="48">
        <v>0.66666666666666663</v>
      </c>
      <c r="M1444" s="11">
        <f t="shared" si="22"/>
        <v>1.9999999999999982</v>
      </c>
      <c r="N1444" s="228"/>
      <c r="P1444" s="4"/>
      <c r="Q1444" s="4"/>
      <c r="R1444" s="4"/>
      <c r="S1444" s="4"/>
      <c r="T1444" s="4"/>
      <c r="U1444" s="4"/>
      <c r="V1444" s="4"/>
      <c r="W1444" s="4"/>
    </row>
    <row r="1445" spans="1:23" s="32" customFormat="1" hidden="1" x14ac:dyDescent="0.3">
      <c r="A1445" s="22" t="s">
        <v>20</v>
      </c>
      <c r="B1445" s="21">
        <v>46043</v>
      </c>
      <c r="C1445" s="69" t="s">
        <v>47</v>
      </c>
      <c r="D1445" s="24" t="s">
        <v>65</v>
      </c>
      <c r="E1445" s="22" t="s">
        <v>939</v>
      </c>
      <c r="F1445" s="25" t="s">
        <v>940</v>
      </c>
      <c r="G1445" s="30">
        <v>46042</v>
      </c>
      <c r="H1445" s="30">
        <v>46042</v>
      </c>
      <c r="I1445" s="30">
        <v>46042</v>
      </c>
      <c r="J1445" s="30"/>
      <c r="K1445" s="45">
        <v>0.35416666666666669</v>
      </c>
      <c r="L1445" s="48">
        <v>0.72916666666666663</v>
      </c>
      <c r="M1445" s="11">
        <f t="shared" si="22"/>
        <v>8.9999999999999982</v>
      </c>
      <c r="N1445" s="67" t="s">
        <v>0</v>
      </c>
      <c r="P1445" s="4"/>
      <c r="Q1445" s="4"/>
      <c r="R1445" s="4"/>
      <c r="S1445" s="4"/>
      <c r="T1445" s="4"/>
      <c r="U1445" s="4"/>
      <c r="V1445" s="4"/>
      <c r="W1445" s="4"/>
    </row>
    <row r="1446" spans="1:23" s="32" customFormat="1" ht="15.6" hidden="1" x14ac:dyDescent="0.3">
      <c r="A1446" s="40" t="s">
        <v>21</v>
      </c>
      <c r="B1446" s="21">
        <v>46044</v>
      </c>
      <c r="C1446" s="40" t="s">
        <v>26</v>
      </c>
      <c r="D1446" s="40" t="s">
        <v>24</v>
      </c>
      <c r="E1446" s="40" t="s">
        <v>964</v>
      </c>
      <c r="F1446" s="84" t="s">
        <v>946</v>
      </c>
      <c r="G1446" s="41">
        <v>46043</v>
      </c>
      <c r="H1446" s="41">
        <v>46046</v>
      </c>
      <c r="I1446" s="85"/>
      <c r="J1446" s="85"/>
      <c r="K1446" s="51">
        <v>0.27083333333333331</v>
      </c>
      <c r="L1446" s="51">
        <v>0.64583333333333337</v>
      </c>
      <c r="M1446" s="11">
        <f t="shared" si="22"/>
        <v>9.0000000000000018</v>
      </c>
      <c r="N1446" s="67" t="s">
        <v>1</v>
      </c>
      <c r="P1446" s="4"/>
      <c r="Q1446" s="4"/>
      <c r="R1446" s="4"/>
      <c r="S1446" s="4"/>
      <c r="T1446" s="4"/>
      <c r="U1446" s="4"/>
      <c r="V1446" s="4"/>
      <c r="W1446" s="4"/>
    </row>
    <row r="1447" spans="1:23" s="32" customFormat="1" ht="15.6" hidden="1" x14ac:dyDescent="0.3">
      <c r="A1447" s="40" t="s">
        <v>21</v>
      </c>
      <c r="B1447" s="21">
        <v>46044</v>
      </c>
      <c r="C1447" s="40" t="s">
        <v>50</v>
      </c>
      <c r="D1447" s="40" t="s">
        <v>24</v>
      </c>
      <c r="E1447" s="40" t="s">
        <v>965</v>
      </c>
      <c r="F1447" s="84" t="s">
        <v>947</v>
      </c>
      <c r="G1447" s="41">
        <v>46044</v>
      </c>
      <c r="H1447" s="41">
        <v>46044</v>
      </c>
      <c r="I1447" s="85"/>
      <c r="J1447" s="85"/>
      <c r="K1447" s="51">
        <v>0.35416666666666669</v>
      </c>
      <c r="L1447" s="51">
        <v>0.72916666666666663</v>
      </c>
      <c r="M1447" s="11">
        <f t="shared" si="22"/>
        <v>8.9999999999999982</v>
      </c>
      <c r="N1447" s="67" t="s">
        <v>1</v>
      </c>
      <c r="P1447" s="4"/>
      <c r="Q1447" s="4"/>
      <c r="R1447" s="4"/>
      <c r="S1447" s="4"/>
      <c r="T1447" s="4"/>
      <c r="U1447" s="4"/>
      <c r="V1447" s="4"/>
      <c r="W1447" s="4"/>
    </row>
    <row r="1448" spans="1:23" s="32" customFormat="1" hidden="1" x14ac:dyDescent="0.3">
      <c r="A1448" s="40" t="s">
        <v>21</v>
      </c>
      <c r="B1448" s="21">
        <v>46044</v>
      </c>
      <c r="C1448" s="40" t="s">
        <v>830</v>
      </c>
      <c r="D1448" s="40" t="s">
        <v>24</v>
      </c>
      <c r="E1448" s="40" t="s">
        <v>964</v>
      </c>
      <c r="F1448" s="84" t="s">
        <v>946</v>
      </c>
      <c r="G1448" s="41">
        <v>46044</v>
      </c>
      <c r="H1448" s="41">
        <v>46044</v>
      </c>
      <c r="I1448" s="41"/>
      <c r="J1448" s="41"/>
      <c r="K1448" s="51">
        <v>0.35416666666666669</v>
      </c>
      <c r="L1448" s="51">
        <v>0.72916666666666663</v>
      </c>
      <c r="M1448" s="11">
        <f t="shared" si="22"/>
        <v>8.9999999999999982</v>
      </c>
      <c r="N1448" s="67" t="s">
        <v>1</v>
      </c>
      <c r="P1448" s="4"/>
      <c r="Q1448" s="4"/>
      <c r="R1448" s="4"/>
      <c r="S1448" s="4"/>
      <c r="T1448" s="4"/>
      <c r="U1448" s="4"/>
      <c r="V1448" s="4"/>
      <c r="W1448" s="4"/>
    </row>
    <row r="1449" spans="1:23" s="32" customFormat="1" hidden="1" x14ac:dyDescent="0.3">
      <c r="A1449" s="40" t="s">
        <v>21</v>
      </c>
      <c r="B1449" s="21">
        <v>46044</v>
      </c>
      <c r="C1449" s="40" t="s">
        <v>274</v>
      </c>
      <c r="D1449" s="40" t="s">
        <v>54</v>
      </c>
      <c r="E1449" s="40" t="s">
        <v>685</v>
      </c>
      <c r="F1449" s="84" t="s">
        <v>349</v>
      </c>
      <c r="G1449" s="41">
        <v>46044</v>
      </c>
      <c r="H1449" s="41">
        <v>46044</v>
      </c>
      <c r="I1449" s="259"/>
      <c r="J1449" s="41"/>
      <c r="K1449" s="51">
        <v>0.27083333333333331</v>
      </c>
      <c r="L1449" s="51">
        <v>0.72916666666666663</v>
      </c>
      <c r="M1449" s="11">
        <f t="shared" si="22"/>
        <v>11</v>
      </c>
      <c r="N1449" s="67" t="s">
        <v>1</v>
      </c>
      <c r="P1449" s="4"/>
      <c r="Q1449" s="4"/>
      <c r="R1449" s="4"/>
      <c r="S1449" s="4"/>
      <c r="T1449" s="4"/>
      <c r="U1449" s="4"/>
      <c r="V1449" s="4"/>
      <c r="W1449" s="4"/>
    </row>
    <row r="1450" spans="1:23" s="32" customFormat="1" hidden="1" x14ac:dyDescent="0.3">
      <c r="A1450" s="40" t="s">
        <v>21</v>
      </c>
      <c r="B1450" s="21">
        <v>46044</v>
      </c>
      <c r="C1450" s="40" t="s">
        <v>18</v>
      </c>
      <c r="D1450" s="40" t="s">
        <v>8</v>
      </c>
      <c r="E1450" s="40" t="s">
        <v>966</v>
      </c>
      <c r="F1450" s="84" t="s">
        <v>967</v>
      </c>
      <c r="G1450" s="41">
        <v>46044</v>
      </c>
      <c r="H1450" s="41">
        <v>46044</v>
      </c>
      <c r="I1450" s="259"/>
      <c r="J1450" s="41"/>
      <c r="K1450" s="51">
        <v>0.35416666666666669</v>
      </c>
      <c r="L1450" s="51">
        <v>0.72916666666666663</v>
      </c>
      <c r="M1450" s="11">
        <f t="shared" si="22"/>
        <v>8.9999999999999982</v>
      </c>
      <c r="N1450" s="67" t="s">
        <v>1</v>
      </c>
      <c r="P1450" s="4"/>
      <c r="Q1450" s="4"/>
      <c r="R1450" s="4"/>
      <c r="S1450" s="4"/>
      <c r="T1450" s="4"/>
      <c r="U1450" s="4"/>
      <c r="V1450" s="4"/>
      <c r="W1450" s="4"/>
    </row>
    <row r="1451" spans="1:23" s="32" customFormat="1" hidden="1" x14ac:dyDescent="0.3">
      <c r="A1451" s="40" t="s">
        <v>21</v>
      </c>
      <c r="B1451" s="21">
        <v>46044</v>
      </c>
      <c r="C1451" s="40" t="s">
        <v>771</v>
      </c>
      <c r="D1451" s="40" t="s">
        <v>43</v>
      </c>
      <c r="E1451" s="40" t="s">
        <v>968</v>
      </c>
      <c r="F1451" s="84" t="s">
        <v>349</v>
      </c>
      <c r="G1451" s="41">
        <v>46044</v>
      </c>
      <c r="H1451" s="41">
        <v>46044</v>
      </c>
      <c r="I1451" s="41">
        <v>46044</v>
      </c>
      <c r="J1451" s="41"/>
      <c r="K1451" s="51">
        <v>0.27083333333333331</v>
      </c>
      <c r="L1451" s="51">
        <v>0.64583333333333337</v>
      </c>
      <c r="M1451" s="11">
        <f t="shared" si="22"/>
        <v>9.0000000000000018</v>
      </c>
      <c r="N1451" s="42" t="s">
        <v>0</v>
      </c>
      <c r="P1451" s="4"/>
      <c r="Q1451" s="4"/>
      <c r="R1451" s="4"/>
      <c r="S1451" s="4"/>
      <c r="T1451" s="4"/>
      <c r="U1451" s="4"/>
      <c r="V1451" s="4"/>
      <c r="W1451" s="4"/>
    </row>
    <row r="1452" spans="1:23" s="32" customFormat="1" hidden="1" x14ac:dyDescent="0.3">
      <c r="A1452" s="40" t="s">
        <v>21</v>
      </c>
      <c r="B1452" s="21">
        <v>46044</v>
      </c>
      <c r="C1452" s="40" t="s">
        <v>56</v>
      </c>
      <c r="D1452" s="10" t="s">
        <v>43</v>
      </c>
      <c r="E1452" s="10" t="s">
        <v>950</v>
      </c>
      <c r="F1452" s="38" t="s">
        <v>884</v>
      </c>
      <c r="G1452" s="36">
        <v>46043</v>
      </c>
      <c r="H1452" s="36">
        <v>46045</v>
      </c>
      <c r="I1452" s="36"/>
      <c r="J1452" s="36"/>
      <c r="K1452" s="51">
        <v>0.27083333333333331</v>
      </c>
      <c r="L1452" s="51">
        <v>0.64583333333333337</v>
      </c>
      <c r="M1452" s="11">
        <f t="shared" si="22"/>
        <v>9.0000000000000018</v>
      </c>
      <c r="N1452" s="63" t="s">
        <v>1</v>
      </c>
      <c r="P1452" s="4"/>
      <c r="Q1452" s="4"/>
      <c r="R1452" s="4"/>
      <c r="S1452" s="4"/>
      <c r="T1452" s="4"/>
      <c r="U1452" s="4"/>
      <c r="V1452" s="4"/>
      <c r="W1452" s="4"/>
    </row>
    <row r="1453" spans="1:23" s="32" customFormat="1" hidden="1" x14ac:dyDescent="0.3">
      <c r="A1453" s="40" t="s">
        <v>21</v>
      </c>
      <c r="B1453" s="21">
        <v>46044</v>
      </c>
      <c r="C1453" s="40" t="s">
        <v>118</v>
      </c>
      <c r="D1453" s="262" t="s">
        <v>54</v>
      </c>
      <c r="E1453" s="262" t="s">
        <v>688</v>
      </c>
      <c r="F1453" s="262" t="s">
        <v>969</v>
      </c>
      <c r="G1453" s="266">
        <v>46044</v>
      </c>
      <c r="H1453" s="266">
        <v>46044</v>
      </c>
      <c r="I1453" s="266">
        <v>46044</v>
      </c>
      <c r="J1453" s="36"/>
      <c r="K1453" s="51">
        <v>0.35416666666666669</v>
      </c>
      <c r="L1453" s="51">
        <v>0.54166666666666663</v>
      </c>
      <c r="M1453" s="11">
        <f t="shared" si="22"/>
        <v>4.4999999999999982</v>
      </c>
      <c r="N1453" s="227" t="s">
        <v>0</v>
      </c>
      <c r="P1453" s="4"/>
      <c r="Q1453" s="4"/>
      <c r="R1453" s="4"/>
      <c r="S1453" s="4"/>
      <c r="T1453" s="4"/>
      <c r="U1453" s="4"/>
      <c r="V1453" s="4"/>
      <c r="W1453" s="4"/>
    </row>
    <row r="1454" spans="1:23" s="32" customFormat="1" hidden="1" x14ac:dyDescent="0.3">
      <c r="A1454" s="40" t="s">
        <v>21</v>
      </c>
      <c r="B1454" s="21">
        <v>46044</v>
      </c>
      <c r="C1454" s="40" t="s">
        <v>34</v>
      </c>
      <c r="D1454" s="263"/>
      <c r="E1454" s="263"/>
      <c r="F1454" s="263"/>
      <c r="G1454" s="267"/>
      <c r="H1454" s="267"/>
      <c r="I1454" s="267"/>
      <c r="J1454" s="37"/>
      <c r="K1454" s="51">
        <v>0.35416666666666669</v>
      </c>
      <c r="L1454" s="51">
        <v>0.54166666666666663</v>
      </c>
      <c r="M1454" s="11">
        <f t="shared" si="22"/>
        <v>4.4999999999999982</v>
      </c>
      <c r="N1454" s="228"/>
      <c r="P1454" s="4"/>
      <c r="Q1454" s="4"/>
      <c r="R1454" s="4"/>
      <c r="S1454" s="4"/>
      <c r="T1454" s="4"/>
      <c r="U1454" s="4"/>
      <c r="V1454" s="4"/>
      <c r="W1454" s="4"/>
    </row>
    <row r="1455" spans="1:23" s="32" customFormat="1" hidden="1" x14ac:dyDescent="0.3">
      <c r="A1455" s="40" t="s">
        <v>21</v>
      </c>
      <c r="B1455" s="21">
        <v>46044</v>
      </c>
      <c r="C1455" s="40" t="s">
        <v>25</v>
      </c>
      <c r="D1455" s="40" t="s">
        <v>43</v>
      </c>
      <c r="E1455" s="40" t="s">
        <v>951</v>
      </c>
      <c r="F1455" s="40" t="s">
        <v>349</v>
      </c>
      <c r="G1455" s="41">
        <v>46043</v>
      </c>
      <c r="H1455" s="41">
        <v>46044</v>
      </c>
      <c r="I1455" s="41">
        <v>46044</v>
      </c>
      <c r="J1455" s="41"/>
      <c r="K1455" s="51">
        <v>0.27083333333333331</v>
      </c>
      <c r="L1455" s="51">
        <v>0.64583333333333337</v>
      </c>
      <c r="M1455" s="11">
        <f t="shared" si="22"/>
        <v>9.0000000000000018</v>
      </c>
      <c r="N1455" s="42" t="s">
        <v>0</v>
      </c>
      <c r="P1455" s="4"/>
      <c r="Q1455" s="4"/>
      <c r="R1455" s="4"/>
      <c r="S1455" s="4"/>
      <c r="T1455" s="4"/>
      <c r="U1455" s="4"/>
      <c r="V1455" s="4"/>
      <c r="W1455" s="4"/>
    </row>
    <row r="1456" spans="1:23" s="32" customFormat="1" hidden="1" x14ac:dyDescent="0.3">
      <c r="A1456" s="8" t="s">
        <v>21</v>
      </c>
      <c r="B1456" s="19">
        <v>46044</v>
      </c>
      <c r="C1456" s="8" t="s">
        <v>55</v>
      </c>
      <c r="D1456" s="7" t="s">
        <v>43</v>
      </c>
      <c r="E1456" s="7" t="s">
        <v>927</v>
      </c>
      <c r="F1456" s="7" t="s">
        <v>884</v>
      </c>
      <c r="G1456" s="15">
        <v>46043</v>
      </c>
      <c r="H1456" s="15">
        <v>46045</v>
      </c>
      <c r="I1456" s="37"/>
      <c r="J1456" s="37"/>
      <c r="K1456" s="52">
        <v>0.27083333333333331</v>
      </c>
      <c r="L1456" s="52">
        <v>0.64583333333333337</v>
      </c>
      <c r="M1456" s="11">
        <f t="shared" si="22"/>
        <v>9.0000000000000018</v>
      </c>
      <c r="N1456" s="33" t="s">
        <v>1</v>
      </c>
      <c r="P1456" s="4"/>
      <c r="Q1456" s="4"/>
      <c r="R1456" s="4"/>
      <c r="S1456" s="4"/>
      <c r="T1456" s="4"/>
      <c r="U1456" s="4"/>
      <c r="V1456" s="4"/>
      <c r="W1456" s="4"/>
    </row>
    <row r="1457" spans="1:23" s="32" customFormat="1" hidden="1" x14ac:dyDescent="0.3">
      <c r="A1457" s="40" t="s">
        <v>21</v>
      </c>
      <c r="B1457" s="21">
        <v>46044</v>
      </c>
      <c r="C1457" s="40" t="s">
        <v>320</v>
      </c>
      <c r="D1457" s="10" t="s">
        <v>8</v>
      </c>
      <c r="E1457" s="10" t="s">
        <v>682</v>
      </c>
      <c r="F1457" s="10" t="s">
        <v>349</v>
      </c>
      <c r="G1457" s="36">
        <v>46044</v>
      </c>
      <c r="H1457" s="36">
        <v>46044</v>
      </c>
      <c r="I1457" s="41"/>
      <c r="J1457" s="41"/>
      <c r="K1457" s="51">
        <v>0.35416666666666669</v>
      </c>
      <c r="L1457" s="51">
        <v>0.5</v>
      </c>
      <c r="M1457" s="11">
        <f t="shared" si="22"/>
        <v>3.4999999999999996</v>
      </c>
      <c r="N1457" s="63" t="s">
        <v>1</v>
      </c>
      <c r="P1457" s="4"/>
      <c r="Q1457" s="4"/>
      <c r="R1457" s="4"/>
      <c r="S1457" s="4"/>
      <c r="T1457" s="4"/>
      <c r="U1457" s="4"/>
      <c r="V1457" s="4"/>
      <c r="W1457" s="4"/>
    </row>
    <row r="1458" spans="1:23" s="32" customFormat="1" hidden="1" x14ac:dyDescent="0.3">
      <c r="A1458" s="22" t="s">
        <v>19</v>
      </c>
      <c r="B1458" s="21">
        <v>46044</v>
      </c>
      <c r="C1458" s="22" t="s">
        <v>208</v>
      </c>
      <c r="D1458" s="24" t="s">
        <v>8</v>
      </c>
      <c r="E1458" s="24" t="s">
        <v>682</v>
      </c>
      <c r="F1458" s="24" t="s">
        <v>244</v>
      </c>
      <c r="G1458" s="41">
        <v>46044</v>
      </c>
      <c r="H1458" s="41">
        <v>46044</v>
      </c>
      <c r="I1458" s="21"/>
      <c r="J1458" s="21"/>
      <c r="K1458" s="51">
        <v>0.27083333333333331</v>
      </c>
      <c r="L1458" s="48">
        <v>0.54166666666666663</v>
      </c>
      <c r="M1458" s="11">
        <f t="shared" si="22"/>
        <v>6.5</v>
      </c>
      <c r="N1458" s="67" t="s">
        <v>1</v>
      </c>
      <c r="P1458" s="4"/>
      <c r="Q1458" s="4"/>
      <c r="R1458" s="4"/>
      <c r="S1458" s="4"/>
      <c r="T1458" s="4"/>
      <c r="U1458" s="4"/>
      <c r="V1458" s="4"/>
      <c r="W1458" s="4"/>
    </row>
    <row r="1459" spans="1:23" s="32" customFormat="1" hidden="1" x14ac:dyDescent="0.3">
      <c r="A1459" s="22" t="s">
        <v>19</v>
      </c>
      <c r="B1459" s="21">
        <v>46044</v>
      </c>
      <c r="C1459" s="12" t="s">
        <v>9</v>
      </c>
      <c r="D1459" s="24" t="s">
        <v>8</v>
      </c>
      <c r="E1459" s="20" t="s">
        <v>481</v>
      </c>
      <c r="F1459" s="20" t="s">
        <v>239</v>
      </c>
      <c r="G1459" s="41">
        <v>46044</v>
      </c>
      <c r="H1459" s="41">
        <v>46044</v>
      </c>
      <c r="I1459" s="41">
        <v>46044</v>
      </c>
      <c r="J1459" s="37"/>
      <c r="K1459" s="52">
        <v>0.35416666666666669</v>
      </c>
      <c r="L1459" s="53">
        <v>0.4375</v>
      </c>
      <c r="M1459" s="11">
        <f t="shared" si="22"/>
        <v>1.9999999999999996</v>
      </c>
      <c r="N1459" s="42" t="s">
        <v>0</v>
      </c>
      <c r="P1459" s="4"/>
      <c r="Q1459" s="4"/>
      <c r="R1459" s="4"/>
      <c r="S1459" s="4"/>
      <c r="T1459" s="4"/>
      <c r="U1459" s="4"/>
      <c r="V1459" s="4"/>
      <c r="W1459" s="4"/>
    </row>
    <row r="1460" spans="1:23" s="32" customFormat="1" hidden="1" x14ac:dyDescent="0.3">
      <c r="A1460" s="22" t="s">
        <v>19</v>
      </c>
      <c r="B1460" s="21">
        <v>46044</v>
      </c>
      <c r="C1460" s="22" t="s">
        <v>9</v>
      </c>
      <c r="D1460" s="20" t="s">
        <v>8</v>
      </c>
      <c r="E1460" s="20" t="s">
        <v>958</v>
      </c>
      <c r="F1460" s="20" t="s">
        <v>978</v>
      </c>
      <c r="G1460" s="41">
        <v>46044</v>
      </c>
      <c r="H1460" s="41">
        <v>46044</v>
      </c>
      <c r="I1460" s="36"/>
      <c r="J1460" s="15"/>
      <c r="K1460" s="53">
        <v>0.4375</v>
      </c>
      <c r="L1460" s="48">
        <v>0.5625</v>
      </c>
      <c r="M1460" s="11">
        <f t="shared" si="22"/>
        <v>3</v>
      </c>
      <c r="N1460" s="33" t="s">
        <v>1</v>
      </c>
      <c r="P1460" s="4"/>
      <c r="Q1460" s="4"/>
      <c r="R1460" s="4"/>
      <c r="S1460" s="4"/>
      <c r="T1460" s="4"/>
      <c r="U1460" s="4"/>
      <c r="V1460" s="4"/>
      <c r="W1460" s="4"/>
    </row>
    <row r="1461" spans="1:23" s="32" customFormat="1" hidden="1" x14ac:dyDescent="0.3">
      <c r="A1461" s="22" t="s">
        <v>19</v>
      </c>
      <c r="B1461" s="21">
        <v>46044</v>
      </c>
      <c r="C1461" s="22" t="s">
        <v>9</v>
      </c>
      <c r="D1461" s="20" t="s">
        <v>8</v>
      </c>
      <c r="E1461" s="20" t="s">
        <v>980</v>
      </c>
      <c r="F1461" s="20" t="s">
        <v>978</v>
      </c>
      <c r="G1461" s="41">
        <v>46044</v>
      </c>
      <c r="H1461" s="41">
        <v>46044</v>
      </c>
      <c r="I1461" s="41">
        <v>46044</v>
      </c>
      <c r="J1461" s="41"/>
      <c r="K1461" s="48">
        <v>0.5625</v>
      </c>
      <c r="L1461" s="48">
        <v>0.72916666666666663</v>
      </c>
      <c r="M1461" s="11">
        <f t="shared" si="22"/>
        <v>3.9999999999999991</v>
      </c>
      <c r="N1461" s="34" t="s">
        <v>0</v>
      </c>
      <c r="P1461" s="4"/>
      <c r="Q1461" s="4"/>
      <c r="R1461" s="4"/>
      <c r="S1461" s="4"/>
      <c r="T1461" s="4"/>
      <c r="U1461" s="4"/>
      <c r="V1461" s="4"/>
      <c r="W1461" s="4"/>
    </row>
    <row r="1462" spans="1:23" s="32" customFormat="1" hidden="1" x14ac:dyDescent="0.3">
      <c r="A1462" s="22" t="s">
        <v>20</v>
      </c>
      <c r="B1462" s="21">
        <v>46044</v>
      </c>
      <c r="C1462" s="69" t="s">
        <v>14</v>
      </c>
      <c r="D1462" s="214" t="s">
        <v>44</v>
      </c>
      <c r="E1462" s="233" t="s">
        <v>970</v>
      </c>
      <c r="F1462" s="238" t="s">
        <v>971</v>
      </c>
      <c r="G1462" s="266">
        <v>46044</v>
      </c>
      <c r="H1462" s="266">
        <v>46044</v>
      </c>
      <c r="I1462" s="266">
        <v>46044</v>
      </c>
      <c r="J1462" s="36"/>
      <c r="K1462" s="47">
        <v>0.35416666666666669</v>
      </c>
      <c r="L1462" s="48">
        <v>0.72916666666666663</v>
      </c>
      <c r="M1462" s="11">
        <f t="shared" si="22"/>
        <v>8.9999999999999982</v>
      </c>
      <c r="N1462" s="224" t="s">
        <v>0</v>
      </c>
      <c r="P1462" s="4"/>
      <c r="Q1462" s="4"/>
      <c r="R1462" s="4"/>
      <c r="S1462" s="4"/>
      <c r="T1462" s="4"/>
      <c r="U1462" s="4"/>
      <c r="V1462" s="4"/>
      <c r="W1462" s="4"/>
    </row>
    <row r="1463" spans="1:23" s="32" customFormat="1" hidden="1" x14ac:dyDescent="0.3">
      <c r="A1463" s="22" t="s">
        <v>20</v>
      </c>
      <c r="B1463" s="21">
        <v>46044</v>
      </c>
      <c r="C1463" s="69" t="s">
        <v>33</v>
      </c>
      <c r="D1463" s="215"/>
      <c r="E1463" s="233"/>
      <c r="F1463" s="238"/>
      <c r="G1463" s="267"/>
      <c r="H1463" s="267"/>
      <c r="I1463" s="267"/>
      <c r="J1463" s="15"/>
      <c r="K1463" s="47">
        <v>0.35416666666666669</v>
      </c>
      <c r="L1463" s="48">
        <v>0.72916666666666663</v>
      </c>
      <c r="M1463" s="11">
        <f t="shared" si="22"/>
        <v>8.9999999999999982</v>
      </c>
      <c r="N1463" s="225"/>
      <c r="P1463" s="4"/>
      <c r="Q1463" s="4"/>
      <c r="R1463" s="4"/>
      <c r="S1463" s="4"/>
      <c r="T1463" s="4"/>
      <c r="U1463" s="4"/>
      <c r="V1463" s="4"/>
      <c r="W1463" s="4"/>
    </row>
    <row r="1464" spans="1:23" s="32" customFormat="1" hidden="1" x14ac:dyDescent="0.3">
      <c r="A1464" s="22" t="s">
        <v>20</v>
      </c>
      <c r="B1464" s="21">
        <v>46044</v>
      </c>
      <c r="C1464" s="69" t="s">
        <v>444</v>
      </c>
      <c r="D1464" s="11" t="s">
        <v>44</v>
      </c>
      <c r="E1464" s="11" t="s">
        <v>972</v>
      </c>
      <c r="F1464" s="11" t="s">
        <v>229</v>
      </c>
      <c r="G1464" s="36">
        <v>46044</v>
      </c>
      <c r="H1464" s="17">
        <v>46044</v>
      </c>
      <c r="I1464" s="17">
        <v>46044</v>
      </c>
      <c r="J1464" s="17"/>
      <c r="K1464" s="47">
        <v>0.27083333333333331</v>
      </c>
      <c r="L1464" s="49">
        <v>0.64583333333333337</v>
      </c>
      <c r="M1464" s="11">
        <f t="shared" si="22"/>
        <v>9.0000000000000018</v>
      </c>
      <c r="N1464" s="62" t="s">
        <v>0</v>
      </c>
      <c r="P1464" s="4"/>
      <c r="Q1464" s="4"/>
      <c r="R1464" s="4"/>
      <c r="S1464" s="4"/>
      <c r="T1464" s="4"/>
      <c r="U1464" s="4"/>
      <c r="V1464" s="4"/>
      <c r="W1464" s="4"/>
    </row>
    <row r="1465" spans="1:23" s="32" customFormat="1" hidden="1" x14ac:dyDescent="0.3">
      <c r="A1465" s="22" t="s">
        <v>20</v>
      </c>
      <c r="B1465" s="21">
        <v>46044</v>
      </c>
      <c r="C1465" s="69" t="s">
        <v>421</v>
      </c>
      <c r="D1465" s="22" t="s">
        <v>44</v>
      </c>
      <c r="E1465" s="22" t="s">
        <v>970</v>
      </c>
      <c r="F1465" s="22" t="s">
        <v>973</v>
      </c>
      <c r="G1465" s="41">
        <v>46044</v>
      </c>
      <c r="H1465" s="21">
        <v>46044</v>
      </c>
      <c r="I1465" s="21">
        <v>46044</v>
      </c>
      <c r="J1465" s="21"/>
      <c r="K1465" s="45">
        <v>0.27083333333333331</v>
      </c>
      <c r="L1465" s="48">
        <v>0.64583333333333337</v>
      </c>
      <c r="M1465" s="11">
        <f t="shared" si="22"/>
        <v>9.0000000000000018</v>
      </c>
      <c r="N1465" s="42" t="s">
        <v>0</v>
      </c>
      <c r="P1465" s="4"/>
      <c r="Q1465" s="4"/>
      <c r="R1465" s="4"/>
      <c r="S1465" s="4"/>
      <c r="T1465" s="4"/>
      <c r="U1465" s="4"/>
      <c r="V1465" s="4"/>
      <c r="W1465" s="4"/>
    </row>
    <row r="1466" spans="1:23" s="32" customFormat="1" hidden="1" x14ac:dyDescent="0.3">
      <c r="A1466" s="22" t="s">
        <v>20</v>
      </c>
      <c r="B1466" s="21">
        <v>46044</v>
      </c>
      <c r="C1466" s="22" t="s">
        <v>28</v>
      </c>
      <c r="D1466" s="13" t="s">
        <v>65</v>
      </c>
      <c r="E1466" s="13" t="s">
        <v>890</v>
      </c>
      <c r="F1466" s="26" t="s">
        <v>933</v>
      </c>
      <c r="G1466" s="21">
        <v>46038</v>
      </c>
      <c r="H1466" s="36">
        <v>46044</v>
      </c>
      <c r="I1466" s="36">
        <v>46044</v>
      </c>
      <c r="J1466" s="36"/>
      <c r="K1466" s="47">
        <v>0.35416666666666669</v>
      </c>
      <c r="L1466" s="48">
        <v>0.4375</v>
      </c>
      <c r="M1466" s="11">
        <f t="shared" si="22"/>
        <v>1.9999999999999996</v>
      </c>
      <c r="N1466" s="42" t="s">
        <v>0</v>
      </c>
      <c r="P1466" s="4"/>
      <c r="Q1466" s="4"/>
      <c r="R1466" s="4"/>
      <c r="S1466" s="4"/>
      <c r="T1466" s="4"/>
      <c r="U1466" s="4"/>
      <c r="V1466" s="4"/>
      <c r="W1466" s="4"/>
    </row>
    <row r="1467" spans="1:23" s="32" customFormat="1" hidden="1" x14ac:dyDescent="0.3">
      <c r="A1467" s="22" t="s">
        <v>20</v>
      </c>
      <c r="B1467" s="21">
        <v>46044</v>
      </c>
      <c r="C1467" s="22" t="s">
        <v>28</v>
      </c>
      <c r="D1467" s="13" t="s">
        <v>65</v>
      </c>
      <c r="E1467" s="13" t="s">
        <v>842</v>
      </c>
      <c r="F1467" s="26" t="s">
        <v>975</v>
      </c>
      <c r="G1467" s="41">
        <v>46044</v>
      </c>
      <c r="H1467" s="21">
        <v>46044</v>
      </c>
      <c r="I1467" s="21">
        <v>46044</v>
      </c>
      <c r="J1467" s="21"/>
      <c r="K1467" s="45">
        <v>0.27083333333333331</v>
      </c>
      <c r="L1467" s="48">
        <v>0.72916666666666663</v>
      </c>
      <c r="M1467" s="11">
        <f t="shared" si="22"/>
        <v>11</v>
      </c>
      <c r="N1467" s="42" t="s">
        <v>0</v>
      </c>
      <c r="P1467" s="4"/>
      <c r="Q1467" s="4"/>
      <c r="R1467" s="4"/>
      <c r="S1467" s="4"/>
      <c r="T1467" s="4"/>
      <c r="U1467" s="4"/>
      <c r="V1467" s="4"/>
      <c r="W1467" s="4"/>
    </row>
    <row r="1468" spans="1:23" s="32" customFormat="1" hidden="1" x14ac:dyDescent="0.3">
      <c r="A1468" s="22" t="s">
        <v>20</v>
      </c>
      <c r="B1468" s="21">
        <v>46044</v>
      </c>
      <c r="C1468" s="22" t="s">
        <v>15</v>
      </c>
      <c r="D1468" s="216" t="s">
        <v>65</v>
      </c>
      <c r="E1468" s="216" t="s">
        <v>974</v>
      </c>
      <c r="F1468" s="243" t="s">
        <v>891</v>
      </c>
      <c r="G1468" s="219">
        <v>46043</v>
      </c>
      <c r="H1468" s="219">
        <v>46045</v>
      </c>
      <c r="I1468" s="219">
        <v>46045</v>
      </c>
      <c r="J1468" s="17"/>
      <c r="K1468" s="47">
        <v>0.35416666666666669</v>
      </c>
      <c r="L1468" s="48">
        <v>0.72916666666666663</v>
      </c>
      <c r="M1468" s="11">
        <f t="shared" si="22"/>
        <v>8.9999999999999982</v>
      </c>
      <c r="N1468" s="231" t="s">
        <v>0</v>
      </c>
      <c r="P1468" s="4"/>
      <c r="Q1468" s="4"/>
      <c r="R1468" s="4"/>
      <c r="S1468" s="4"/>
      <c r="T1468" s="4"/>
      <c r="U1468" s="4"/>
      <c r="V1468" s="4"/>
      <c r="W1468" s="4"/>
    </row>
    <row r="1469" spans="1:23" s="32" customFormat="1" hidden="1" x14ac:dyDescent="0.3">
      <c r="A1469" s="22" t="s">
        <v>20</v>
      </c>
      <c r="B1469" s="21">
        <v>46044</v>
      </c>
      <c r="C1469" s="22" t="s">
        <v>31</v>
      </c>
      <c r="D1469" s="217"/>
      <c r="E1469" s="217"/>
      <c r="F1469" s="244"/>
      <c r="G1469" s="220"/>
      <c r="H1469" s="220"/>
      <c r="I1469" s="220"/>
      <c r="J1469" s="23"/>
      <c r="K1469" s="47">
        <v>0.54166666666666663</v>
      </c>
      <c r="L1469" s="48">
        <v>0.58333333333333337</v>
      </c>
      <c r="M1469" s="11">
        <f t="shared" si="22"/>
        <v>1.0000000000000018</v>
      </c>
      <c r="N1469" s="225"/>
      <c r="P1469" s="4"/>
      <c r="Q1469" s="4"/>
      <c r="R1469" s="4"/>
      <c r="S1469" s="4"/>
      <c r="T1469" s="4"/>
      <c r="U1469" s="4"/>
      <c r="V1469" s="4"/>
      <c r="W1469" s="4"/>
    </row>
    <row r="1470" spans="1:23" s="32" customFormat="1" hidden="1" x14ac:dyDescent="0.3">
      <c r="A1470" s="22" t="s">
        <v>20</v>
      </c>
      <c r="B1470" s="21">
        <v>46044</v>
      </c>
      <c r="C1470" s="22" t="s">
        <v>15</v>
      </c>
      <c r="D1470" s="13" t="s">
        <v>65</v>
      </c>
      <c r="E1470" s="20" t="s">
        <v>979</v>
      </c>
      <c r="F1470" s="3" t="s">
        <v>614</v>
      </c>
      <c r="G1470" s="41">
        <v>46044</v>
      </c>
      <c r="H1470" s="21">
        <v>46044</v>
      </c>
      <c r="I1470" s="21">
        <v>46044</v>
      </c>
      <c r="J1470" s="17"/>
      <c r="K1470" s="47">
        <v>0.5625</v>
      </c>
      <c r="L1470" s="48">
        <v>0.72916666666666663</v>
      </c>
      <c r="M1470" s="11">
        <f t="shared" si="22"/>
        <v>3.9999999999999991</v>
      </c>
      <c r="N1470" s="42" t="s">
        <v>0</v>
      </c>
      <c r="P1470" s="4"/>
      <c r="Q1470" s="4"/>
      <c r="R1470" s="4"/>
      <c r="S1470" s="4"/>
      <c r="T1470" s="4"/>
      <c r="U1470" s="4"/>
      <c r="V1470" s="4"/>
      <c r="W1470" s="4"/>
    </row>
    <row r="1471" spans="1:23" s="32" customFormat="1" hidden="1" x14ac:dyDescent="0.3">
      <c r="A1471" s="22" t="s">
        <v>20</v>
      </c>
      <c r="B1471" s="21">
        <v>46044</v>
      </c>
      <c r="C1471" s="22" t="s">
        <v>16</v>
      </c>
      <c r="D1471" s="216" t="s">
        <v>65</v>
      </c>
      <c r="E1471" s="214" t="s">
        <v>936</v>
      </c>
      <c r="F1471" s="243" t="s">
        <v>976</v>
      </c>
      <c r="G1471" s="219">
        <v>46042</v>
      </c>
      <c r="H1471" s="219">
        <v>46044</v>
      </c>
      <c r="I1471" s="219">
        <v>46044</v>
      </c>
      <c r="J1471" s="17"/>
      <c r="K1471" s="47">
        <v>0.27083333333333331</v>
      </c>
      <c r="L1471" s="48">
        <v>0.72916666666666663</v>
      </c>
      <c r="M1471" s="11">
        <f t="shared" si="22"/>
        <v>11</v>
      </c>
      <c r="N1471" s="227" t="s">
        <v>0</v>
      </c>
      <c r="P1471" s="4"/>
      <c r="Q1471" s="4"/>
      <c r="R1471" s="4"/>
      <c r="S1471" s="4"/>
      <c r="T1471" s="4"/>
      <c r="U1471" s="4"/>
      <c r="V1471" s="4"/>
      <c r="W1471" s="4"/>
    </row>
    <row r="1472" spans="1:23" s="32" customFormat="1" hidden="1" x14ac:dyDescent="0.3">
      <c r="A1472" s="22" t="s">
        <v>20</v>
      </c>
      <c r="B1472" s="21">
        <v>46044</v>
      </c>
      <c r="C1472" s="22" t="s">
        <v>31</v>
      </c>
      <c r="D1472" s="217"/>
      <c r="E1472" s="215"/>
      <c r="F1472" s="244"/>
      <c r="G1472" s="220"/>
      <c r="H1472" s="220"/>
      <c r="I1472" s="220"/>
      <c r="J1472" s="23"/>
      <c r="K1472" s="47">
        <v>0.4375</v>
      </c>
      <c r="L1472" s="48">
        <v>0.5</v>
      </c>
      <c r="M1472" s="11">
        <f t="shared" si="22"/>
        <v>1.5</v>
      </c>
      <c r="N1472" s="228"/>
      <c r="P1472" s="4"/>
      <c r="Q1472" s="4"/>
      <c r="R1472" s="4"/>
      <c r="S1472" s="4"/>
      <c r="T1472" s="4"/>
      <c r="U1472" s="4"/>
      <c r="V1472" s="4"/>
      <c r="W1472" s="4"/>
    </row>
    <row r="1473" spans="1:23" s="32" customFormat="1" hidden="1" x14ac:dyDescent="0.3">
      <c r="A1473" s="22" t="s">
        <v>20</v>
      </c>
      <c r="B1473" s="21">
        <v>46044</v>
      </c>
      <c r="C1473" s="69" t="s">
        <v>47</v>
      </c>
      <c r="D1473" s="221" t="s">
        <v>65</v>
      </c>
      <c r="E1473" s="233" t="s">
        <v>939</v>
      </c>
      <c r="F1473" s="245" t="s">
        <v>977</v>
      </c>
      <c r="G1473" s="219">
        <v>46042</v>
      </c>
      <c r="H1473" s="219">
        <v>46044</v>
      </c>
      <c r="I1473" s="219">
        <v>46044</v>
      </c>
      <c r="J1473" s="17"/>
      <c r="K1473" s="47">
        <v>0.27083333333333331</v>
      </c>
      <c r="L1473" s="47">
        <v>0.35416666666666669</v>
      </c>
      <c r="M1473" s="11">
        <f t="shared" si="22"/>
        <v>2.0000000000000009</v>
      </c>
      <c r="N1473" s="227" t="s">
        <v>0</v>
      </c>
      <c r="P1473" s="4"/>
      <c r="Q1473" s="4"/>
      <c r="R1473" s="4"/>
      <c r="S1473" s="4"/>
      <c r="T1473" s="4"/>
      <c r="U1473" s="4"/>
      <c r="V1473" s="4"/>
      <c r="W1473" s="4"/>
    </row>
    <row r="1474" spans="1:23" s="32" customFormat="1" hidden="1" x14ac:dyDescent="0.3">
      <c r="A1474" s="22" t="s">
        <v>20</v>
      </c>
      <c r="B1474" s="21">
        <v>46044</v>
      </c>
      <c r="C1474" s="69" t="s">
        <v>31</v>
      </c>
      <c r="D1474" s="221"/>
      <c r="E1474" s="233"/>
      <c r="F1474" s="245"/>
      <c r="G1474" s="220"/>
      <c r="H1474" s="220"/>
      <c r="I1474" s="220"/>
      <c r="J1474" s="19"/>
      <c r="K1474" s="45">
        <v>0.58333333333333337</v>
      </c>
      <c r="L1474" s="48">
        <v>0.66666666666666663</v>
      </c>
      <c r="M1474" s="11">
        <f t="shared" ref="M1474:M1537" si="23">MOD(L1474-K1474,1)*24</f>
        <v>1.9999999999999982</v>
      </c>
      <c r="N1474" s="228"/>
      <c r="P1474" s="4"/>
      <c r="Q1474" s="4"/>
      <c r="R1474" s="4"/>
      <c r="S1474" s="4"/>
      <c r="T1474" s="4"/>
      <c r="U1474" s="4"/>
      <c r="V1474" s="4"/>
      <c r="W1474" s="4"/>
    </row>
    <row r="1475" spans="1:23" s="32" customFormat="1" ht="15.6" hidden="1" x14ac:dyDescent="0.3">
      <c r="A1475" s="40" t="s">
        <v>21</v>
      </c>
      <c r="B1475" s="21">
        <v>46045</v>
      </c>
      <c r="C1475" s="40" t="s">
        <v>26</v>
      </c>
      <c r="D1475" s="40" t="s">
        <v>24</v>
      </c>
      <c r="E1475" s="40" t="s">
        <v>964</v>
      </c>
      <c r="F1475" s="84" t="s">
        <v>946</v>
      </c>
      <c r="G1475" s="41">
        <v>46043</v>
      </c>
      <c r="H1475" s="41">
        <v>46046</v>
      </c>
      <c r="I1475" s="85"/>
      <c r="J1475" s="85"/>
      <c r="K1475" s="51">
        <v>0.27083333333333331</v>
      </c>
      <c r="L1475" s="51">
        <v>0.64583333333333337</v>
      </c>
      <c r="M1475" s="11">
        <f t="shared" si="23"/>
        <v>9.0000000000000018</v>
      </c>
      <c r="N1475" s="67" t="s">
        <v>1</v>
      </c>
      <c r="P1475" s="4"/>
      <c r="Q1475" s="4"/>
      <c r="R1475" s="4"/>
      <c r="S1475" s="4"/>
      <c r="T1475" s="4"/>
      <c r="U1475" s="4"/>
      <c r="V1475" s="4"/>
      <c r="W1475" s="4"/>
    </row>
    <row r="1476" spans="1:23" s="32" customFormat="1" ht="15.6" hidden="1" x14ac:dyDescent="0.3">
      <c r="A1476" s="40" t="s">
        <v>21</v>
      </c>
      <c r="B1476" s="21">
        <v>46045</v>
      </c>
      <c r="C1476" s="40" t="s">
        <v>50</v>
      </c>
      <c r="D1476" s="40" t="s">
        <v>24</v>
      </c>
      <c r="E1476" s="40" t="s">
        <v>829</v>
      </c>
      <c r="F1476" s="84" t="s">
        <v>981</v>
      </c>
      <c r="G1476" s="41">
        <v>46044</v>
      </c>
      <c r="H1476" s="41">
        <v>46045</v>
      </c>
      <c r="I1476" s="85"/>
      <c r="J1476" s="85"/>
      <c r="K1476" s="51">
        <v>0.35416666666666669</v>
      </c>
      <c r="L1476" s="51">
        <v>0.72916666666666663</v>
      </c>
      <c r="M1476" s="11">
        <f t="shared" si="23"/>
        <v>8.9999999999999982</v>
      </c>
      <c r="N1476" s="67" t="s">
        <v>1</v>
      </c>
      <c r="P1476" s="4"/>
      <c r="Q1476" s="4"/>
      <c r="R1476" s="4"/>
      <c r="S1476" s="4"/>
      <c r="T1476" s="4"/>
      <c r="U1476" s="4"/>
      <c r="V1476" s="4"/>
      <c r="W1476" s="4"/>
    </row>
    <row r="1477" spans="1:23" s="32" customFormat="1" hidden="1" x14ac:dyDescent="0.3">
      <c r="A1477" s="40" t="s">
        <v>21</v>
      </c>
      <c r="B1477" s="21">
        <v>46045</v>
      </c>
      <c r="C1477" s="40" t="s">
        <v>830</v>
      </c>
      <c r="D1477" s="40" t="s">
        <v>24</v>
      </c>
      <c r="E1477" s="40" t="s">
        <v>964</v>
      </c>
      <c r="F1477" s="84" t="s">
        <v>946</v>
      </c>
      <c r="G1477" s="41">
        <v>46044</v>
      </c>
      <c r="H1477" s="41">
        <v>46045</v>
      </c>
      <c r="I1477" s="41"/>
      <c r="J1477" s="41"/>
      <c r="K1477" s="51">
        <v>0.35416666666666669</v>
      </c>
      <c r="L1477" s="51">
        <v>0.72916666666666663</v>
      </c>
      <c r="M1477" s="11">
        <f t="shared" si="23"/>
        <v>8.9999999999999982</v>
      </c>
      <c r="N1477" s="67" t="s">
        <v>1</v>
      </c>
      <c r="P1477" s="4"/>
      <c r="Q1477" s="4"/>
      <c r="R1477" s="4"/>
      <c r="S1477" s="4"/>
      <c r="T1477" s="4"/>
      <c r="U1477" s="4"/>
      <c r="V1477" s="4"/>
      <c r="W1477" s="4"/>
    </row>
    <row r="1478" spans="1:23" s="32" customFormat="1" hidden="1" x14ac:dyDescent="0.3">
      <c r="A1478" s="40" t="s">
        <v>21</v>
      </c>
      <c r="B1478" s="21">
        <v>46045</v>
      </c>
      <c r="C1478" s="40" t="s">
        <v>274</v>
      </c>
      <c r="D1478" s="262" t="s">
        <v>8</v>
      </c>
      <c r="E1478" s="262" t="s">
        <v>966</v>
      </c>
      <c r="F1478" s="264" t="s">
        <v>967</v>
      </c>
      <c r="G1478" s="266">
        <v>46045</v>
      </c>
      <c r="H1478" s="266">
        <v>46045</v>
      </c>
      <c r="I1478" s="259"/>
      <c r="J1478" s="41"/>
      <c r="K1478" s="51">
        <v>0.27083333333333331</v>
      </c>
      <c r="L1478" s="51">
        <v>0.72916666666666663</v>
      </c>
      <c r="M1478" s="11">
        <f t="shared" si="23"/>
        <v>11</v>
      </c>
      <c r="N1478" s="227" t="s">
        <v>1</v>
      </c>
      <c r="P1478" s="4"/>
      <c r="Q1478" s="4"/>
      <c r="R1478" s="4"/>
      <c r="S1478" s="4"/>
      <c r="T1478" s="4"/>
      <c r="U1478" s="4"/>
      <c r="V1478" s="4"/>
      <c r="W1478" s="4"/>
    </row>
    <row r="1479" spans="1:23" s="32" customFormat="1" hidden="1" x14ac:dyDescent="0.3">
      <c r="A1479" s="40" t="s">
        <v>21</v>
      </c>
      <c r="B1479" s="21">
        <v>46045</v>
      </c>
      <c r="C1479" s="40" t="s">
        <v>18</v>
      </c>
      <c r="D1479" s="263"/>
      <c r="E1479" s="263"/>
      <c r="F1479" s="265"/>
      <c r="G1479" s="267"/>
      <c r="H1479" s="267"/>
      <c r="I1479" s="259"/>
      <c r="J1479" s="41"/>
      <c r="K1479" s="51">
        <v>0.35416666666666669</v>
      </c>
      <c r="L1479" s="51">
        <v>0.72916666666666663</v>
      </c>
      <c r="M1479" s="11">
        <f t="shared" si="23"/>
        <v>8.9999999999999982</v>
      </c>
      <c r="N1479" s="228"/>
      <c r="P1479" s="4"/>
      <c r="Q1479" s="4"/>
      <c r="R1479" s="4"/>
      <c r="S1479" s="4"/>
      <c r="T1479" s="4"/>
      <c r="U1479" s="4"/>
      <c r="V1479" s="4"/>
      <c r="W1479" s="4"/>
    </row>
    <row r="1480" spans="1:23" s="32" customFormat="1" hidden="1" x14ac:dyDescent="0.3">
      <c r="A1480" s="40" t="s">
        <v>21</v>
      </c>
      <c r="B1480" s="21">
        <v>46045</v>
      </c>
      <c r="C1480" s="40" t="s">
        <v>274</v>
      </c>
      <c r="D1480" s="7" t="s">
        <v>27</v>
      </c>
      <c r="E1480" s="7" t="s">
        <v>995</v>
      </c>
      <c r="F1480" s="88" t="s">
        <v>349</v>
      </c>
      <c r="G1480" s="36">
        <v>46045</v>
      </c>
      <c r="H1480" s="36">
        <v>46045</v>
      </c>
      <c r="I1480" s="36">
        <v>46045</v>
      </c>
      <c r="J1480" s="36"/>
      <c r="K1480" s="51">
        <v>0.41666666666666669</v>
      </c>
      <c r="L1480" s="51">
        <v>0.5</v>
      </c>
      <c r="M1480" s="11">
        <f t="shared" si="23"/>
        <v>1.9999999999999996</v>
      </c>
      <c r="N1480" s="62" t="s">
        <v>0</v>
      </c>
      <c r="P1480" s="4"/>
      <c r="Q1480" s="4"/>
      <c r="R1480" s="4"/>
      <c r="S1480" s="4"/>
      <c r="T1480" s="4"/>
      <c r="U1480" s="4"/>
      <c r="V1480" s="4"/>
      <c r="W1480" s="4"/>
    </row>
    <row r="1481" spans="1:23" s="32" customFormat="1" hidden="1" x14ac:dyDescent="0.3">
      <c r="A1481" s="40" t="s">
        <v>21</v>
      </c>
      <c r="B1481" s="21">
        <v>46045</v>
      </c>
      <c r="C1481" s="40" t="s">
        <v>771</v>
      </c>
      <c r="D1481" s="10" t="s">
        <v>43</v>
      </c>
      <c r="E1481" s="10" t="s">
        <v>992</v>
      </c>
      <c r="F1481" s="38" t="s">
        <v>349</v>
      </c>
      <c r="G1481" s="36">
        <v>46045</v>
      </c>
      <c r="H1481" s="36">
        <v>46045</v>
      </c>
      <c r="I1481" s="41"/>
      <c r="J1481" s="41"/>
      <c r="K1481" s="51">
        <v>0.27083333333333331</v>
      </c>
      <c r="L1481" s="51">
        <v>0.64583333333333337</v>
      </c>
      <c r="M1481" s="11">
        <f t="shared" si="23"/>
        <v>9.0000000000000018</v>
      </c>
      <c r="N1481" s="63" t="s">
        <v>1</v>
      </c>
      <c r="P1481" s="4"/>
      <c r="Q1481" s="4"/>
      <c r="R1481" s="4"/>
      <c r="S1481" s="4"/>
      <c r="T1481" s="4"/>
      <c r="U1481" s="4"/>
      <c r="V1481" s="4"/>
      <c r="W1481" s="4"/>
    </row>
    <row r="1482" spans="1:23" s="32" customFormat="1" hidden="1" x14ac:dyDescent="0.3">
      <c r="A1482" s="40" t="s">
        <v>21</v>
      </c>
      <c r="B1482" s="21">
        <v>46045</v>
      </c>
      <c r="C1482" s="40" t="s">
        <v>320</v>
      </c>
      <c r="D1482" s="8" t="s">
        <v>43</v>
      </c>
      <c r="E1482" s="8" t="s">
        <v>990</v>
      </c>
      <c r="F1482" s="39" t="s">
        <v>991</v>
      </c>
      <c r="G1482" s="36">
        <v>46045</v>
      </c>
      <c r="H1482" s="36">
        <v>46045</v>
      </c>
      <c r="I1482" s="36">
        <v>46045</v>
      </c>
      <c r="J1482" s="36"/>
      <c r="K1482" s="51">
        <v>0.35416666666666669</v>
      </c>
      <c r="L1482" s="51">
        <v>0.5</v>
      </c>
      <c r="M1482" s="11">
        <f t="shared" si="23"/>
        <v>3.4999999999999996</v>
      </c>
      <c r="N1482" s="62" t="s">
        <v>0</v>
      </c>
      <c r="P1482" s="4"/>
      <c r="Q1482" s="4"/>
      <c r="R1482" s="4"/>
      <c r="S1482" s="4"/>
      <c r="T1482" s="4"/>
      <c r="U1482" s="4"/>
      <c r="V1482" s="4"/>
      <c r="W1482" s="4"/>
    </row>
    <row r="1483" spans="1:23" s="32" customFormat="1" hidden="1" x14ac:dyDescent="0.3">
      <c r="A1483" s="40" t="s">
        <v>21</v>
      </c>
      <c r="B1483" s="21">
        <v>46045</v>
      </c>
      <c r="C1483" s="40" t="s">
        <v>771</v>
      </c>
      <c r="D1483" s="7" t="s">
        <v>43</v>
      </c>
      <c r="E1483" s="7" t="s">
        <v>865</v>
      </c>
      <c r="F1483" s="88" t="s">
        <v>663</v>
      </c>
      <c r="G1483" s="41">
        <v>46045</v>
      </c>
      <c r="H1483" s="41">
        <v>46045</v>
      </c>
      <c r="I1483" s="36"/>
      <c r="J1483" s="36"/>
      <c r="K1483" s="51">
        <v>0.27083333333333331</v>
      </c>
      <c r="L1483" s="51">
        <v>0.64583333333333337</v>
      </c>
      <c r="M1483" s="11">
        <f t="shared" si="23"/>
        <v>9.0000000000000018</v>
      </c>
      <c r="N1483" s="67" t="s">
        <v>1</v>
      </c>
      <c r="P1483" s="4"/>
      <c r="Q1483" s="4"/>
      <c r="R1483" s="4"/>
      <c r="S1483" s="4"/>
      <c r="T1483" s="4"/>
      <c r="U1483" s="4"/>
      <c r="V1483" s="4"/>
      <c r="W1483" s="4"/>
    </row>
    <row r="1484" spans="1:23" s="32" customFormat="1" hidden="1" x14ac:dyDescent="0.3">
      <c r="A1484" s="40" t="s">
        <v>21</v>
      </c>
      <c r="B1484" s="21">
        <v>46045</v>
      </c>
      <c r="C1484" s="40" t="s">
        <v>118</v>
      </c>
      <c r="D1484" s="262" t="s">
        <v>54</v>
      </c>
      <c r="E1484" s="262" t="s">
        <v>688</v>
      </c>
      <c r="F1484" s="262" t="s">
        <v>982</v>
      </c>
      <c r="G1484" s="266">
        <v>46045</v>
      </c>
      <c r="H1484" s="266">
        <v>46045</v>
      </c>
      <c r="I1484" s="266"/>
      <c r="J1484" s="36"/>
      <c r="K1484" s="51">
        <v>0.35416666666666669</v>
      </c>
      <c r="L1484" s="51">
        <v>0.72916666666666663</v>
      </c>
      <c r="M1484" s="11">
        <f t="shared" si="23"/>
        <v>8.9999999999999982</v>
      </c>
      <c r="N1484" s="227" t="s">
        <v>1</v>
      </c>
      <c r="P1484" s="4"/>
      <c r="Q1484" s="4"/>
      <c r="R1484" s="4"/>
      <c r="S1484" s="4"/>
      <c r="T1484" s="4"/>
      <c r="U1484" s="4"/>
      <c r="V1484" s="4"/>
      <c r="W1484" s="4"/>
    </row>
    <row r="1485" spans="1:23" s="32" customFormat="1" hidden="1" x14ac:dyDescent="0.3">
      <c r="A1485" s="40" t="s">
        <v>21</v>
      </c>
      <c r="B1485" s="21">
        <v>46045</v>
      </c>
      <c r="C1485" s="40" t="s">
        <v>34</v>
      </c>
      <c r="D1485" s="263"/>
      <c r="E1485" s="263"/>
      <c r="F1485" s="263"/>
      <c r="G1485" s="267"/>
      <c r="H1485" s="267"/>
      <c r="I1485" s="267"/>
      <c r="J1485" s="37"/>
      <c r="K1485" s="51">
        <v>0.35416666666666669</v>
      </c>
      <c r="L1485" s="51">
        <v>0.72916666666666663</v>
      </c>
      <c r="M1485" s="11">
        <f t="shared" si="23"/>
        <v>8.9999999999999982</v>
      </c>
      <c r="N1485" s="228"/>
      <c r="P1485" s="4"/>
      <c r="Q1485" s="4"/>
      <c r="R1485" s="4"/>
      <c r="S1485" s="4"/>
      <c r="T1485" s="4"/>
      <c r="U1485" s="4"/>
      <c r="V1485" s="4"/>
      <c r="W1485" s="4"/>
    </row>
    <row r="1486" spans="1:23" s="32" customFormat="1" hidden="1" x14ac:dyDescent="0.3">
      <c r="A1486" s="40" t="s">
        <v>21</v>
      </c>
      <c r="B1486" s="21">
        <v>46045</v>
      </c>
      <c r="C1486" s="40" t="s">
        <v>25</v>
      </c>
      <c r="D1486" s="40" t="s">
        <v>43</v>
      </c>
      <c r="E1486" s="40" t="s">
        <v>993</v>
      </c>
      <c r="F1486" s="40" t="s">
        <v>994</v>
      </c>
      <c r="G1486" s="41">
        <v>46045</v>
      </c>
      <c r="H1486" s="41">
        <v>46045</v>
      </c>
      <c r="I1486" s="41">
        <v>46045</v>
      </c>
      <c r="J1486" s="41"/>
      <c r="K1486" s="51">
        <v>0.27083333333333331</v>
      </c>
      <c r="L1486" s="51">
        <v>0.64583333333333337</v>
      </c>
      <c r="M1486" s="11">
        <f t="shared" si="23"/>
        <v>9.0000000000000018</v>
      </c>
      <c r="N1486" s="42" t="s">
        <v>0</v>
      </c>
      <c r="P1486" s="4"/>
      <c r="Q1486" s="4"/>
      <c r="R1486" s="4"/>
      <c r="S1486" s="4"/>
      <c r="T1486" s="4"/>
      <c r="U1486" s="4"/>
      <c r="V1486" s="4"/>
      <c r="W1486" s="4"/>
    </row>
    <row r="1487" spans="1:23" s="32" customFormat="1" hidden="1" x14ac:dyDescent="0.3">
      <c r="A1487" s="8" t="s">
        <v>21</v>
      </c>
      <c r="B1487" s="19">
        <v>46045</v>
      </c>
      <c r="C1487" s="8" t="s">
        <v>55</v>
      </c>
      <c r="D1487" s="7" t="s">
        <v>43</v>
      </c>
      <c r="E1487" s="7" t="s">
        <v>927</v>
      </c>
      <c r="F1487" s="7" t="s">
        <v>884</v>
      </c>
      <c r="G1487" s="15">
        <v>46043</v>
      </c>
      <c r="H1487" s="15">
        <v>46045</v>
      </c>
      <c r="I1487" s="37"/>
      <c r="J1487" s="37"/>
      <c r="K1487" s="52">
        <v>0.27083333333333331</v>
      </c>
      <c r="L1487" s="52">
        <v>0.64583333333333337</v>
      </c>
      <c r="M1487" s="11">
        <f t="shared" si="23"/>
        <v>9.0000000000000018</v>
      </c>
      <c r="N1487" s="33" t="s">
        <v>1</v>
      </c>
      <c r="P1487" s="4"/>
      <c r="Q1487" s="4"/>
      <c r="R1487" s="4"/>
      <c r="S1487" s="4"/>
      <c r="T1487" s="4"/>
      <c r="U1487" s="4"/>
      <c r="V1487" s="4"/>
      <c r="W1487" s="4"/>
    </row>
    <row r="1488" spans="1:23" s="32" customFormat="1" hidden="1" x14ac:dyDescent="0.3">
      <c r="A1488" s="40" t="s">
        <v>21</v>
      </c>
      <c r="B1488" s="21">
        <v>46045</v>
      </c>
      <c r="C1488" s="40" t="s">
        <v>56</v>
      </c>
      <c r="D1488" s="10" t="s">
        <v>43</v>
      </c>
      <c r="E1488" s="10" t="s">
        <v>950</v>
      </c>
      <c r="F1488" s="10" t="s">
        <v>884</v>
      </c>
      <c r="G1488" s="36">
        <v>46045</v>
      </c>
      <c r="H1488" s="36">
        <v>46045</v>
      </c>
      <c r="I1488" s="41"/>
      <c r="J1488" s="41"/>
      <c r="K1488" s="51">
        <v>0.27083333333333331</v>
      </c>
      <c r="L1488" s="51">
        <v>0.64583333333333337</v>
      </c>
      <c r="M1488" s="11">
        <f t="shared" si="23"/>
        <v>9.0000000000000018</v>
      </c>
      <c r="N1488" s="63" t="s">
        <v>1</v>
      </c>
      <c r="P1488" s="4"/>
      <c r="Q1488" s="4"/>
      <c r="R1488" s="4"/>
      <c r="S1488" s="4"/>
      <c r="T1488" s="4"/>
      <c r="U1488" s="4"/>
      <c r="V1488" s="4"/>
      <c r="W1488" s="4"/>
    </row>
    <row r="1489" spans="1:23" s="32" customFormat="1" hidden="1" x14ac:dyDescent="0.3">
      <c r="A1489" s="22" t="s">
        <v>19</v>
      </c>
      <c r="B1489" s="21">
        <v>46045</v>
      </c>
      <c r="C1489" s="22" t="s">
        <v>208</v>
      </c>
      <c r="D1489" s="24" t="s">
        <v>8</v>
      </c>
      <c r="E1489" s="24" t="s">
        <v>682</v>
      </c>
      <c r="F1489" s="24" t="s">
        <v>244</v>
      </c>
      <c r="G1489" s="41">
        <v>46044</v>
      </c>
      <c r="H1489" s="41">
        <v>46044</v>
      </c>
      <c r="I1489" s="21"/>
      <c r="J1489" s="21"/>
      <c r="K1489" s="51">
        <v>0.27083333333333331</v>
      </c>
      <c r="L1489" s="48">
        <v>0.54166666666666663</v>
      </c>
      <c r="M1489" s="11">
        <f t="shared" si="23"/>
        <v>6.5</v>
      </c>
      <c r="N1489" s="67" t="s">
        <v>1</v>
      </c>
      <c r="P1489" s="4"/>
      <c r="Q1489" s="4"/>
      <c r="R1489" s="4"/>
      <c r="S1489" s="4"/>
      <c r="T1489" s="4"/>
      <c r="U1489" s="4"/>
      <c r="V1489" s="4"/>
      <c r="W1489" s="4"/>
    </row>
    <row r="1490" spans="1:23" s="32" customFormat="1" hidden="1" x14ac:dyDescent="0.3">
      <c r="A1490" s="22" t="s">
        <v>19</v>
      </c>
      <c r="B1490" s="21">
        <v>46045</v>
      </c>
      <c r="C1490" s="12" t="s">
        <v>9</v>
      </c>
      <c r="D1490" s="24" t="s">
        <v>8</v>
      </c>
      <c r="E1490" s="20" t="s">
        <v>481</v>
      </c>
      <c r="F1490" s="20" t="s">
        <v>239</v>
      </c>
      <c r="G1490" s="41">
        <v>46044</v>
      </c>
      <c r="H1490" s="41">
        <v>46044</v>
      </c>
      <c r="I1490" s="41"/>
      <c r="J1490" s="37"/>
      <c r="K1490" s="52">
        <v>0.35416666666666669</v>
      </c>
      <c r="L1490" s="53">
        <v>0.4375</v>
      </c>
      <c r="M1490" s="11">
        <f t="shared" si="23"/>
        <v>1.9999999999999996</v>
      </c>
      <c r="N1490" s="67" t="s">
        <v>1</v>
      </c>
      <c r="P1490" s="4"/>
      <c r="Q1490" s="4"/>
      <c r="R1490" s="4"/>
      <c r="S1490" s="4"/>
      <c r="T1490" s="4"/>
      <c r="U1490" s="4"/>
      <c r="V1490" s="4"/>
      <c r="W1490" s="4"/>
    </row>
    <row r="1491" spans="1:23" s="32" customFormat="1" hidden="1" x14ac:dyDescent="0.3">
      <c r="A1491" s="22" t="s">
        <v>19</v>
      </c>
      <c r="B1491" s="21">
        <v>46045</v>
      </c>
      <c r="C1491" s="22" t="s">
        <v>9</v>
      </c>
      <c r="D1491" s="20" t="s">
        <v>8</v>
      </c>
      <c r="E1491" s="20" t="s">
        <v>958</v>
      </c>
      <c r="F1491" s="20" t="s">
        <v>978</v>
      </c>
      <c r="G1491" s="41">
        <v>46044</v>
      </c>
      <c r="H1491" s="41">
        <v>46044</v>
      </c>
      <c r="I1491" s="36"/>
      <c r="J1491" s="15"/>
      <c r="K1491" s="53">
        <v>0.4375</v>
      </c>
      <c r="L1491" s="48">
        <v>0.5625</v>
      </c>
      <c r="M1491" s="11">
        <f t="shared" si="23"/>
        <v>3</v>
      </c>
      <c r="N1491" s="33" t="s">
        <v>1</v>
      </c>
      <c r="P1491" s="4"/>
      <c r="Q1491" s="4"/>
      <c r="R1491" s="4"/>
      <c r="S1491" s="4"/>
      <c r="T1491" s="4"/>
      <c r="U1491" s="4"/>
      <c r="V1491" s="4"/>
      <c r="W1491" s="4"/>
    </row>
    <row r="1492" spans="1:23" s="32" customFormat="1" hidden="1" x14ac:dyDescent="0.3">
      <c r="A1492" s="22" t="s">
        <v>19</v>
      </c>
      <c r="B1492" s="21">
        <v>46045</v>
      </c>
      <c r="C1492" s="22" t="s">
        <v>9</v>
      </c>
      <c r="D1492" s="20" t="s">
        <v>8</v>
      </c>
      <c r="E1492" s="20" t="s">
        <v>980</v>
      </c>
      <c r="F1492" s="20" t="s">
        <v>978</v>
      </c>
      <c r="G1492" s="41">
        <v>46044</v>
      </c>
      <c r="H1492" s="41">
        <v>46044</v>
      </c>
      <c r="I1492" s="41"/>
      <c r="J1492" s="41"/>
      <c r="K1492" s="48">
        <v>0.5625</v>
      </c>
      <c r="L1492" s="48">
        <v>0.72916666666666663</v>
      </c>
      <c r="M1492" s="11">
        <f t="shared" si="23"/>
        <v>3.9999999999999991</v>
      </c>
      <c r="N1492" s="33" t="s">
        <v>1</v>
      </c>
      <c r="P1492" s="4"/>
      <c r="Q1492" s="4"/>
      <c r="R1492" s="4"/>
      <c r="S1492" s="4"/>
      <c r="T1492" s="4"/>
      <c r="U1492" s="4"/>
      <c r="V1492" s="4"/>
      <c r="W1492" s="4"/>
    </row>
    <row r="1493" spans="1:23" s="32" customFormat="1" hidden="1" x14ac:dyDescent="0.3">
      <c r="A1493" s="22" t="s">
        <v>20</v>
      </c>
      <c r="B1493" s="21">
        <v>46045</v>
      </c>
      <c r="C1493" s="69" t="s">
        <v>444</v>
      </c>
      <c r="D1493" s="214" t="s">
        <v>44</v>
      </c>
      <c r="E1493" s="233" t="s">
        <v>970</v>
      </c>
      <c r="F1493" s="238" t="s">
        <v>983</v>
      </c>
      <c r="G1493" s="266">
        <v>46045</v>
      </c>
      <c r="H1493" s="266">
        <v>46053</v>
      </c>
      <c r="I1493" s="266">
        <v>46053</v>
      </c>
      <c r="J1493" s="36"/>
      <c r="K1493" s="51">
        <v>0.27083333333333331</v>
      </c>
      <c r="L1493" s="51">
        <v>0.64583333333333337</v>
      </c>
      <c r="M1493" s="11">
        <f t="shared" si="23"/>
        <v>9.0000000000000018</v>
      </c>
      <c r="N1493" s="224" t="s">
        <v>0</v>
      </c>
      <c r="P1493" s="4"/>
      <c r="Q1493" s="4"/>
      <c r="R1493" s="4"/>
      <c r="S1493" s="4"/>
      <c r="T1493" s="4"/>
      <c r="U1493" s="4"/>
      <c r="V1493" s="4"/>
      <c r="W1493" s="4"/>
    </row>
    <row r="1494" spans="1:23" s="32" customFormat="1" hidden="1" x14ac:dyDescent="0.3">
      <c r="A1494" s="22" t="s">
        <v>20</v>
      </c>
      <c r="B1494" s="21">
        <v>46045</v>
      </c>
      <c r="C1494" s="69" t="s">
        <v>421</v>
      </c>
      <c r="D1494" s="215"/>
      <c r="E1494" s="233"/>
      <c r="F1494" s="238"/>
      <c r="G1494" s="267"/>
      <c r="H1494" s="267"/>
      <c r="I1494" s="267"/>
      <c r="J1494" s="37"/>
      <c r="K1494" s="51">
        <v>0.27083333333333331</v>
      </c>
      <c r="L1494" s="51">
        <v>0.64583333333333337</v>
      </c>
      <c r="M1494" s="11">
        <f t="shared" si="23"/>
        <v>9.0000000000000018</v>
      </c>
      <c r="N1494" s="225"/>
      <c r="P1494" s="4"/>
      <c r="Q1494" s="4"/>
      <c r="R1494" s="4"/>
      <c r="S1494" s="4"/>
      <c r="T1494" s="4"/>
      <c r="U1494" s="4"/>
      <c r="V1494" s="4"/>
      <c r="W1494" s="4"/>
    </row>
    <row r="1495" spans="1:23" s="32" customFormat="1" hidden="1" x14ac:dyDescent="0.3">
      <c r="A1495" s="22" t="s">
        <v>20</v>
      </c>
      <c r="B1495" s="21">
        <v>46045</v>
      </c>
      <c r="C1495" s="69" t="s">
        <v>14</v>
      </c>
      <c r="D1495" s="214" t="s">
        <v>44</v>
      </c>
      <c r="E1495" s="214" t="s">
        <v>970</v>
      </c>
      <c r="F1495" s="214" t="s">
        <v>984</v>
      </c>
      <c r="G1495" s="266">
        <v>46045</v>
      </c>
      <c r="H1495" s="266">
        <v>46045</v>
      </c>
      <c r="I1495" s="266">
        <v>46045</v>
      </c>
      <c r="J1495" s="36"/>
      <c r="K1495" s="47">
        <v>0.35416666666666669</v>
      </c>
      <c r="L1495" s="48">
        <v>0.72916666666666663</v>
      </c>
      <c r="M1495" s="11">
        <f t="shared" si="23"/>
        <v>8.9999999999999982</v>
      </c>
      <c r="N1495" s="224" t="s">
        <v>0</v>
      </c>
      <c r="P1495" s="4"/>
      <c r="Q1495" s="4"/>
      <c r="R1495" s="4"/>
      <c r="S1495" s="4"/>
      <c r="T1495" s="4"/>
      <c r="U1495" s="4"/>
      <c r="V1495" s="4"/>
      <c r="W1495" s="4"/>
    </row>
    <row r="1496" spans="1:23" s="32" customFormat="1" hidden="1" x14ac:dyDescent="0.3">
      <c r="A1496" s="22" t="s">
        <v>20</v>
      </c>
      <c r="B1496" s="21">
        <v>46045</v>
      </c>
      <c r="C1496" s="69" t="s">
        <v>33</v>
      </c>
      <c r="D1496" s="215"/>
      <c r="E1496" s="215"/>
      <c r="F1496" s="215"/>
      <c r="G1496" s="267"/>
      <c r="H1496" s="267"/>
      <c r="I1496" s="267"/>
      <c r="J1496" s="15"/>
      <c r="K1496" s="47">
        <v>0.35416666666666669</v>
      </c>
      <c r="L1496" s="48">
        <v>0.72916666666666663</v>
      </c>
      <c r="M1496" s="11">
        <f t="shared" si="23"/>
        <v>8.9999999999999982</v>
      </c>
      <c r="N1496" s="225"/>
      <c r="P1496" s="4"/>
      <c r="Q1496" s="4"/>
      <c r="R1496" s="4"/>
      <c r="S1496" s="4"/>
      <c r="T1496" s="4"/>
      <c r="U1496" s="4"/>
      <c r="V1496" s="4"/>
      <c r="W1496" s="4"/>
    </row>
    <row r="1497" spans="1:23" s="32" customFormat="1" hidden="1" x14ac:dyDescent="0.3">
      <c r="A1497" s="22" t="s">
        <v>20</v>
      </c>
      <c r="B1497" s="21">
        <v>46045</v>
      </c>
      <c r="C1497" s="22" t="s">
        <v>167</v>
      </c>
      <c r="D1497" s="13" t="s">
        <v>65</v>
      </c>
      <c r="E1497" s="13" t="s">
        <v>784</v>
      </c>
      <c r="F1497" s="26" t="s">
        <v>244</v>
      </c>
      <c r="G1497" s="21">
        <v>46045</v>
      </c>
      <c r="H1497" s="21">
        <v>46045</v>
      </c>
      <c r="I1497" s="21">
        <v>46045</v>
      </c>
      <c r="J1497" s="21"/>
      <c r="K1497" s="45">
        <v>0.27083333333333331</v>
      </c>
      <c r="L1497" s="47">
        <v>0.35416666666666669</v>
      </c>
      <c r="M1497" s="11">
        <f t="shared" si="23"/>
        <v>2.0000000000000009</v>
      </c>
      <c r="N1497" s="42" t="s">
        <v>0</v>
      </c>
      <c r="P1497" s="4"/>
      <c r="Q1497" s="4"/>
      <c r="R1497" s="4"/>
      <c r="S1497" s="4"/>
      <c r="T1497" s="4"/>
      <c r="U1497" s="4"/>
      <c r="V1497" s="4"/>
      <c r="W1497" s="4"/>
    </row>
    <row r="1498" spans="1:23" s="32" customFormat="1" hidden="1" x14ac:dyDescent="0.3">
      <c r="A1498" s="22" t="s">
        <v>20</v>
      </c>
      <c r="B1498" s="21">
        <v>46045</v>
      </c>
      <c r="C1498" s="22" t="s">
        <v>167</v>
      </c>
      <c r="D1498" s="13" t="s">
        <v>65</v>
      </c>
      <c r="E1498" s="13" t="s">
        <v>742</v>
      </c>
      <c r="F1498" s="26" t="s">
        <v>985</v>
      </c>
      <c r="G1498" s="21">
        <v>46045</v>
      </c>
      <c r="H1498" s="21">
        <v>46045</v>
      </c>
      <c r="I1498" s="21">
        <v>46045</v>
      </c>
      <c r="J1498" s="17"/>
      <c r="K1498" s="47">
        <v>0.35416666666666669</v>
      </c>
      <c r="L1498" s="48">
        <v>0.72916666666666663</v>
      </c>
      <c r="M1498" s="11">
        <f t="shared" si="23"/>
        <v>8.9999999999999982</v>
      </c>
      <c r="N1498" s="42" t="s">
        <v>0</v>
      </c>
      <c r="P1498" s="4"/>
      <c r="Q1498" s="4"/>
      <c r="R1498" s="4"/>
      <c r="S1498" s="4"/>
      <c r="T1498" s="4"/>
      <c r="U1498" s="4"/>
      <c r="V1498" s="4"/>
      <c r="W1498" s="4"/>
    </row>
    <row r="1499" spans="1:23" s="32" customFormat="1" hidden="1" x14ac:dyDescent="0.3">
      <c r="A1499" s="22" t="s">
        <v>20</v>
      </c>
      <c r="B1499" s="21">
        <v>46045</v>
      </c>
      <c r="C1499" s="22" t="s">
        <v>28</v>
      </c>
      <c r="D1499" s="13" t="s">
        <v>65</v>
      </c>
      <c r="E1499" s="13" t="s">
        <v>842</v>
      </c>
      <c r="F1499" s="26" t="s">
        <v>986</v>
      </c>
      <c r="G1499" s="21">
        <v>46045</v>
      </c>
      <c r="H1499" s="21">
        <v>46045</v>
      </c>
      <c r="I1499" s="21">
        <v>46045</v>
      </c>
      <c r="J1499" s="17"/>
      <c r="K1499" s="47">
        <v>0.35416666666666669</v>
      </c>
      <c r="L1499" s="48">
        <v>0.72916666666666663</v>
      </c>
      <c r="M1499" s="11">
        <f t="shared" si="23"/>
        <v>8.9999999999999982</v>
      </c>
      <c r="N1499" s="42" t="s">
        <v>0</v>
      </c>
      <c r="P1499" s="4"/>
      <c r="Q1499" s="4"/>
      <c r="R1499" s="4"/>
      <c r="S1499" s="4"/>
      <c r="T1499" s="4"/>
      <c r="U1499" s="4"/>
      <c r="V1499" s="4"/>
      <c r="W1499" s="4"/>
    </row>
    <row r="1500" spans="1:23" s="32" customFormat="1" hidden="1" x14ac:dyDescent="0.3">
      <c r="A1500" s="22" t="s">
        <v>20</v>
      </c>
      <c r="B1500" s="21">
        <v>46045</v>
      </c>
      <c r="C1500" s="22" t="s">
        <v>15</v>
      </c>
      <c r="D1500" s="216" t="s">
        <v>65</v>
      </c>
      <c r="E1500" s="216" t="s">
        <v>979</v>
      </c>
      <c r="F1500" s="243" t="s">
        <v>191</v>
      </c>
      <c r="G1500" s="219">
        <v>46044</v>
      </c>
      <c r="H1500" s="219">
        <v>46045</v>
      </c>
      <c r="I1500" s="219">
        <v>46045</v>
      </c>
      <c r="J1500" s="17"/>
      <c r="K1500" s="47">
        <v>0.35416666666666669</v>
      </c>
      <c r="L1500" s="48">
        <v>0.72916666666666663</v>
      </c>
      <c r="M1500" s="11">
        <f t="shared" si="23"/>
        <v>8.9999999999999982</v>
      </c>
      <c r="N1500" s="231" t="s">
        <v>0</v>
      </c>
      <c r="P1500" s="4"/>
      <c r="Q1500" s="4"/>
      <c r="R1500" s="4"/>
      <c r="S1500" s="4"/>
      <c r="T1500" s="4"/>
      <c r="U1500" s="4"/>
      <c r="V1500" s="4"/>
      <c r="W1500" s="4"/>
    </row>
    <row r="1501" spans="1:23" s="32" customFormat="1" hidden="1" x14ac:dyDescent="0.3">
      <c r="A1501" s="22" t="s">
        <v>20</v>
      </c>
      <c r="B1501" s="21">
        <v>46045</v>
      </c>
      <c r="C1501" s="22" t="s">
        <v>31</v>
      </c>
      <c r="D1501" s="217"/>
      <c r="E1501" s="217"/>
      <c r="F1501" s="244"/>
      <c r="G1501" s="220"/>
      <c r="H1501" s="220"/>
      <c r="I1501" s="220"/>
      <c r="J1501" s="23"/>
      <c r="K1501" s="47">
        <v>0.54166666666666663</v>
      </c>
      <c r="L1501" s="48">
        <v>0.58333333333333337</v>
      </c>
      <c r="M1501" s="11">
        <f t="shared" si="23"/>
        <v>1.0000000000000018</v>
      </c>
      <c r="N1501" s="225"/>
      <c r="P1501" s="4"/>
      <c r="Q1501" s="4"/>
      <c r="R1501" s="4"/>
      <c r="S1501" s="4"/>
      <c r="T1501" s="4"/>
      <c r="U1501" s="4"/>
      <c r="V1501" s="4"/>
      <c r="W1501" s="4"/>
    </row>
    <row r="1502" spans="1:23" s="32" customFormat="1" hidden="1" x14ac:dyDescent="0.3">
      <c r="A1502" s="22" t="s">
        <v>20</v>
      </c>
      <c r="B1502" s="21">
        <v>46045</v>
      </c>
      <c r="C1502" s="22" t="s">
        <v>17</v>
      </c>
      <c r="D1502" s="13" t="s">
        <v>65</v>
      </c>
      <c r="E1502" s="20" t="s">
        <v>988</v>
      </c>
      <c r="F1502" s="3" t="s">
        <v>754</v>
      </c>
      <c r="G1502" s="21">
        <v>46044</v>
      </c>
      <c r="H1502" s="21">
        <v>46045</v>
      </c>
      <c r="I1502" s="21">
        <v>46045</v>
      </c>
      <c r="J1502" s="21"/>
      <c r="K1502" s="45">
        <v>0.27083333333333331</v>
      </c>
      <c r="L1502" s="48">
        <v>0.72916666666666663</v>
      </c>
      <c r="M1502" s="11">
        <f t="shared" si="23"/>
        <v>11</v>
      </c>
      <c r="N1502" s="42" t="s">
        <v>0</v>
      </c>
      <c r="P1502" s="4"/>
      <c r="Q1502" s="4"/>
      <c r="R1502" s="4"/>
      <c r="S1502" s="4"/>
      <c r="T1502" s="4"/>
      <c r="U1502" s="4"/>
      <c r="V1502" s="4"/>
      <c r="W1502" s="4"/>
    </row>
    <row r="1503" spans="1:23" s="32" customFormat="1" hidden="1" x14ac:dyDescent="0.3">
      <c r="A1503" s="22" t="s">
        <v>20</v>
      </c>
      <c r="B1503" s="21">
        <v>46045</v>
      </c>
      <c r="C1503" s="22" t="s">
        <v>16</v>
      </c>
      <c r="D1503" s="216" t="s">
        <v>65</v>
      </c>
      <c r="E1503" s="214" t="s">
        <v>936</v>
      </c>
      <c r="F1503" s="243" t="s">
        <v>987</v>
      </c>
      <c r="G1503" s="219">
        <v>46042</v>
      </c>
      <c r="H1503" s="219">
        <v>46045</v>
      </c>
      <c r="I1503" s="219">
        <v>46045</v>
      </c>
      <c r="J1503" s="17"/>
      <c r="K1503" s="47">
        <v>0.27083333333333331</v>
      </c>
      <c r="L1503" s="48">
        <v>0.72916666666666663</v>
      </c>
      <c r="M1503" s="11">
        <f t="shared" si="23"/>
        <v>11</v>
      </c>
      <c r="N1503" s="227" t="s">
        <v>0</v>
      </c>
      <c r="P1503" s="4"/>
      <c r="Q1503" s="4"/>
      <c r="R1503" s="4"/>
      <c r="S1503" s="4"/>
      <c r="T1503" s="4"/>
      <c r="U1503" s="4"/>
      <c r="V1503" s="4"/>
      <c r="W1503" s="4"/>
    </row>
    <row r="1504" spans="1:23" s="32" customFormat="1" hidden="1" x14ac:dyDescent="0.3">
      <c r="A1504" s="22" t="s">
        <v>20</v>
      </c>
      <c r="B1504" s="21">
        <v>46045</v>
      </c>
      <c r="C1504" s="22" t="s">
        <v>31</v>
      </c>
      <c r="D1504" s="217"/>
      <c r="E1504" s="215"/>
      <c r="F1504" s="244"/>
      <c r="G1504" s="220"/>
      <c r="H1504" s="220"/>
      <c r="I1504" s="220"/>
      <c r="J1504" s="23"/>
      <c r="K1504" s="47">
        <v>0.4375</v>
      </c>
      <c r="L1504" s="48">
        <v>0.5</v>
      </c>
      <c r="M1504" s="11">
        <f t="shared" si="23"/>
        <v>1.5</v>
      </c>
      <c r="N1504" s="228"/>
      <c r="P1504" s="4"/>
      <c r="Q1504" s="4"/>
      <c r="R1504" s="4"/>
      <c r="S1504" s="4"/>
      <c r="T1504" s="4"/>
      <c r="U1504" s="4"/>
      <c r="V1504" s="4"/>
      <c r="W1504" s="4"/>
    </row>
    <row r="1505" spans="1:23" s="32" customFormat="1" hidden="1" x14ac:dyDescent="0.3">
      <c r="A1505" s="22" t="s">
        <v>20</v>
      </c>
      <c r="B1505" s="21">
        <v>46045</v>
      </c>
      <c r="C1505" s="69" t="s">
        <v>47</v>
      </c>
      <c r="D1505" s="221" t="s">
        <v>65</v>
      </c>
      <c r="E1505" s="233" t="s">
        <v>939</v>
      </c>
      <c r="F1505" s="245" t="s">
        <v>989</v>
      </c>
      <c r="G1505" s="219">
        <v>46042</v>
      </c>
      <c r="H1505" s="219">
        <v>46045</v>
      </c>
      <c r="I1505" s="219">
        <v>46045</v>
      </c>
      <c r="J1505" s="17"/>
      <c r="K1505" s="47">
        <v>0.27083333333333331</v>
      </c>
      <c r="L1505" s="48">
        <v>0.72916666666666663</v>
      </c>
      <c r="M1505" s="11">
        <f t="shared" si="23"/>
        <v>11</v>
      </c>
      <c r="N1505" s="227" t="s">
        <v>0</v>
      </c>
      <c r="P1505" s="4"/>
      <c r="Q1505" s="4"/>
      <c r="R1505" s="4"/>
      <c r="S1505" s="4"/>
      <c r="T1505" s="4"/>
      <c r="U1505" s="4"/>
      <c r="V1505" s="4"/>
      <c r="W1505" s="4"/>
    </row>
    <row r="1506" spans="1:23" s="32" customFormat="1" hidden="1" x14ac:dyDescent="0.3">
      <c r="A1506" s="22" t="s">
        <v>20</v>
      </c>
      <c r="B1506" s="21">
        <v>46045</v>
      </c>
      <c r="C1506" s="69" t="s">
        <v>31</v>
      </c>
      <c r="D1506" s="221"/>
      <c r="E1506" s="233"/>
      <c r="F1506" s="245"/>
      <c r="G1506" s="220"/>
      <c r="H1506" s="220"/>
      <c r="I1506" s="220"/>
      <c r="J1506" s="19"/>
      <c r="K1506" s="45">
        <v>0.58333333333333337</v>
      </c>
      <c r="L1506" s="48">
        <v>0.66666666666666663</v>
      </c>
      <c r="M1506" s="11">
        <f t="shared" si="23"/>
        <v>1.9999999999999982</v>
      </c>
      <c r="N1506" s="228"/>
      <c r="P1506" s="4"/>
      <c r="Q1506" s="4"/>
      <c r="R1506" s="4"/>
      <c r="S1506" s="4"/>
      <c r="T1506" s="4"/>
      <c r="U1506" s="4"/>
      <c r="V1506" s="4"/>
      <c r="W1506" s="4"/>
    </row>
    <row r="1507" spans="1:23" s="32" customFormat="1" ht="15.6" hidden="1" x14ac:dyDescent="0.3">
      <c r="A1507" s="40" t="s">
        <v>21</v>
      </c>
      <c r="B1507" s="21">
        <v>46046</v>
      </c>
      <c r="C1507" s="40" t="s">
        <v>26</v>
      </c>
      <c r="D1507" s="40" t="s">
        <v>24</v>
      </c>
      <c r="E1507" s="40" t="s">
        <v>964</v>
      </c>
      <c r="F1507" s="84" t="s">
        <v>946</v>
      </c>
      <c r="G1507" s="41">
        <v>46043</v>
      </c>
      <c r="H1507" s="41">
        <v>46046</v>
      </c>
      <c r="I1507" s="85"/>
      <c r="J1507" s="85"/>
      <c r="K1507" s="51">
        <v>0.27083333333333331</v>
      </c>
      <c r="L1507" s="51">
        <v>0.64583333333333337</v>
      </c>
      <c r="M1507" s="11">
        <f t="shared" si="23"/>
        <v>9.0000000000000018</v>
      </c>
      <c r="N1507" s="67" t="s">
        <v>1</v>
      </c>
      <c r="P1507" s="4"/>
      <c r="Q1507" s="4"/>
      <c r="R1507" s="4"/>
      <c r="S1507" s="4"/>
      <c r="T1507" s="4"/>
      <c r="U1507" s="4"/>
      <c r="V1507" s="4"/>
      <c r="W1507" s="4"/>
    </row>
    <row r="1508" spans="1:23" s="32" customFormat="1" ht="15.6" hidden="1" x14ac:dyDescent="0.3">
      <c r="A1508" s="40" t="s">
        <v>21</v>
      </c>
      <c r="B1508" s="21">
        <v>46046</v>
      </c>
      <c r="C1508" s="40" t="s">
        <v>50</v>
      </c>
      <c r="D1508" s="40" t="s">
        <v>24</v>
      </c>
      <c r="E1508" s="40" t="s">
        <v>829</v>
      </c>
      <c r="F1508" s="84" t="s">
        <v>981</v>
      </c>
      <c r="G1508" s="41">
        <v>46044</v>
      </c>
      <c r="H1508" s="41">
        <v>46046</v>
      </c>
      <c r="I1508" s="85"/>
      <c r="J1508" s="85"/>
      <c r="K1508" s="51">
        <v>0.35416666666666669</v>
      </c>
      <c r="L1508" s="51">
        <v>0.72916666666666663</v>
      </c>
      <c r="M1508" s="11">
        <f t="shared" si="23"/>
        <v>8.9999999999999982</v>
      </c>
      <c r="N1508" s="67" t="s">
        <v>1</v>
      </c>
      <c r="P1508" s="4"/>
      <c r="Q1508" s="4"/>
      <c r="R1508" s="4"/>
      <c r="S1508" s="4"/>
      <c r="T1508" s="4"/>
      <c r="U1508" s="4"/>
      <c r="V1508" s="4"/>
      <c r="W1508" s="4"/>
    </row>
    <row r="1509" spans="1:23" s="32" customFormat="1" hidden="1" x14ac:dyDescent="0.3">
      <c r="A1509" s="40" t="s">
        <v>21</v>
      </c>
      <c r="B1509" s="21">
        <v>46046</v>
      </c>
      <c r="C1509" s="40" t="s">
        <v>830</v>
      </c>
      <c r="D1509" s="40" t="s">
        <v>24</v>
      </c>
      <c r="E1509" s="40" t="s">
        <v>964</v>
      </c>
      <c r="F1509" s="84" t="s">
        <v>946</v>
      </c>
      <c r="G1509" s="41">
        <v>46044</v>
      </c>
      <c r="H1509" s="41">
        <v>46046</v>
      </c>
      <c r="I1509" s="41"/>
      <c r="J1509" s="41"/>
      <c r="K1509" s="51">
        <v>0.35416666666666669</v>
      </c>
      <c r="L1509" s="51">
        <v>0.72916666666666663</v>
      </c>
      <c r="M1509" s="11">
        <f t="shared" si="23"/>
        <v>8.9999999999999982</v>
      </c>
      <c r="N1509" s="67" t="s">
        <v>1</v>
      </c>
      <c r="P1509" s="4"/>
      <c r="Q1509" s="4"/>
      <c r="R1509" s="4"/>
      <c r="S1509" s="4"/>
      <c r="T1509" s="4"/>
      <c r="U1509" s="4"/>
      <c r="V1509" s="4"/>
      <c r="W1509" s="4"/>
    </row>
    <row r="1510" spans="1:23" s="32" customFormat="1" hidden="1" x14ac:dyDescent="0.3">
      <c r="A1510" s="40" t="s">
        <v>21</v>
      </c>
      <c r="B1510" s="21">
        <v>46046</v>
      </c>
      <c r="C1510" s="40" t="s">
        <v>274</v>
      </c>
      <c r="D1510" s="262" t="s">
        <v>8</v>
      </c>
      <c r="E1510" s="262" t="s">
        <v>966</v>
      </c>
      <c r="F1510" s="264" t="s">
        <v>967</v>
      </c>
      <c r="G1510" s="266">
        <v>46045</v>
      </c>
      <c r="H1510" s="266">
        <v>46046</v>
      </c>
      <c r="I1510" s="259"/>
      <c r="J1510" s="41"/>
      <c r="K1510" s="51">
        <v>0.35416666666666669</v>
      </c>
      <c r="L1510" s="51">
        <v>0.72916666666666663</v>
      </c>
      <c r="M1510" s="11">
        <f t="shared" si="23"/>
        <v>8.9999999999999982</v>
      </c>
      <c r="N1510" s="227" t="s">
        <v>1</v>
      </c>
      <c r="P1510" s="4"/>
      <c r="Q1510" s="4"/>
      <c r="R1510" s="4"/>
      <c r="S1510" s="4"/>
      <c r="T1510" s="4"/>
      <c r="U1510" s="4"/>
      <c r="V1510" s="4"/>
      <c r="W1510" s="4"/>
    </row>
    <row r="1511" spans="1:23" s="32" customFormat="1" hidden="1" x14ac:dyDescent="0.3">
      <c r="A1511" s="40" t="s">
        <v>21</v>
      </c>
      <c r="B1511" s="21">
        <v>46046</v>
      </c>
      <c r="C1511" s="40" t="s">
        <v>18</v>
      </c>
      <c r="D1511" s="263"/>
      <c r="E1511" s="263"/>
      <c r="F1511" s="265"/>
      <c r="G1511" s="267"/>
      <c r="H1511" s="267"/>
      <c r="I1511" s="259"/>
      <c r="J1511" s="41"/>
      <c r="K1511" s="51">
        <v>0.35416666666666669</v>
      </c>
      <c r="L1511" s="51">
        <v>0.72916666666666663</v>
      </c>
      <c r="M1511" s="11">
        <f t="shared" si="23"/>
        <v>8.9999999999999982</v>
      </c>
      <c r="N1511" s="228"/>
      <c r="P1511" s="4"/>
      <c r="Q1511" s="4"/>
      <c r="R1511" s="4"/>
      <c r="S1511" s="4"/>
      <c r="T1511" s="4"/>
      <c r="U1511" s="4"/>
      <c r="V1511" s="4"/>
      <c r="W1511" s="4"/>
    </row>
    <row r="1512" spans="1:23" s="32" customFormat="1" hidden="1" x14ac:dyDescent="0.3">
      <c r="A1512" s="40" t="s">
        <v>21</v>
      </c>
      <c r="B1512" s="21">
        <v>46046</v>
      </c>
      <c r="C1512" s="40" t="s">
        <v>274</v>
      </c>
      <c r="D1512" s="7" t="s">
        <v>27</v>
      </c>
      <c r="E1512" s="7" t="s">
        <v>995</v>
      </c>
      <c r="F1512" s="88" t="s">
        <v>349</v>
      </c>
      <c r="G1512" s="36">
        <v>46045</v>
      </c>
      <c r="H1512" s="36">
        <v>46045</v>
      </c>
      <c r="I1512" s="41"/>
      <c r="J1512" s="41"/>
      <c r="K1512" s="51">
        <v>0.41666666666666669</v>
      </c>
      <c r="L1512" s="51">
        <v>0.5</v>
      </c>
      <c r="M1512" s="11">
        <f t="shared" si="23"/>
        <v>1.9999999999999996</v>
      </c>
      <c r="N1512" s="63" t="s">
        <v>1</v>
      </c>
      <c r="P1512" s="4"/>
      <c r="Q1512" s="4"/>
      <c r="R1512" s="4"/>
      <c r="S1512" s="4"/>
      <c r="T1512" s="4"/>
      <c r="U1512" s="4"/>
      <c r="V1512" s="4"/>
      <c r="W1512" s="4"/>
    </row>
    <row r="1513" spans="1:23" s="32" customFormat="1" hidden="1" x14ac:dyDescent="0.3">
      <c r="A1513" s="40" t="s">
        <v>21</v>
      </c>
      <c r="B1513" s="21">
        <v>46046</v>
      </c>
      <c r="C1513" s="40" t="s">
        <v>771</v>
      </c>
      <c r="D1513" s="262" t="s">
        <v>43</v>
      </c>
      <c r="E1513" s="264" t="s">
        <v>996</v>
      </c>
      <c r="F1513" s="264" t="s">
        <v>997</v>
      </c>
      <c r="G1513" s="266">
        <v>46046</v>
      </c>
      <c r="H1513" s="266">
        <v>46046</v>
      </c>
      <c r="I1513" s="266">
        <v>46046</v>
      </c>
      <c r="J1513" s="36"/>
      <c r="K1513" s="51">
        <v>0.35416666666666669</v>
      </c>
      <c r="L1513" s="51">
        <v>0.72916666666666663</v>
      </c>
      <c r="M1513" s="11">
        <f t="shared" si="23"/>
        <v>8.9999999999999982</v>
      </c>
      <c r="N1513" s="224" t="s">
        <v>0</v>
      </c>
      <c r="P1513" s="4"/>
      <c r="Q1513" s="4"/>
      <c r="R1513" s="4"/>
      <c r="S1513" s="4"/>
      <c r="T1513" s="4"/>
      <c r="U1513" s="4"/>
      <c r="V1513" s="4"/>
      <c r="W1513" s="4"/>
    </row>
    <row r="1514" spans="1:23" s="32" customFormat="1" hidden="1" x14ac:dyDescent="0.3">
      <c r="A1514" s="40" t="s">
        <v>21</v>
      </c>
      <c r="B1514" s="21">
        <v>46046</v>
      </c>
      <c r="C1514" s="40" t="s">
        <v>320</v>
      </c>
      <c r="D1514" s="263"/>
      <c r="E1514" s="263"/>
      <c r="F1514" s="265"/>
      <c r="G1514" s="267"/>
      <c r="H1514" s="267"/>
      <c r="I1514" s="267"/>
      <c r="J1514" s="37"/>
      <c r="K1514" s="51">
        <v>0.35416666666666669</v>
      </c>
      <c r="L1514" s="51">
        <v>0.72916666666666663</v>
      </c>
      <c r="M1514" s="11">
        <f t="shared" si="23"/>
        <v>8.9999999999999982</v>
      </c>
      <c r="N1514" s="225"/>
      <c r="P1514" s="4"/>
      <c r="Q1514" s="4"/>
      <c r="R1514" s="4"/>
      <c r="S1514" s="4"/>
      <c r="T1514" s="4"/>
      <c r="U1514" s="4"/>
      <c r="V1514" s="4"/>
      <c r="W1514" s="4"/>
    </row>
    <row r="1515" spans="1:23" s="32" customFormat="1" hidden="1" x14ac:dyDescent="0.3">
      <c r="A1515" s="40" t="s">
        <v>21</v>
      </c>
      <c r="B1515" s="21">
        <v>46046</v>
      </c>
      <c r="C1515" s="40" t="s">
        <v>56</v>
      </c>
      <c r="D1515" s="7" t="s">
        <v>43</v>
      </c>
      <c r="E1515" s="7" t="s">
        <v>950</v>
      </c>
      <c r="F1515" s="88" t="s">
        <v>884</v>
      </c>
      <c r="G1515" s="41">
        <v>46045</v>
      </c>
      <c r="H1515" s="41">
        <v>46046</v>
      </c>
      <c r="I1515" s="41">
        <v>46046</v>
      </c>
      <c r="J1515" s="41"/>
      <c r="K1515" s="51">
        <v>0.27083333333333331</v>
      </c>
      <c r="L1515" s="51">
        <v>0.64583333333333337</v>
      </c>
      <c r="M1515" s="11">
        <f t="shared" si="23"/>
        <v>9.0000000000000018</v>
      </c>
      <c r="N1515" s="42" t="s">
        <v>0</v>
      </c>
      <c r="P1515" s="4"/>
      <c r="Q1515" s="4"/>
      <c r="R1515" s="4"/>
      <c r="S1515" s="4"/>
      <c r="T1515" s="4"/>
      <c r="U1515" s="4"/>
      <c r="V1515" s="4"/>
      <c r="W1515" s="4"/>
    </row>
    <row r="1516" spans="1:23" s="32" customFormat="1" hidden="1" x14ac:dyDescent="0.3">
      <c r="A1516" s="40" t="s">
        <v>21</v>
      </c>
      <c r="B1516" s="21">
        <v>46046</v>
      </c>
      <c r="C1516" s="40" t="s">
        <v>118</v>
      </c>
      <c r="D1516" s="262" t="s">
        <v>54</v>
      </c>
      <c r="E1516" s="262" t="s">
        <v>688</v>
      </c>
      <c r="F1516" s="262" t="s">
        <v>998</v>
      </c>
      <c r="G1516" s="266">
        <v>46046</v>
      </c>
      <c r="H1516" s="266">
        <v>46046</v>
      </c>
      <c r="I1516" s="266"/>
      <c r="J1516" s="36"/>
      <c r="K1516" s="51">
        <v>0.35416666666666669</v>
      </c>
      <c r="L1516" s="51">
        <v>0.72916666666666663</v>
      </c>
      <c r="M1516" s="11">
        <f t="shared" si="23"/>
        <v>8.9999999999999982</v>
      </c>
      <c r="N1516" s="227" t="s">
        <v>1</v>
      </c>
      <c r="P1516" s="4"/>
      <c r="Q1516" s="4"/>
      <c r="R1516" s="4"/>
      <c r="S1516" s="4"/>
      <c r="T1516" s="4"/>
      <c r="U1516" s="4"/>
      <c r="V1516" s="4"/>
      <c r="W1516" s="4"/>
    </row>
    <row r="1517" spans="1:23" s="32" customFormat="1" hidden="1" x14ac:dyDescent="0.3">
      <c r="A1517" s="40" t="s">
        <v>21</v>
      </c>
      <c r="B1517" s="21">
        <v>46046</v>
      </c>
      <c r="C1517" s="40" t="s">
        <v>34</v>
      </c>
      <c r="D1517" s="263"/>
      <c r="E1517" s="263"/>
      <c r="F1517" s="263"/>
      <c r="G1517" s="267"/>
      <c r="H1517" s="267"/>
      <c r="I1517" s="267"/>
      <c r="J1517" s="37"/>
      <c r="K1517" s="51">
        <v>0.35416666666666669</v>
      </c>
      <c r="L1517" s="51">
        <v>0.72916666666666663</v>
      </c>
      <c r="M1517" s="11">
        <f t="shared" si="23"/>
        <v>8.9999999999999982</v>
      </c>
      <c r="N1517" s="228"/>
      <c r="P1517" s="4"/>
      <c r="Q1517" s="4"/>
      <c r="R1517" s="4"/>
      <c r="S1517" s="4"/>
      <c r="T1517" s="4"/>
      <c r="U1517" s="4"/>
      <c r="V1517" s="4"/>
      <c r="W1517" s="4"/>
    </row>
    <row r="1518" spans="1:23" s="32" customFormat="1" hidden="1" x14ac:dyDescent="0.3">
      <c r="A1518" s="40" t="s">
        <v>21</v>
      </c>
      <c r="B1518" s="21">
        <v>46046</v>
      </c>
      <c r="C1518" s="40" t="s">
        <v>25</v>
      </c>
      <c r="D1518" s="40" t="s">
        <v>43</v>
      </c>
      <c r="E1518" s="40" t="s">
        <v>950</v>
      </c>
      <c r="F1518" s="40" t="s">
        <v>999</v>
      </c>
      <c r="G1518" s="41">
        <v>46046</v>
      </c>
      <c r="H1518" s="41">
        <v>46048</v>
      </c>
      <c r="I1518" s="41">
        <v>46048</v>
      </c>
      <c r="J1518" s="41"/>
      <c r="K1518" s="51">
        <v>0.27083333333333331</v>
      </c>
      <c r="L1518" s="51">
        <v>0.64583333333333337</v>
      </c>
      <c r="M1518" s="11">
        <f t="shared" si="23"/>
        <v>9.0000000000000018</v>
      </c>
      <c r="N1518" s="42" t="s">
        <v>0</v>
      </c>
      <c r="P1518" s="4"/>
      <c r="Q1518" s="4"/>
      <c r="R1518" s="4"/>
      <c r="S1518" s="4"/>
      <c r="T1518" s="4"/>
      <c r="U1518" s="4"/>
      <c r="V1518" s="4"/>
      <c r="W1518" s="4"/>
    </row>
    <row r="1519" spans="1:23" s="32" customFormat="1" hidden="1" x14ac:dyDescent="0.3">
      <c r="A1519" s="40" t="s">
        <v>21</v>
      </c>
      <c r="B1519" s="21">
        <v>46046</v>
      </c>
      <c r="C1519" s="40" t="s">
        <v>25</v>
      </c>
      <c r="D1519" s="40" t="s">
        <v>43</v>
      </c>
      <c r="E1519" s="40" t="s">
        <v>1010</v>
      </c>
      <c r="F1519" s="40" t="s">
        <v>1011</v>
      </c>
      <c r="G1519" s="41">
        <v>46046</v>
      </c>
      <c r="H1519" s="41">
        <v>46046</v>
      </c>
      <c r="I1519" s="41">
        <v>46046</v>
      </c>
      <c r="J1519" s="41"/>
      <c r="K1519" s="51">
        <v>0.54166666666666663</v>
      </c>
      <c r="L1519" s="51">
        <v>0.64583333333333337</v>
      </c>
      <c r="M1519" s="11">
        <f t="shared" si="23"/>
        <v>2.5000000000000018</v>
      </c>
      <c r="N1519" s="42" t="s">
        <v>0</v>
      </c>
      <c r="P1519" s="4"/>
      <c r="Q1519" s="4"/>
      <c r="R1519" s="4"/>
      <c r="S1519" s="4"/>
      <c r="T1519" s="4"/>
      <c r="U1519" s="4"/>
      <c r="V1519" s="4"/>
      <c r="W1519" s="4"/>
    </row>
    <row r="1520" spans="1:23" s="32" customFormat="1" hidden="1" x14ac:dyDescent="0.3">
      <c r="A1520" s="8" t="s">
        <v>21</v>
      </c>
      <c r="B1520" s="19">
        <v>46046</v>
      </c>
      <c r="C1520" s="8" t="s">
        <v>55</v>
      </c>
      <c r="D1520" s="7" t="s">
        <v>43</v>
      </c>
      <c r="E1520" s="7" t="s">
        <v>927</v>
      </c>
      <c r="F1520" s="7" t="s">
        <v>884</v>
      </c>
      <c r="G1520" s="15">
        <v>46043</v>
      </c>
      <c r="H1520" s="15">
        <v>46046</v>
      </c>
      <c r="I1520" s="37"/>
      <c r="J1520" s="37"/>
      <c r="K1520" s="52">
        <v>0.27083333333333331</v>
      </c>
      <c r="L1520" s="52">
        <v>0.64583333333333337</v>
      </c>
      <c r="M1520" s="11">
        <f t="shared" si="23"/>
        <v>9.0000000000000018</v>
      </c>
      <c r="N1520" s="33" t="s">
        <v>1</v>
      </c>
      <c r="P1520" s="4"/>
      <c r="Q1520" s="4"/>
      <c r="R1520" s="4"/>
      <c r="S1520" s="4"/>
      <c r="T1520" s="4"/>
      <c r="U1520" s="4"/>
      <c r="V1520" s="4"/>
      <c r="W1520" s="4"/>
    </row>
    <row r="1521" spans="1:23" s="32" customFormat="1" hidden="1" x14ac:dyDescent="0.3">
      <c r="A1521" s="22" t="s">
        <v>19</v>
      </c>
      <c r="B1521" s="21">
        <v>46046</v>
      </c>
      <c r="C1521" s="22" t="s">
        <v>208</v>
      </c>
      <c r="D1521" s="24" t="s">
        <v>8</v>
      </c>
      <c r="E1521" s="24" t="s">
        <v>1001</v>
      </c>
      <c r="F1521" s="24" t="s">
        <v>239</v>
      </c>
      <c r="G1521" s="41">
        <v>46046</v>
      </c>
      <c r="H1521" s="41">
        <v>46046</v>
      </c>
      <c r="I1521" s="21"/>
      <c r="J1521" s="19"/>
      <c r="K1521" s="52">
        <v>0.35416666666666669</v>
      </c>
      <c r="L1521" s="48">
        <v>0.5625</v>
      </c>
      <c r="M1521" s="11">
        <f t="shared" si="23"/>
        <v>5</v>
      </c>
      <c r="N1521" s="67" t="s">
        <v>1</v>
      </c>
      <c r="P1521" s="4"/>
      <c r="Q1521" s="4"/>
      <c r="R1521" s="4"/>
      <c r="S1521" s="4"/>
      <c r="T1521" s="4"/>
      <c r="U1521" s="4"/>
      <c r="V1521" s="4"/>
      <c r="W1521" s="4"/>
    </row>
    <row r="1522" spans="1:23" s="32" customFormat="1" hidden="1" x14ac:dyDescent="0.3">
      <c r="A1522" s="22" t="s">
        <v>19</v>
      </c>
      <c r="B1522" s="21">
        <v>46046</v>
      </c>
      <c r="C1522" s="12" t="s">
        <v>9</v>
      </c>
      <c r="D1522" s="24" t="s">
        <v>8</v>
      </c>
      <c r="E1522" s="24" t="s">
        <v>1000</v>
      </c>
      <c r="F1522" s="20" t="s">
        <v>497</v>
      </c>
      <c r="G1522" s="41">
        <v>46046</v>
      </c>
      <c r="H1522" s="41">
        <v>46046</v>
      </c>
      <c r="I1522" s="41">
        <v>46046</v>
      </c>
      <c r="J1522" s="37"/>
      <c r="K1522" s="52">
        <v>0.35416666666666669</v>
      </c>
      <c r="L1522" s="48">
        <v>0.5625</v>
      </c>
      <c r="M1522" s="11">
        <f t="shared" si="23"/>
        <v>5</v>
      </c>
      <c r="N1522" s="42" t="s">
        <v>0</v>
      </c>
      <c r="P1522" s="4"/>
      <c r="Q1522" s="4"/>
      <c r="R1522" s="4"/>
      <c r="S1522" s="4"/>
      <c r="T1522" s="4"/>
      <c r="U1522" s="4"/>
      <c r="V1522" s="4"/>
      <c r="W1522" s="4"/>
    </row>
    <row r="1523" spans="1:23" s="32" customFormat="1" hidden="1" x14ac:dyDescent="0.3">
      <c r="A1523" s="22" t="s">
        <v>19</v>
      </c>
      <c r="B1523" s="21">
        <v>46046</v>
      </c>
      <c r="C1523" s="22" t="s">
        <v>208</v>
      </c>
      <c r="D1523" s="216" t="s">
        <v>8</v>
      </c>
      <c r="E1523" s="216" t="s">
        <v>958</v>
      </c>
      <c r="F1523" s="216" t="s">
        <v>1007</v>
      </c>
      <c r="G1523" s="218">
        <v>46046</v>
      </c>
      <c r="H1523" s="218">
        <v>46046</v>
      </c>
      <c r="I1523" s="218">
        <v>46046</v>
      </c>
      <c r="J1523" s="65"/>
      <c r="K1523" s="52">
        <v>6.25E-2</v>
      </c>
      <c r="L1523" s="51">
        <v>0.64583333333333337</v>
      </c>
      <c r="M1523" s="11">
        <f t="shared" si="23"/>
        <v>14</v>
      </c>
      <c r="N1523" s="224" t="s">
        <v>0</v>
      </c>
      <c r="P1523" s="4"/>
      <c r="Q1523" s="4"/>
      <c r="R1523" s="4"/>
      <c r="S1523" s="4"/>
      <c r="T1523" s="4"/>
      <c r="U1523" s="4"/>
      <c r="V1523" s="4"/>
      <c r="W1523" s="4"/>
    </row>
    <row r="1524" spans="1:23" s="32" customFormat="1" hidden="1" x14ac:dyDescent="0.3">
      <c r="A1524" s="22" t="s">
        <v>19</v>
      </c>
      <c r="B1524" s="21">
        <v>46046</v>
      </c>
      <c r="C1524" s="12" t="s">
        <v>9</v>
      </c>
      <c r="D1524" s="217"/>
      <c r="E1524" s="217"/>
      <c r="F1524" s="217"/>
      <c r="G1524" s="217"/>
      <c r="H1524" s="217"/>
      <c r="I1524" s="217"/>
      <c r="J1524" s="14"/>
      <c r="K1524" s="52">
        <v>6.25E-2</v>
      </c>
      <c r="L1524" s="51">
        <v>0.64583333333333337</v>
      </c>
      <c r="M1524" s="11">
        <f t="shared" si="23"/>
        <v>14</v>
      </c>
      <c r="N1524" s="225"/>
      <c r="P1524" s="4"/>
      <c r="Q1524" s="4"/>
      <c r="R1524" s="4"/>
      <c r="S1524" s="4"/>
      <c r="T1524" s="4"/>
      <c r="U1524" s="4"/>
      <c r="V1524" s="4"/>
      <c r="W1524" s="4"/>
    </row>
    <row r="1525" spans="1:23" s="32" customFormat="1" hidden="1" x14ac:dyDescent="0.3">
      <c r="A1525" s="22" t="s">
        <v>19</v>
      </c>
      <c r="B1525" s="21">
        <v>46046</v>
      </c>
      <c r="C1525" s="12" t="s">
        <v>9</v>
      </c>
      <c r="D1525" s="24" t="s">
        <v>8</v>
      </c>
      <c r="E1525" s="14" t="s">
        <v>1008</v>
      </c>
      <c r="F1525" s="20" t="s">
        <v>1009</v>
      </c>
      <c r="G1525" s="41">
        <v>46046</v>
      </c>
      <c r="H1525" s="41">
        <v>46046</v>
      </c>
      <c r="I1525" s="41">
        <v>46046</v>
      </c>
      <c r="J1525" s="41"/>
      <c r="K1525" s="51">
        <v>0.64583333333333337</v>
      </c>
      <c r="L1525" s="51">
        <v>0.72916666666666663</v>
      </c>
      <c r="M1525" s="11">
        <f t="shared" si="23"/>
        <v>1.9999999999999982</v>
      </c>
      <c r="N1525" s="42" t="s">
        <v>0</v>
      </c>
      <c r="P1525" s="4"/>
      <c r="Q1525" s="4"/>
      <c r="R1525" s="4"/>
      <c r="S1525" s="4"/>
      <c r="T1525" s="4"/>
      <c r="U1525" s="4"/>
      <c r="V1525" s="4"/>
      <c r="W1525" s="4"/>
    </row>
    <row r="1526" spans="1:23" s="32" customFormat="1" hidden="1" x14ac:dyDescent="0.3">
      <c r="A1526" s="22" t="s">
        <v>19</v>
      </c>
      <c r="B1526" s="21">
        <v>46046</v>
      </c>
      <c r="C1526" s="12" t="s">
        <v>7</v>
      </c>
      <c r="D1526" s="24" t="s">
        <v>8</v>
      </c>
      <c r="E1526" s="24" t="s">
        <v>682</v>
      </c>
      <c r="F1526" s="20" t="s">
        <v>1006</v>
      </c>
      <c r="G1526" s="41">
        <v>46046</v>
      </c>
      <c r="H1526" s="41">
        <v>46046</v>
      </c>
      <c r="I1526" s="36"/>
      <c r="J1526" s="15"/>
      <c r="K1526" s="52">
        <v>0.39583333333333331</v>
      </c>
      <c r="L1526" s="51">
        <v>0.64583333333333337</v>
      </c>
      <c r="M1526" s="11">
        <f t="shared" si="23"/>
        <v>6.0000000000000018</v>
      </c>
      <c r="N1526" s="67" t="s">
        <v>1</v>
      </c>
      <c r="P1526" s="4"/>
      <c r="Q1526" s="4"/>
      <c r="R1526" s="4"/>
      <c r="S1526" s="4"/>
      <c r="T1526" s="4"/>
      <c r="U1526" s="4"/>
      <c r="V1526" s="4"/>
      <c r="W1526" s="4"/>
    </row>
    <row r="1527" spans="1:23" s="32" customFormat="1" hidden="1" x14ac:dyDescent="0.3">
      <c r="A1527" s="22" t="s">
        <v>20</v>
      </c>
      <c r="B1527" s="21">
        <v>46046</v>
      </c>
      <c r="C1527" s="69" t="s">
        <v>14</v>
      </c>
      <c r="D1527" s="214" t="s">
        <v>44</v>
      </c>
      <c r="E1527" s="233" t="s">
        <v>970</v>
      </c>
      <c r="F1527" s="238" t="s">
        <v>1002</v>
      </c>
      <c r="G1527" s="266">
        <v>46045</v>
      </c>
      <c r="H1527" s="266">
        <v>46053</v>
      </c>
      <c r="I1527" s="266">
        <v>46053</v>
      </c>
      <c r="J1527" s="15"/>
      <c r="K1527" s="52">
        <v>0.35416666666666669</v>
      </c>
      <c r="L1527" s="51">
        <v>0.72916666666666663</v>
      </c>
      <c r="M1527" s="11">
        <f t="shared" si="23"/>
        <v>8.9999999999999982</v>
      </c>
      <c r="N1527" s="224" t="s">
        <v>0</v>
      </c>
      <c r="P1527" s="4"/>
      <c r="Q1527" s="4"/>
      <c r="R1527" s="4"/>
      <c r="S1527" s="4"/>
      <c r="T1527" s="4"/>
      <c r="U1527" s="4"/>
      <c r="V1527" s="4"/>
      <c r="W1527" s="4"/>
    </row>
    <row r="1528" spans="1:23" s="32" customFormat="1" hidden="1" x14ac:dyDescent="0.3">
      <c r="A1528" s="22" t="s">
        <v>20</v>
      </c>
      <c r="B1528" s="21">
        <v>46046</v>
      </c>
      <c r="C1528" s="69" t="s">
        <v>421</v>
      </c>
      <c r="D1528" s="215"/>
      <c r="E1528" s="233"/>
      <c r="F1528" s="238"/>
      <c r="G1528" s="267"/>
      <c r="H1528" s="267"/>
      <c r="I1528" s="267"/>
      <c r="J1528" s="37"/>
      <c r="K1528" s="51">
        <v>0.27083333333333331</v>
      </c>
      <c r="L1528" s="51">
        <v>0.64583333333333337</v>
      </c>
      <c r="M1528" s="11">
        <f t="shared" si="23"/>
        <v>9.0000000000000018</v>
      </c>
      <c r="N1528" s="225"/>
      <c r="P1528" s="4"/>
      <c r="Q1528" s="4"/>
      <c r="R1528" s="4"/>
      <c r="S1528" s="4"/>
      <c r="T1528" s="4"/>
      <c r="U1528" s="4"/>
      <c r="V1528" s="4"/>
      <c r="W1528" s="4"/>
    </row>
    <row r="1529" spans="1:23" s="32" customFormat="1" hidden="1" x14ac:dyDescent="0.3">
      <c r="A1529" s="22" t="s">
        <v>20</v>
      </c>
      <c r="B1529" s="21">
        <v>46046</v>
      </c>
      <c r="C1529" s="69" t="s">
        <v>1003</v>
      </c>
      <c r="D1529" s="11" t="s">
        <v>44</v>
      </c>
      <c r="E1529" s="11" t="s">
        <v>970</v>
      </c>
      <c r="F1529" s="11" t="s">
        <v>1004</v>
      </c>
      <c r="G1529" s="41">
        <v>46046</v>
      </c>
      <c r="H1529" s="41">
        <v>46053</v>
      </c>
      <c r="I1529" s="41">
        <v>46053</v>
      </c>
      <c r="J1529" s="36"/>
      <c r="K1529" s="47">
        <v>0.35416666666666669</v>
      </c>
      <c r="L1529" s="48">
        <v>0.72916666666666663</v>
      </c>
      <c r="M1529" s="11">
        <f t="shared" si="23"/>
        <v>8.9999999999999982</v>
      </c>
      <c r="N1529" s="62" t="s">
        <v>0</v>
      </c>
      <c r="P1529" s="4"/>
      <c r="Q1529" s="4"/>
      <c r="R1529" s="4"/>
      <c r="S1529" s="4"/>
      <c r="T1529" s="4"/>
      <c r="U1529" s="4"/>
      <c r="V1529" s="4"/>
      <c r="W1529" s="4"/>
    </row>
    <row r="1530" spans="1:23" s="32" customFormat="1" hidden="1" x14ac:dyDescent="0.3">
      <c r="A1530" s="22" t="s">
        <v>20</v>
      </c>
      <c r="B1530" s="21">
        <v>46046</v>
      </c>
      <c r="C1530" s="69" t="s">
        <v>33</v>
      </c>
      <c r="D1530" s="12" t="s">
        <v>44</v>
      </c>
      <c r="E1530" s="12" t="s">
        <v>804</v>
      </c>
      <c r="F1530" s="12"/>
      <c r="G1530" s="41">
        <v>46046</v>
      </c>
      <c r="H1530" s="41">
        <v>46046</v>
      </c>
      <c r="I1530" s="41">
        <v>46046</v>
      </c>
      <c r="J1530" s="36"/>
      <c r="K1530" s="47">
        <v>0.35416666666666669</v>
      </c>
      <c r="L1530" s="48">
        <v>0.5625</v>
      </c>
      <c r="M1530" s="11">
        <f t="shared" si="23"/>
        <v>5</v>
      </c>
      <c r="N1530" s="62" t="s">
        <v>0</v>
      </c>
      <c r="P1530" s="4"/>
      <c r="Q1530" s="4"/>
      <c r="R1530" s="4"/>
      <c r="S1530" s="4"/>
      <c r="T1530" s="4"/>
      <c r="U1530" s="4"/>
      <c r="V1530" s="4"/>
      <c r="W1530" s="4"/>
    </row>
    <row r="1531" spans="1:23" s="32" customFormat="1" hidden="1" x14ac:dyDescent="0.3">
      <c r="A1531" s="22" t="s">
        <v>20</v>
      </c>
      <c r="B1531" s="21">
        <v>46046</v>
      </c>
      <c r="C1531" s="22" t="s">
        <v>28</v>
      </c>
      <c r="D1531" s="13" t="s">
        <v>65</v>
      </c>
      <c r="E1531" s="13" t="s">
        <v>278</v>
      </c>
      <c r="F1531" s="26" t="s">
        <v>413</v>
      </c>
      <c r="G1531" s="41">
        <v>46046</v>
      </c>
      <c r="H1531" s="41">
        <v>46046</v>
      </c>
      <c r="I1531" s="41">
        <v>46046</v>
      </c>
      <c r="J1531" s="41"/>
      <c r="K1531" s="45">
        <v>0.27083333333333331</v>
      </c>
      <c r="L1531" s="47">
        <v>0.6875</v>
      </c>
      <c r="M1531" s="11">
        <f t="shared" si="23"/>
        <v>10</v>
      </c>
      <c r="N1531" s="42" t="s">
        <v>0</v>
      </c>
      <c r="P1531" s="4"/>
      <c r="Q1531" s="4"/>
      <c r="R1531" s="4"/>
      <c r="S1531" s="4"/>
      <c r="T1531" s="4"/>
      <c r="U1531" s="4"/>
      <c r="V1531" s="4"/>
      <c r="W1531" s="4"/>
    </row>
    <row r="1532" spans="1:23" s="32" customFormat="1" hidden="1" x14ac:dyDescent="0.3">
      <c r="A1532" s="22" t="s">
        <v>20</v>
      </c>
      <c r="B1532" s="21">
        <v>46046</v>
      </c>
      <c r="C1532" s="22" t="s">
        <v>28</v>
      </c>
      <c r="D1532" s="13" t="s">
        <v>65</v>
      </c>
      <c r="E1532" s="13" t="s">
        <v>842</v>
      </c>
      <c r="F1532" s="26" t="s">
        <v>1005</v>
      </c>
      <c r="G1532" s="41">
        <v>46046</v>
      </c>
      <c r="H1532" s="41">
        <v>46046</v>
      </c>
      <c r="I1532" s="41">
        <v>46046</v>
      </c>
      <c r="J1532" s="36"/>
      <c r="K1532" s="47">
        <v>0.35416666666666669</v>
      </c>
      <c r="L1532" s="48">
        <v>0.72916666666666663</v>
      </c>
      <c r="M1532" s="11">
        <f t="shared" si="23"/>
        <v>8.9999999999999982</v>
      </c>
      <c r="N1532" s="42" t="s">
        <v>0</v>
      </c>
      <c r="P1532" s="4"/>
      <c r="Q1532" s="4"/>
      <c r="R1532" s="4"/>
      <c r="S1532" s="4"/>
      <c r="T1532" s="4"/>
      <c r="U1532" s="4"/>
      <c r="V1532" s="4"/>
      <c r="W1532" s="4"/>
    </row>
    <row r="1533" spans="1:23" s="32" customFormat="1" hidden="1" x14ac:dyDescent="0.3">
      <c r="A1533" s="22" t="s">
        <v>20</v>
      </c>
      <c r="B1533" s="21">
        <v>46046</v>
      </c>
      <c r="C1533" s="22" t="s">
        <v>17</v>
      </c>
      <c r="D1533" s="13" t="s">
        <v>65</v>
      </c>
      <c r="E1533" s="13" t="s">
        <v>988</v>
      </c>
      <c r="F1533" s="26" t="s">
        <v>612</v>
      </c>
      <c r="G1533" s="21">
        <v>46044</v>
      </c>
      <c r="H1533" s="21">
        <v>46051</v>
      </c>
      <c r="I1533" s="21">
        <v>46051</v>
      </c>
      <c r="J1533" s="17"/>
      <c r="K1533" s="47">
        <v>0.27083333333333331</v>
      </c>
      <c r="L1533" s="48">
        <v>0.72916666666666663</v>
      </c>
      <c r="M1533" s="11">
        <f t="shared" si="23"/>
        <v>11</v>
      </c>
      <c r="N1533" s="42" t="s">
        <v>0</v>
      </c>
      <c r="P1533" s="4"/>
      <c r="Q1533" s="4"/>
      <c r="R1533" s="4"/>
      <c r="S1533" s="4"/>
      <c r="T1533" s="4"/>
      <c r="U1533" s="4"/>
      <c r="V1533" s="4"/>
      <c r="W1533" s="4"/>
    </row>
    <row r="1534" spans="1:23" s="32" customFormat="1" hidden="1" x14ac:dyDescent="0.3">
      <c r="A1534" s="22" t="s">
        <v>20</v>
      </c>
      <c r="B1534" s="21">
        <v>46046</v>
      </c>
      <c r="C1534" s="22" t="s">
        <v>167</v>
      </c>
      <c r="D1534" s="13" t="s">
        <v>65</v>
      </c>
      <c r="E1534" s="13" t="s">
        <v>742</v>
      </c>
      <c r="F1534" s="26" t="s">
        <v>211</v>
      </c>
      <c r="G1534" s="21">
        <v>46044</v>
      </c>
      <c r="H1534" s="21">
        <v>46046</v>
      </c>
      <c r="I1534" s="21">
        <v>46046</v>
      </c>
      <c r="J1534" s="17"/>
      <c r="K1534" s="47">
        <v>0.35416666666666669</v>
      </c>
      <c r="L1534" s="48">
        <v>0.72916666666666663</v>
      </c>
      <c r="M1534" s="11">
        <f t="shared" si="23"/>
        <v>8.9999999999999982</v>
      </c>
      <c r="N1534" s="42" t="s">
        <v>0</v>
      </c>
      <c r="P1534" s="4"/>
      <c r="Q1534" s="4"/>
      <c r="R1534" s="4"/>
      <c r="S1534" s="4"/>
      <c r="T1534" s="4"/>
      <c r="U1534" s="4"/>
      <c r="V1534" s="4"/>
      <c r="W1534" s="4"/>
    </row>
    <row r="1535" spans="1:23" s="32" customFormat="1" hidden="1" x14ac:dyDescent="0.3">
      <c r="A1535" s="22" t="s">
        <v>20</v>
      </c>
      <c r="B1535" s="21">
        <v>46046</v>
      </c>
      <c r="C1535" s="22" t="s">
        <v>15</v>
      </c>
      <c r="D1535" s="216" t="s">
        <v>65</v>
      </c>
      <c r="E1535" s="216" t="s">
        <v>979</v>
      </c>
      <c r="F1535" s="243" t="s">
        <v>380</v>
      </c>
      <c r="G1535" s="219">
        <v>46044</v>
      </c>
      <c r="H1535" s="219">
        <v>46046</v>
      </c>
      <c r="I1535" s="219">
        <v>46046</v>
      </c>
      <c r="J1535" s="17"/>
      <c r="K1535" s="47">
        <v>0.27083333333333331</v>
      </c>
      <c r="L1535" s="48">
        <v>0.72916666666666663</v>
      </c>
      <c r="M1535" s="11">
        <f t="shared" si="23"/>
        <v>11</v>
      </c>
      <c r="N1535" s="231" t="s">
        <v>0</v>
      </c>
      <c r="P1535" s="4"/>
      <c r="Q1535" s="4"/>
      <c r="R1535" s="4"/>
      <c r="S1535" s="4"/>
      <c r="T1535" s="4"/>
      <c r="U1535" s="4"/>
      <c r="V1535" s="4"/>
      <c r="W1535" s="4"/>
    </row>
    <row r="1536" spans="1:23" s="32" customFormat="1" hidden="1" x14ac:dyDescent="0.3">
      <c r="A1536" s="22" t="s">
        <v>20</v>
      </c>
      <c r="B1536" s="21">
        <v>46046</v>
      </c>
      <c r="C1536" s="22" t="s">
        <v>31</v>
      </c>
      <c r="D1536" s="217"/>
      <c r="E1536" s="217"/>
      <c r="F1536" s="244"/>
      <c r="G1536" s="220"/>
      <c r="H1536" s="220"/>
      <c r="I1536" s="220"/>
      <c r="J1536" s="23"/>
      <c r="K1536" s="47">
        <v>0.54166666666666663</v>
      </c>
      <c r="L1536" s="48">
        <v>0.58333333333333337</v>
      </c>
      <c r="M1536" s="11">
        <f t="shared" si="23"/>
        <v>1.0000000000000018</v>
      </c>
      <c r="N1536" s="225"/>
      <c r="P1536" s="4"/>
      <c r="Q1536" s="4"/>
      <c r="R1536" s="4"/>
      <c r="S1536" s="4"/>
      <c r="T1536" s="4"/>
      <c r="U1536" s="4"/>
      <c r="V1536" s="4"/>
      <c r="W1536" s="4"/>
    </row>
    <row r="1537" spans="1:23" s="32" customFormat="1" hidden="1" x14ac:dyDescent="0.3">
      <c r="A1537" s="22" t="s">
        <v>20</v>
      </c>
      <c r="B1537" s="21">
        <v>46046</v>
      </c>
      <c r="C1537" s="22" t="s">
        <v>16</v>
      </c>
      <c r="D1537" s="216" t="s">
        <v>65</v>
      </c>
      <c r="E1537" s="214" t="s">
        <v>936</v>
      </c>
      <c r="F1537" s="243" t="s">
        <v>987</v>
      </c>
      <c r="G1537" s="219">
        <v>46042</v>
      </c>
      <c r="H1537" s="219">
        <v>46046</v>
      </c>
      <c r="I1537" s="219">
        <v>46046</v>
      </c>
      <c r="J1537" s="17"/>
      <c r="K1537" s="47">
        <v>0.27083333333333331</v>
      </c>
      <c r="L1537" s="48">
        <v>0.72916666666666663</v>
      </c>
      <c r="M1537" s="11">
        <f t="shared" si="23"/>
        <v>11</v>
      </c>
      <c r="N1537" s="227" t="s">
        <v>0</v>
      </c>
      <c r="P1537" s="4"/>
      <c r="Q1537" s="4"/>
      <c r="R1537" s="4"/>
      <c r="S1537" s="4"/>
      <c r="T1537" s="4"/>
      <c r="U1537" s="4"/>
      <c r="V1537" s="4"/>
      <c r="W1537" s="4"/>
    </row>
    <row r="1538" spans="1:23" s="32" customFormat="1" hidden="1" x14ac:dyDescent="0.3">
      <c r="A1538" s="22" t="s">
        <v>20</v>
      </c>
      <c r="B1538" s="21">
        <v>46046</v>
      </c>
      <c r="C1538" s="22" t="s">
        <v>31</v>
      </c>
      <c r="D1538" s="217"/>
      <c r="E1538" s="215"/>
      <c r="F1538" s="244"/>
      <c r="G1538" s="220"/>
      <c r="H1538" s="220"/>
      <c r="I1538" s="220"/>
      <c r="J1538" s="23"/>
      <c r="K1538" s="47">
        <v>0.4375</v>
      </c>
      <c r="L1538" s="48">
        <v>0.5</v>
      </c>
      <c r="M1538" s="11">
        <f t="shared" ref="M1538:M1601" si="24">MOD(L1538-K1538,1)*24</f>
        <v>1.5</v>
      </c>
      <c r="N1538" s="228"/>
      <c r="P1538" s="4"/>
      <c r="Q1538" s="4"/>
      <c r="R1538" s="4"/>
      <c r="S1538" s="4"/>
      <c r="T1538" s="4"/>
      <c r="U1538" s="4"/>
      <c r="V1538" s="4"/>
      <c r="W1538" s="4"/>
    </row>
    <row r="1539" spans="1:23" s="32" customFormat="1" hidden="1" x14ac:dyDescent="0.3">
      <c r="A1539" s="22" t="s">
        <v>20</v>
      </c>
      <c r="B1539" s="21">
        <v>46046</v>
      </c>
      <c r="C1539" s="22" t="s">
        <v>47</v>
      </c>
      <c r="D1539" s="221" t="s">
        <v>65</v>
      </c>
      <c r="E1539" s="233" t="s">
        <v>939</v>
      </c>
      <c r="F1539" s="245" t="s">
        <v>59</v>
      </c>
      <c r="G1539" s="223">
        <v>46042</v>
      </c>
      <c r="H1539" s="223">
        <v>46046</v>
      </c>
      <c r="I1539" s="223">
        <v>46046</v>
      </c>
      <c r="J1539" s="21"/>
      <c r="K1539" s="45">
        <v>0.27083333333333331</v>
      </c>
      <c r="L1539" s="48">
        <v>0.72916666666666663</v>
      </c>
      <c r="M1539" s="11">
        <f t="shared" si="24"/>
        <v>11</v>
      </c>
      <c r="N1539" s="254" t="s">
        <v>0</v>
      </c>
      <c r="P1539" s="4"/>
      <c r="Q1539" s="4"/>
      <c r="R1539" s="4"/>
      <c r="S1539" s="4"/>
      <c r="T1539" s="4"/>
      <c r="U1539" s="4"/>
      <c r="V1539" s="4"/>
      <c r="W1539" s="4"/>
    </row>
    <row r="1540" spans="1:23" s="32" customFormat="1" hidden="1" x14ac:dyDescent="0.3">
      <c r="A1540" s="12" t="s">
        <v>20</v>
      </c>
      <c r="B1540" s="19">
        <v>46046</v>
      </c>
      <c r="C1540" s="86" t="s">
        <v>31</v>
      </c>
      <c r="D1540" s="217"/>
      <c r="E1540" s="215"/>
      <c r="F1540" s="244"/>
      <c r="G1540" s="220"/>
      <c r="H1540" s="220"/>
      <c r="I1540" s="220"/>
      <c r="J1540" s="19"/>
      <c r="K1540" s="46">
        <v>0.58333333333333337</v>
      </c>
      <c r="L1540" s="53">
        <v>0.66666666666666663</v>
      </c>
      <c r="M1540" s="11">
        <f t="shared" si="24"/>
        <v>1.9999999999999982</v>
      </c>
      <c r="N1540" s="228"/>
      <c r="P1540" s="4"/>
      <c r="Q1540" s="4"/>
      <c r="R1540" s="4"/>
      <c r="S1540" s="4"/>
      <c r="T1540" s="4"/>
      <c r="U1540" s="4"/>
      <c r="V1540" s="4"/>
      <c r="W1540" s="4"/>
    </row>
    <row r="1541" spans="1:23" s="32" customFormat="1" ht="15.6" hidden="1" x14ac:dyDescent="0.3">
      <c r="A1541" s="40" t="s">
        <v>21</v>
      </c>
      <c r="B1541" s="21">
        <v>46048</v>
      </c>
      <c r="C1541" s="40" t="s">
        <v>26</v>
      </c>
      <c r="D1541" s="40" t="s">
        <v>24</v>
      </c>
      <c r="E1541" s="40" t="s">
        <v>1012</v>
      </c>
      <c r="F1541" s="84" t="s">
        <v>1013</v>
      </c>
      <c r="G1541" s="41">
        <v>46047</v>
      </c>
      <c r="H1541" s="41">
        <v>46050</v>
      </c>
      <c r="I1541" s="85"/>
      <c r="J1541" s="85"/>
      <c r="K1541" s="51">
        <v>0.27083333333333331</v>
      </c>
      <c r="L1541" s="51">
        <v>0.64583333333333337</v>
      </c>
      <c r="M1541" s="11">
        <f t="shared" si="24"/>
        <v>9.0000000000000018</v>
      </c>
      <c r="N1541" s="67" t="s">
        <v>1</v>
      </c>
      <c r="P1541" s="4"/>
      <c r="Q1541" s="4"/>
      <c r="R1541" s="4"/>
      <c r="S1541" s="4"/>
      <c r="T1541" s="4"/>
      <c r="U1541" s="4"/>
      <c r="V1541" s="4"/>
      <c r="W1541" s="4"/>
    </row>
    <row r="1542" spans="1:23" s="32" customFormat="1" ht="15.6" hidden="1" x14ac:dyDescent="0.3">
      <c r="A1542" s="40" t="s">
        <v>21</v>
      </c>
      <c r="B1542" s="21">
        <v>46048</v>
      </c>
      <c r="C1542" s="40" t="s">
        <v>50</v>
      </c>
      <c r="D1542" s="40" t="s">
        <v>24</v>
      </c>
      <c r="E1542" s="40" t="s">
        <v>829</v>
      </c>
      <c r="F1542" s="84" t="s">
        <v>1014</v>
      </c>
      <c r="G1542" s="41">
        <v>46044</v>
      </c>
      <c r="H1542" s="41">
        <v>46050</v>
      </c>
      <c r="I1542" s="85"/>
      <c r="J1542" s="85"/>
      <c r="K1542" s="51">
        <v>0.35416666666666669</v>
      </c>
      <c r="L1542" s="51">
        <v>0.72916666666666663</v>
      </c>
      <c r="M1542" s="11">
        <f t="shared" si="24"/>
        <v>8.9999999999999982</v>
      </c>
      <c r="N1542" s="67" t="s">
        <v>1</v>
      </c>
      <c r="P1542" s="4"/>
      <c r="Q1542" s="4"/>
      <c r="R1542" s="4"/>
      <c r="S1542" s="4"/>
      <c r="T1542" s="4"/>
      <c r="U1542" s="4"/>
      <c r="V1542" s="4"/>
      <c r="W1542" s="4"/>
    </row>
    <row r="1543" spans="1:23" s="32" customFormat="1" hidden="1" x14ac:dyDescent="0.3">
      <c r="A1543" s="40" t="s">
        <v>21</v>
      </c>
      <c r="B1543" s="21">
        <v>46048</v>
      </c>
      <c r="C1543" s="40" t="s">
        <v>37</v>
      </c>
      <c r="D1543" s="40" t="s">
        <v>24</v>
      </c>
      <c r="E1543" s="40" t="s">
        <v>964</v>
      </c>
      <c r="F1543" s="84" t="s">
        <v>1015</v>
      </c>
      <c r="G1543" s="41">
        <v>46043</v>
      </c>
      <c r="H1543" s="41">
        <v>46050</v>
      </c>
      <c r="I1543" s="41"/>
      <c r="J1543" s="41"/>
      <c r="K1543" s="51">
        <v>0.35416666666666669</v>
      </c>
      <c r="L1543" s="51">
        <v>0.72916666666666663</v>
      </c>
      <c r="M1543" s="11">
        <f t="shared" si="24"/>
        <v>8.9999999999999982</v>
      </c>
      <c r="N1543" s="67" t="s">
        <v>1</v>
      </c>
      <c r="P1543" s="4"/>
      <c r="Q1543" s="4"/>
      <c r="R1543" s="4"/>
      <c r="S1543" s="4"/>
      <c r="T1543" s="4"/>
      <c r="U1543" s="4"/>
      <c r="V1543" s="4"/>
      <c r="W1543" s="4"/>
    </row>
    <row r="1544" spans="1:23" s="32" customFormat="1" hidden="1" x14ac:dyDescent="0.3">
      <c r="A1544" s="40" t="s">
        <v>21</v>
      </c>
      <c r="B1544" s="21">
        <v>46048</v>
      </c>
      <c r="C1544" s="40" t="s">
        <v>274</v>
      </c>
      <c r="D1544" s="262" t="s">
        <v>8</v>
      </c>
      <c r="E1544" s="262" t="s">
        <v>966</v>
      </c>
      <c r="F1544" s="264" t="s">
        <v>967</v>
      </c>
      <c r="G1544" s="266">
        <v>46048</v>
      </c>
      <c r="H1544" s="266">
        <v>46050</v>
      </c>
      <c r="I1544" s="259"/>
      <c r="J1544" s="41"/>
      <c r="K1544" s="51">
        <v>0.27083333333333331</v>
      </c>
      <c r="L1544" s="51">
        <v>0.72916666666666663</v>
      </c>
      <c r="M1544" s="11">
        <f t="shared" si="24"/>
        <v>11</v>
      </c>
      <c r="N1544" s="227" t="s">
        <v>1</v>
      </c>
      <c r="P1544" s="4"/>
      <c r="Q1544" s="4"/>
      <c r="R1544" s="4"/>
      <c r="S1544" s="4"/>
      <c r="T1544" s="4"/>
      <c r="U1544" s="4"/>
      <c r="V1544" s="4"/>
      <c r="W1544" s="4"/>
    </row>
    <row r="1545" spans="1:23" s="32" customFormat="1" hidden="1" x14ac:dyDescent="0.3">
      <c r="A1545" s="40" t="s">
        <v>21</v>
      </c>
      <c r="B1545" s="21">
        <v>46048</v>
      </c>
      <c r="C1545" s="40" t="s">
        <v>18</v>
      </c>
      <c r="D1545" s="263"/>
      <c r="E1545" s="263"/>
      <c r="F1545" s="265"/>
      <c r="G1545" s="267"/>
      <c r="H1545" s="267"/>
      <c r="I1545" s="259"/>
      <c r="J1545" s="41"/>
      <c r="K1545" s="51">
        <v>0.27083333333333331</v>
      </c>
      <c r="L1545" s="51">
        <v>0.72916666666666663</v>
      </c>
      <c r="M1545" s="11">
        <f t="shared" si="24"/>
        <v>11</v>
      </c>
      <c r="N1545" s="228"/>
      <c r="P1545" s="4"/>
      <c r="Q1545" s="4"/>
      <c r="R1545" s="4"/>
      <c r="S1545" s="4"/>
      <c r="T1545" s="4"/>
      <c r="U1545" s="4"/>
      <c r="V1545" s="4"/>
      <c r="W1545" s="4"/>
    </row>
    <row r="1546" spans="1:23" s="32" customFormat="1" hidden="1" x14ac:dyDescent="0.3">
      <c r="A1546" s="40" t="s">
        <v>21</v>
      </c>
      <c r="B1546" s="21">
        <v>46048</v>
      </c>
      <c r="C1546" s="40" t="s">
        <v>771</v>
      </c>
      <c r="D1546" s="7" t="s">
        <v>43</v>
      </c>
      <c r="E1546" s="7" t="s">
        <v>1016</v>
      </c>
      <c r="F1546" s="88" t="s">
        <v>349</v>
      </c>
      <c r="G1546" s="36">
        <v>46048</v>
      </c>
      <c r="H1546" s="36">
        <v>46048</v>
      </c>
      <c r="I1546" s="41"/>
      <c r="J1546" s="41"/>
      <c r="K1546" s="51">
        <v>0.27083333333333331</v>
      </c>
      <c r="L1546" s="51">
        <v>0.64583333333333337</v>
      </c>
      <c r="M1546" s="11">
        <f t="shared" si="24"/>
        <v>9.0000000000000018</v>
      </c>
      <c r="N1546" s="63" t="s">
        <v>1</v>
      </c>
      <c r="P1546" s="4"/>
      <c r="Q1546" s="4"/>
      <c r="R1546" s="4"/>
      <c r="S1546" s="4"/>
      <c r="T1546" s="4"/>
      <c r="U1546" s="4"/>
      <c r="V1546" s="4"/>
      <c r="W1546" s="4"/>
    </row>
    <row r="1547" spans="1:23" s="32" customFormat="1" hidden="1" x14ac:dyDescent="0.3">
      <c r="A1547" s="40" t="s">
        <v>21</v>
      </c>
      <c r="B1547" s="21">
        <v>46048</v>
      </c>
      <c r="C1547" s="40" t="s">
        <v>56</v>
      </c>
      <c r="D1547" s="7" t="s">
        <v>43</v>
      </c>
      <c r="E1547" s="7" t="s">
        <v>1017</v>
      </c>
      <c r="F1547" s="88" t="s">
        <v>884</v>
      </c>
      <c r="G1547" s="41">
        <v>46048</v>
      </c>
      <c r="H1547" s="41">
        <v>46049</v>
      </c>
      <c r="I1547" s="41"/>
      <c r="J1547" s="41"/>
      <c r="K1547" s="51">
        <v>0.27083333333333331</v>
      </c>
      <c r="L1547" s="51">
        <v>0.64583333333333337</v>
      </c>
      <c r="M1547" s="11">
        <f t="shared" si="24"/>
        <v>9.0000000000000018</v>
      </c>
      <c r="N1547" s="67" t="s">
        <v>1</v>
      </c>
      <c r="P1547" s="4"/>
      <c r="Q1547" s="4"/>
      <c r="R1547" s="4"/>
      <c r="S1547" s="4"/>
      <c r="T1547" s="4"/>
      <c r="U1547" s="4"/>
      <c r="V1547" s="4"/>
      <c r="W1547" s="4"/>
    </row>
    <row r="1548" spans="1:23" s="32" customFormat="1" hidden="1" x14ac:dyDescent="0.3">
      <c r="A1548" s="40" t="s">
        <v>21</v>
      </c>
      <c r="B1548" s="21">
        <v>46048</v>
      </c>
      <c r="C1548" s="40" t="s">
        <v>118</v>
      </c>
      <c r="D1548" s="262" t="s">
        <v>54</v>
      </c>
      <c r="E1548" s="262" t="s">
        <v>688</v>
      </c>
      <c r="F1548" s="262" t="s">
        <v>1019</v>
      </c>
      <c r="G1548" s="266">
        <v>46046</v>
      </c>
      <c r="H1548" s="266">
        <v>46048</v>
      </c>
      <c r="I1548" s="266"/>
      <c r="J1548" s="36"/>
      <c r="K1548" s="51">
        <v>0.35416666666666669</v>
      </c>
      <c r="L1548" s="51">
        <v>0.72916666666666663</v>
      </c>
      <c r="M1548" s="11">
        <f t="shared" si="24"/>
        <v>8.9999999999999982</v>
      </c>
      <c r="N1548" s="227" t="s">
        <v>1</v>
      </c>
      <c r="P1548" s="4"/>
      <c r="Q1548" s="4"/>
      <c r="R1548" s="4"/>
      <c r="S1548" s="4"/>
      <c r="T1548" s="4"/>
      <c r="U1548" s="4"/>
      <c r="V1548" s="4"/>
      <c r="W1548" s="4"/>
    </row>
    <row r="1549" spans="1:23" s="32" customFormat="1" hidden="1" x14ac:dyDescent="0.3">
      <c r="A1549" s="40" t="s">
        <v>21</v>
      </c>
      <c r="B1549" s="21">
        <v>46048</v>
      </c>
      <c r="C1549" s="40" t="s">
        <v>34</v>
      </c>
      <c r="D1549" s="263"/>
      <c r="E1549" s="263"/>
      <c r="F1549" s="263"/>
      <c r="G1549" s="267"/>
      <c r="H1549" s="267"/>
      <c r="I1549" s="267"/>
      <c r="J1549" s="37"/>
      <c r="K1549" s="51">
        <v>0.35416666666666669</v>
      </c>
      <c r="L1549" s="51">
        <v>0.72916666666666663</v>
      </c>
      <c r="M1549" s="11">
        <f t="shared" si="24"/>
        <v>8.9999999999999982</v>
      </c>
      <c r="N1549" s="228"/>
      <c r="P1549" s="4"/>
      <c r="Q1549" s="4"/>
      <c r="R1549" s="4"/>
      <c r="S1549" s="4"/>
      <c r="T1549" s="4"/>
      <c r="U1549" s="4"/>
      <c r="V1549" s="4"/>
      <c r="W1549" s="4"/>
    </row>
    <row r="1550" spans="1:23" s="32" customFormat="1" hidden="1" x14ac:dyDescent="0.3">
      <c r="A1550" s="40" t="s">
        <v>21</v>
      </c>
      <c r="B1550" s="21">
        <v>46048</v>
      </c>
      <c r="C1550" s="40" t="s">
        <v>25</v>
      </c>
      <c r="D1550" s="40" t="s">
        <v>43</v>
      </c>
      <c r="E1550" s="40" t="s">
        <v>950</v>
      </c>
      <c r="F1550" s="40" t="s">
        <v>1018</v>
      </c>
      <c r="G1550" s="41">
        <v>46048</v>
      </c>
      <c r="H1550" s="41">
        <v>46048</v>
      </c>
      <c r="I1550" s="41">
        <v>46048</v>
      </c>
      <c r="J1550" s="41"/>
      <c r="K1550" s="51">
        <v>0.27083333333333331</v>
      </c>
      <c r="L1550" s="51">
        <v>0.64583333333333337</v>
      </c>
      <c r="M1550" s="11">
        <f t="shared" si="24"/>
        <v>9.0000000000000018</v>
      </c>
      <c r="N1550" s="42" t="s">
        <v>0</v>
      </c>
      <c r="P1550" s="4"/>
      <c r="Q1550" s="4"/>
      <c r="R1550" s="4"/>
      <c r="S1550" s="4"/>
      <c r="T1550" s="4"/>
      <c r="U1550" s="4"/>
      <c r="V1550" s="4"/>
      <c r="W1550" s="4"/>
    </row>
    <row r="1551" spans="1:23" s="32" customFormat="1" hidden="1" x14ac:dyDescent="0.3">
      <c r="A1551" s="8" t="s">
        <v>21</v>
      </c>
      <c r="B1551" s="19">
        <v>46048</v>
      </c>
      <c r="C1551" s="8" t="s">
        <v>320</v>
      </c>
      <c r="D1551" s="7" t="s">
        <v>43</v>
      </c>
      <c r="E1551" s="7" t="s">
        <v>1025</v>
      </c>
      <c r="F1551" s="7" t="s">
        <v>593</v>
      </c>
      <c r="G1551" s="15">
        <v>46048</v>
      </c>
      <c r="H1551" s="15">
        <v>46048</v>
      </c>
      <c r="I1551" s="15">
        <v>46048</v>
      </c>
      <c r="J1551" s="15"/>
      <c r="K1551" s="52">
        <v>0.35416666666666669</v>
      </c>
      <c r="L1551" s="52">
        <v>0.72916666666666663</v>
      </c>
      <c r="M1551" s="11">
        <f t="shared" si="24"/>
        <v>8.9999999999999982</v>
      </c>
      <c r="N1551" s="34" t="s">
        <v>0</v>
      </c>
      <c r="P1551" s="4"/>
      <c r="Q1551" s="4"/>
      <c r="R1551" s="4"/>
      <c r="S1551" s="4"/>
      <c r="T1551" s="4"/>
      <c r="U1551" s="4"/>
      <c r="V1551" s="4"/>
      <c r="W1551" s="4"/>
    </row>
    <row r="1552" spans="1:23" s="32" customFormat="1" hidden="1" x14ac:dyDescent="0.3">
      <c r="A1552" s="40" t="s">
        <v>21</v>
      </c>
      <c r="B1552" s="21">
        <v>46048</v>
      </c>
      <c r="C1552" s="40" t="s">
        <v>55</v>
      </c>
      <c r="D1552" s="10" t="s">
        <v>43</v>
      </c>
      <c r="E1552" s="10" t="s">
        <v>927</v>
      </c>
      <c r="F1552" s="10" t="s">
        <v>884</v>
      </c>
      <c r="G1552" s="36">
        <v>46043</v>
      </c>
      <c r="H1552" s="36">
        <v>46048</v>
      </c>
      <c r="I1552" s="36">
        <v>46048</v>
      </c>
      <c r="J1552" s="36"/>
      <c r="K1552" s="51">
        <v>0.35416666666666669</v>
      </c>
      <c r="L1552" s="51">
        <v>0.54166666666666663</v>
      </c>
      <c r="M1552" s="11">
        <f t="shared" si="24"/>
        <v>4.4999999999999982</v>
      </c>
      <c r="N1552" s="62" t="s">
        <v>0</v>
      </c>
      <c r="P1552" s="4"/>
      <c r="Q1552" s="4"/>
      <c r="R1552" s="4"/>
      <c r="S1552" s="4"/>
      <c r="T1552" s="4"/>
      <c r="U1552" s="4"/>
      <c r="V1552" s="4"/>
      <c r="W1552" s="4"/>
    </row>
    <row r="1553" spans="1:23" s="32" customFormat="1" hidden="1" x14ac:dyDescent="0.3">
      <c r="A1553" s="22" t="s">
        <v>19</v>
      </c>
      <c r="B1553" s="21">
        <v>46048</v>
      </c>
      <c r="C1553" s="22" t="s">
        <v>208</v>
      </c>
      <c r="D1553" s="24" t="s">
        <v>8</v>
      </c>
      <c r="E1553" s="24" t="s">
        <v>1001</v>
      </c>
      <c r="F1553" s="24" t="s">
        <v>239</v>
      </c>
      <c r="G1553" s="41">
        <v>46046</v>
      </c>
      <c r="H1553" s="41">
        <v>46046</v>
      </c>
      <c r="I1553" s="21"/>
      <c r="J1553" s="19"/>
      <c r="K1553" s="52">
        <v>0.35416666666666669</v>
      </c>
      <c r="L1553" s="48">
        <v>0.5625</v>
      </c>
      <c r="M1553" s="11">
        <f t="shared" si="24"/>
        <v>5</v>
      </c>
      <c r="N1553" s="67" t="s">
        <v>1</v>
      </c>
      <c r="P1553" s="4"/>
      <c r="Q1553" s="4"/>
      <c r="R1553" s="4"/>
      <c r="S1553" s="4"/>
      <c r="T1553" s="4"/>
      <c r="U1553" s="4"/>
      <c r="V1553" s="4"/>
      <c r="W1553" s="4"/>
    </row>
    <row r="1554" spans="1:23" s="32" customFormat="1" hidden="1" x14ac:dyDescent="0.3">
      <c r="A1554" s="22" t="s">
        <v>19</v>
      </c>
      <c r="B1554" s="21">
        <v>46048</v>
      </c>
      <c r="C1554" s="22" t="s">
        <v>7</v>
      </c>
      <c r="D1554" s="216" t="s">
        <v>8</v>
      </c>
      <c r="E1554" s="216" t="s">
        <v>876</v>
      </c>
      <c r="F1554" s="216" t="s">
        <v>886</v>
      </c>
      <c r="G1554" s="218">
        <v>46048</v>
      </c>
      <c r="H1554" s="218">
        <v>46048</v>
      </c>
      <c r="I1554" s="218"/>
      <c r="J1554" s="16"/>
      <c r="K1554" s="51">
        <v>0.27083333333333331</v>
      </c>
      <c r="L1554" s="51">
        <v>0.64583333333333337</v>
      </c>
      <c r="M1554" s="11">
        <f t="shared" si="24"/>
        <v>9.0000000000000018</v>
      </c>
      <c r="N1554" s="227" t="s">
        <v>1</v>
      </c>
      <c r="P1554" s="4"/>
      <c r="Q1554" s="4"/>
      <c r="R1554" s="4"/>
      <c r="S1554" s="4"/>
      <c r="T1554" s="4"/>
      <c r="U1554" s="4"/>
      <c r="V1554" s="4"/>
      <c r="W1554" s="4"/>
    </row>
    <row r="1555" spans="1:23" s="32" customFormat="1" hidden="1" x14ac:dyDescent="0.3">
      <c r="A1555" s="22" t="s">
        <v>19</v>
      </c>
      <c r="B1555" s="21">
        <v>46048</v>
      </c>
      <c r="C1555" s="12" t="s">
        <v>9</v>
      </c>
      <c r="D1555" s="217"/>
      <c r="E1555" s="217"/>
      <c r="F1555" s="217"/>
      <c r="G1555" s="217"/>
      <c r="H1555" s="217"/>
      <c r="I1555" s="217"/>
      <c r="J1555" s="14"/>
      <c r="K1555" s="52">
        <v>0.35416666666666669</v>
      </c>
      <c r="L1555" s="51">
        <v>0.72916666666666663</v>
      </c>
      <c r="M1555" s="11">
        <f t="shared" si="24"/>
        <v>8.9999999999999982</v>
      </c>
      <c r="N1555" s="228"/>
      <c r="P1555" s="4"/>
      <c r="Q1555" s="4"/>
      <c r="R1555" s="4"/>
      <c r="S1555" s="4"/>
      <c r="T1555" s="4"/>
      <c r="U1555" s="4"/>
      <c r="V1555" s="4"/>
      <c r="W1555" s="4"/>
    </row>
    <row r="1556" spans="1:23" s="32" customFormat="1" hidden="1" x14ac:dyDescent="0.3">
      <c r="A1556" s="22" t="s">
        <v>19</v>
      </c>
      <c r="B1556" s="21">
        <v>46048</v>
      </c>
      <c r="C1556" s="12" t="s">
        <v>208</v>
      </c>
      <c r="D1556" s="24" t="s">
        <v>8</v>
      </c>
      <c r="E1556" s="14" t="s">
        <v>682</v>
      </c>
      <c r="F1556" s="20" t="s">
        <v>1024</v>
      </c>
      <c r="G1556" s="41">
        <v>46046</v>
      </c>
      <c r="H1556" s="41">
        <v>46048</v>
      </c>
      <c r="I1556" s="41">
        <v>46048</v>
      </c>
      <c r="J1556" s="37"/>
      <c r="K1556" s="52">
        <v>0.27083333333333331</v>
      </c>
      <c r="L1556" s="51">
        <v>0.4375</v>
      </c>
      <c r="M1556" s="11">
        <f t="shared" si="24"/>
        <v>4</v>
      </c>
      <c r="N1556" s="42" t="s">
        <v>0</v>
      </c>
      <c r="P1556" s="4"/>
      <c r="Q1556" s="4"/>
      <c r="R1556" s="4"/>
      <c r="S1556" s="4"/>
      <c r="T1556" s="4"/>
      <c r="U1556" s="4"/>
      <c r="V1556" s="4"/>
      <c r="W1556" s="4"/>
    </row>
    <row r="1557" spans="1:23" s="32" customFormat="1" hidden="1" x14ac:dyDescent="0.3">
      <c r="A1557" s="22" t="s">
        <v>20</v>
      </c>
      <c r="B1557" s="21">
        <v>46048</v>
      </c>
      <c r="C1557" s="69" t="s">
        <v>1003</v>
      </c>
      <c r="D1557" s="214" t="s">
        <v>44</v>
      </c>
      <c r="E1557" s="233" t="s">
        <v>970</v>
      </c>
      <c r="F1557" s="238" t="s">
        <v>1020</v>
      </c>
      <c r="G1557" s="266">
        <v>46045</v>
      </c>
      <c r="H1557" s="266">
        <v>46053</v>
      </c>
      <c r="I1557" s="266">
        <v>46053</v>
      </c>
      <c r="J1557" s="15"/>
      <c r="K1557" s="52">
        <v>0.27083333333333331</v>
      </c>
      <c r="L1557" s="51">
        <v>0.64583333333333337</v>
      </c>
      <c r="M1557" s="11">
        <f t="shared" si="24"/>
        <v>9.0000000000000018</v>
      </c>
      <c r="N1557" s="224" t="s">
        <v>0</v>
      </c>
      <c r="P1557" s="4"/>
      <c r="Q1557" s="4"/>
      <c r="R1557" s="4"/>
      <c r="S1557" s="4"/>
      <c r="T1557" s="4"/>
      <c r="U1557" s="4"/>
      <c r="V1557" s="4"/>
      <c r="W1557" s="4"/>
    </row>
    <row r="1558" spans="1:23" s="32" customFormat="1" hidden="1" x14ac:dyDescent="0.3">
      <c r="A1558" s="22" t="s">
        <v>20</v>
      </c>
      <c r="B1558" s="21">
        <v>46048</v>
      </c>
      <c r="C1558" s="69" t="s">
        <v>421</v>
      </c>
      <c r="D1558" s="215"/>
      <c r="E1558" s="233"/>
      <c r="F1558" s="238"/>
      <c r="G1558" s="267"/>
      <c r="H1558" s="267"/>
      <c r="I1558" s="267"/>
      <c r="J1558" s="37"/>
      <c r="K1558" s="51">
        <v>0.27083333333333331</v>
      </c>
      <c r="L1558" s="51">
        <v>0.64583333333333337</v>
      </c>
      <c r="M1558" s="11">
        <f t="shared" si="24"/>
        <v>9.0000000000000018</v>
      </c>
      <c r="N1558" s="225"/>
      <c r="P1558" s="4"/>
      <c r="Q1558" s="4"/>
      <c r="R1558" s="4"/>
      <c r="S1558" s="4"/>
      <c r="T1558" s="4"/>
      <c r="U1558" s="4"/>
      <c r="V1558" s="4"/>
      <c r="W1558" s="4"/>
    </row>
    <row r="1559" spans="1:23" s="32" customFormat="1" hidden="1" x14ac:dyDescent="0.3">
      <c r="A1559" s="22" t="s">
        <v>20</v>
      </c>
      <c r="B1559" s="21">
        <v>46048</v>
      </c>
      <c r="C1559" s="69" t="s">
        <v>14</v>
      </c>
      <c r="D1559" s="11" t="s">
        <v>44</v>
      </c>
      <c r="E1559" s="11" t="s">
        <v>972</v>
      </c>
      <c r="F1559" s="11" t="s">
        <v>229</v>
      </c>
      <c r="G1559" s="41">
        <v>46048</v>
      </c>
      <c r="H1559" s="41">
        <v>46048</v>
      </c>
      <c r="I1559" s="41">
        <v>46048</v>
      </c>
      <c r="J1559" s="36"/>
      <c r="K1559" s="47">
        <v>0.35416666666666669</v>
      </c>
      <c r="L1559" s="48">
        <v>0.72916666666666663</v>
      </c>
      <c r="M1559" s="11">
        <f t="shared" si="24"/>
        <v>8.9999999999999982</v>
      </c>
      <c r="N1559" s="62" t="s">
        <v>0</v>
      </c>
      <c r="P1559" s="4"/>
      <c r="Q1559" s="4"/>
      <c r="R1559" s="4"/>
      <c r="S1559" s="4"/>
      <c r="T1559" s="4"/>
      <c r="U1559" s="4"/>
      <c r="V1559" s="4"/>
      <c r="W1559" s="4"/>
    </row>
    <row r="1560" spans="1:23" s="32" customFormat="1" hidden="1" x14ac:dyDescent="0.3">
      <c r="A1560" s="22" t="s">
        <v>20</v>
      </c>
      <c r="B1560" s="21">
        <v>46048</v>
      </c>
      <c r="C1560" s="69" t="s">
        <v>33</v>
      </c>
      <c r="D1560" s="12" t="s">
        <v>44</v>
      </c>
      <c r="E1560" s="12" t="s">
        <v>1021</v>
      </c>
      <c r="F1560" s="12" t="s">
        <v>1022</v>
      </c>
      <c r="G1560" s="41">
        <v>46048</v>
      </c>
      <c r="H1560" s="41">
        <v>46050</v>
      </c>
      <c r="I1560" s="41">
        <v>46050</v>
      </c>
      <c r="J1560" s="36"/>
      <c r="K1560" s="47">
        <v>0.35416666666666669</v>
      </c>
      <c r="L1560" s="48">
        <v>0.54166666666666663</v>
      </c>
      <c r="M1560" s="11">
        <f t="shared" si="24"/>
        <v>4.4999999999999982</v>
      </c>
      <c r="N1560" s="62" t="s">
        <v>0</v>
      </c>
      <c r="P1560" s="4"/>
      <c r="Q1560" s="4"/>
      <c r="R1560" s="4"/>
      <c r="S1560" s="4"/>
      <c r="T1560" s="4"/>
      <c r="U1560" s="4"/>
      <c r="V1560" s="4"/>
      <c r="W1560" s="4"/>
    </row>
    <row r="1561" spans="1:23" s="32" customFormat="1" hidden="1" x14ac:dyDescent="0.3">
      <c r="A1561" s="22" t="s">
        <v>20</v>
      </c>
      <c r="B1561" s="21">
        <v>46048</v>
      </c>
      <c r="C1561" s="22" t="s">
        <v>28</v>
      </c>
      <c r="D1561" s="13" t="s">
        <v>65</v>
      </c>
      <c r="E1561" s="13" t="s">
        <v>278</v>
      </c>
      <c r="F1561" s="26" t="s">
        <v>413</v>
      </c>
      <c r="G1561" s="41">
        <v>46046</v>
      </c>
      <c r="H1561" s="41">
        <v>46048</v>
      </c>
      <c r="I1561" s="41">
        <v>46048</v>
      </c>
      <c r="J1561" s="41"/>
      <c r="K1561" s="45">
        <v>0.27083333333333331</v>
      </c>
      <c r="L1561" s="47">
        <v>0.6875</v>
      </c>
      <c r="M1561" s="11">
        <f t="shared" si="24"/>
        <v>10</v>
      </c>
      <c r="N1561" s="42" t="s">
        <v>0</v>
      </c>
      <c r="P1561" s="4"/>
      <c r="Q1561" s="4"/>
      <c r="R1561" s="4"/>
      <c r="S1561" s="4"/>
      <c r="T1561" s="4"/>
      <c r="U1561" s="4"/>
      <c r="V1561" s="4"/>
      <c r="W1561" s="4"/>
    </row>
    <row r="1562" spans="1:23" s="32" customFormat="1" hidden="1" x14ac:dyDescent="0.3">
      <c r="A1562" s="22" t="s">
        <v>20</v>
      </c>
      <c r="B1562" s="21">
        <v>46048</v>
      </c>
      <c r="C1562" s="22" t="s">
        <v>1023</v>
      </c>
      <c r="D1562" s="13" t="s">
        <v>65</v>
      </c>
      <c r="E1562" s="13" t="s">
        <v>842</v>
      </c>
      <c r="F1562" s="26" t="s">
        <v>1005</v>
      </c>
      <c r="G1562" s="41">
        <v>46046</v>
      </c>
      <c r="H1562" s="41">
        <v>46048</v>
      </c>
      <c r="I1562" s="41">
        <v>46048</v>
      </c>
      <c r="J1562" s="36"/>
      <c r="K1562" s="47">
        <v>0.35416666666666669</v>
      </c>
      <c r="L1562" s="48">
        <v>0.72916666666666663</v>
      </c>
      <c r="M1562" s="11">
        <f t="shared" si="24"/>
        <v>8.9999999999999982</v>
      </c>
      <c r="N1562" s="42" t="s">
        <v>0</v>
      </c>
      <c r="P1562" s="4"/>
      <c r="Q1562" s="4"/>
      <c r="R1562" s="4"/>
      <c r="S1562" s="4"/>
      <c r="T1562" s="4"/>
      <c r="U1562" s="4"/>
      <c r="V1562" s="4"/>
      <c r="W1562" s="4"/>
    </row>
    <row r="1563" spans="1:23" s="32" customFormat="1" hidden="1" x14ac:dyDescent="0.3">
      <c r="A1563" s="22" t="s">
        <v>20</v>
      </c>
      <c r="B1563" s="21">
        <v>46048</v>
      </c>
      <c r="C1563" s="22" t="s">
        <v>17</v>
      </c>
      <c r="D1563" s="13" t="s">
        <v>65</v>
      </c>
      <c r="E1563" s="13" t="s">
        <v>988</v>
      </c>
      <c r="F1563" s="26" t="s">
        <v>612</v>
      </c>
      <c r="G1563" s="21">
        <v>46044</v>
      </c>
      <c r="H1563" s="41">
        <v>46048</v>
      </c>
      <c r="I1563" s="41">
        <v>46048</v>
      </c>
      <c r="J1563" s="36"/>
      <c r="K1563" s="47">
        <v>0.27083333333333331</v>
      </c>
      <c r="L1563" s="48">
        <v>0.72916666666666663</v>
      </c>
      <c r="M1563" s="11">
        <f t="shared" si="24"/>
        <v>11</v>
      </c>
      <c r="N1563" s="42" t="s">
        <v>0</v>
      </c>
      <c r="P1563" s="4"/>
      <c r="Q1563" s="4"/>
      <c r="R1563" s="4"/>
      <c r="S1563" s="4"/>
      <c r="T1563" s="4"/>
      <c r="U1563" s="4"/>
      <c r="V1563" s="4"/>
      <c r="W1563" s="4"/>
    </row>
    <row r="1564" spans="1:23" s="32" customFormat="1" hidden="1" x14ac:dyDescent="0.3">
      <c r="A1564" s="22" t="s">
        <v>20</v>
      </c>
      <c r="B1564" s="21">
        <v>46048</v>
      </c>
      <c r="C1564" s="22" t="s">
        <v>167</v>
      </c>
      <c r="D1564" s="13" t="s">
        <v>65</v>
      </c>
      <c r="E1564" s="13" t="s">
        <v>742</v>
      </c>
      <c r="F1564" s="26" t="s">
        <v>211</v>
      </c>
      <c r="G1564" s="21">
        <v>46044</v>
      </c>
      <c r="H1564" s="21">
        <v>46048</v>
      </c>
      <c r="I1564" s="21">
        <v>46048</v>
      </c>
      <c r="J1564" s="17"/>
      <c r="K1564" s="47">
        <v>0.35416666666666669</v>
      </c>
      <c r="L1564" s="48">
        <v>0.72916666666666663</v>
      </c>
      <c r="M1564" s="11">
        <f t="shared" si="24"/>
        <v>8.9999999999999982</v>
      </c>
      <c r="N1564" s="42" t="s">
        <v>0</v>
      </c>
      <c r="P1564" s="4"/>
      <c r="Q1564" s="4"/>
      <c r="R1564" s="4"/>
      <c r="S1564" s="4"/>
      <c r="T1564" s="4"/>
      <c r="U1564" s="4"/>
      <c r="V1564" s="4"/>
      <c r="W1564" s="4"/>
    </row>
    <row r="1565" spans="1:23" s="32" customFormat="1" hidden="1" x14ac:dyDescent="0.3">
      <c r="A1565" s="22" t="s">
        <v>20</v>
      </c>
      <c r="B1565" s="21">
        <v>46048</v>
      </c>
      <c r="C1565" s="22" t="s">
        <v>15</v>
      </c>
      <c r="D1565" s="216" t="s">
        <v>65</v>
      </c>
      <c r="E1565" s="216" t="s">
        <v>979</v>
      </c>
      <c r="F1565" s="243" t="s">
        <v>211</v>
      </c>
      <c r="G1565" s="219">
        <v>46044</v>
      </c>
      <c r="H1565" s="219">
        <v>46048</v>
      </c>
      <c r="I1565" s="219">
        <v>46048</v>
      </c>
      <c r="J1565" s="17"/>
      <c r="K1565" s="47">
        <v>0.27083333333333331</v>
      </c>
      <c r="L1565" s="48">
        <v>0.72916666666666663</v>
      </c>
      <c r="M1565" s="11">
        <f t="shared" si="24"/>
        <v>11</v>
      </c>
      <c r="N1565" s="231" t="s">
        <v>0</v>
      </c>
      <c r="P1565" s="4"/>
      <c r="Q1565" s="4"/>
      <c r="R1565" s="4"/>
      <c r="S1565" s="4"/>
      <c r="T1565" s="4"/>
      <c r="U1565" s="4"/>
      <c r="V1565" s="4"/>
      <c r="W1565" s="4"/>
    </row>
    <row r="1566" spans="1:23" s="32" customFormat="1" hidden="1" x14ac:dyDescent="0.3">
      <c r="A1566" s="22" t="s">
        <v>20</v>
      </c>
      <c r="B1566" s="21">
        <v>46048</v>
      </c>
      <c r="C1566" s="22" t="s">
        <v>31</v>
      </c>
      <c r="D1566" s="217"/>
      <c r="E1566" s="217"/>
      <c r="F1566" s="244"/>
      <c r="G1566" s="220"/>
      <c r="H1566" s="220"/>
      <c r="I1566" s="220"/>
      <c r="J1566" s="23"/>
      <c r="K1566" s="47">
        <v>0.54166666666666663</v>
      </c>
      <c r="L1566" s="48">
        <v>0.58333333333333337</v>
      </c>
      <c r="M1566" s="11">
        <f t="shared" si="24"/>
        <v>1.0000000000000018</v>
      </c>
      <c r="N1566" s="225"/>
      <c r="P1566" s="4"/>
      <c r="Q1566" s="4"/>
      <c r="R1566" s="4"/>
      <c r="S1566" s="4"/>
      <c r="T1566" s="4"/>
      <c r="U1566" s="4"/>
      <c r="V1566" s="4"/>
      <c r="W1566" s="4"/>
    </row>
    <row r="1567" spans="1:23" s="32" customFormat="1" hidden="1" x14ac:dyDescent="0.3">
      <c r="A1567" s="22" t="s">
        <v>20</v>
      </c>
      <c r="B1567" s="21">
        <v>46048</v>
      </c>
      <c r="C1567" s="22" t="s">
        <v>16</v>
      </c>
      <c r="D1567" s="216" t="s">
        <v>65</v>
      </c>
      <c r="E1567" s="214" t="s">
        <v>936</v>
      </c>
      <c r="F1567" s="243" t="s">
        <v>164</v>
      </c>
      <c r="G1567" s="219">
        <v>46042</v>
      </c>
      <c r="H1567" s="219">
        <v>46048</v>
      </c>
      <c r="I1567" s="219">
        <v>46048</v>
      </c>
      <c r="J1567" s="17"/>
      <c r="K1567" s="47">
        <v>0.27083333333333331</v>
      </c>
      <c r="L1567" s="48">
        <v>0.72916666666666663</v>
      </c>
      <c r="M1567" s="11">
        <f t="shared" si="24"/>
        <v>11</v>
      </c>
      <c r="N1567" s="227" t="s">
        <v>0</v>
      </c>
      <c r="P1567" s="4"/>
      <c r="Q1567" s="4"/>
      <c r="R1567" s="4"/>
      <c r="S1567" s="4"/>
      <c r="T1567" s="4"/>
      <c r="U1567" s="4"/>
      <c r="V1567" s="4"/>
      <c r="W1567" s="4"/>
    </row>
    <row r="1568" spans="1:23" s="32" customFormat="1" hidden="1" x14ac:dyDescent="0.3">
      <c r="A1568" s="22" t="s">
        <v>20</v>
      </c>
      <c r="B1568" s="21">
        <v>46048</v>
      </c>
      <c r="C1568" s="22" t="s">
        <v>31</v>
      </c>
      <c r="D1568" s="217"/>
      <c r="E1568" s="215"/>
      <c r="F1568" s="244"/>
      <c r="G1568" s="220"/>
      <c r="H1568" s="220"/>
      <c r="I1568" s="220"/>
      <c r="J1568" s="23"/>
      <c r="K1568" s="47">
        <v>0.4375</v>
      </c>
      <c r="L1568" s="48">
        <v>0.5</v>
      </c>
      <c r="M1568" s="11">
        <f t="shared" si="24"/>
        <v>1.5</v>
      </c>
      <c r="N1568" s="228"/>
      <c r="P1568" s="4"/>
      <c r="Q1568" s="4"/>
      <c r="R1568" s="4"/>
      <c r="S1568" s="4"/>
      <c r="T1568" s="4"/>
      <c r="U1568" s="4"/>
      <c r="V1568" s="4"/>
      <c r="W1568" s="4"/>
    </row>
    <row r="1569" spans="1:23" s="32" customFormat="1" hidden="1" x14ac:dyDescent="0.3">
      <c r="A1569" s="22" t="s">
        <v>20</v>
      </c>
      <c r="B1569" s="21">
        <v>46048</v>
      </c>
      <c r="C1569" s="22" t="s">
        <v>47</v>
      </c>
      <c r="D1569" s="221" t="s">
        <v>65</v>
      </c>
      <c r="E1569" s="233" t="s">
        <v>939</v>
      </c>
      <c r="F1569" s="245" t="s">
        <v>59</v>
      </c>
      <c r="G1569" s="223">
        <v>46042</v>
      </c>
      <c r="H1569" s="223">
        <v>46046</v>
      </c>
      <c r="I1569" s="223">
        <v>46046</v>
      </c>
      <c r="J1569" s="21"/>
      <c r="K1569" s="45">
        <v>0.27083333333333331</v>
      </c>
      <c r="L1569" s="48">
        <v>0.72916666666666663</v>
      </c>
      <c r="M1569" s="11">
        <f t="shared" si="24"/>
        <v>11</v>
      </c>
      <c r="N1569" s="254" t="s">
        <v>0</v>
      </c>
      <c r="P1569" s="4"/>
      <c r="Q1569" s="4"/>
      <c r="R1569" s="4"/>
      <c r="S1569" s="4"/>
      <c r="T1569" s="4"/>
      <c r="U1569" s="4"/>
      <c r="V1569" s="4"/>
      <c r="W1569" s="4"/>
    </row>
    <row r="1570" spans="1:23" s="32" customFormat="1" hidden="1" x14ac:dyDescent="0.3">
      <c r="A1570" s="12" t="s">
        <v>20</v>
      </c>
      <c r="B1570" s="19">
        <v>46048</v>
      </c>
      <c r="C1570" s="86" t="s">
        <v>31</v>
      </c>
      <c r="D1570" s="217"/>
      <c r="E1570" s="215"/>
      <c r="F1570" s="244"/>
      <c r="G1570" s="220"/>
      <c r="H1570" s="220"/>
      <c r="I1570" s="220"/>
      <c r="J1570" s="19"/>
      <c r="K1570" s="46">
        <v>0.58333333333333337</v>
      </c>
      <c r="L1570" s="53">
        <v>0.66666666666666663</v>
      </c>
      <c r="M1570" s="11">
        <f t="shared" si="24"/>
        <v>1.9999999999999982</v>
      </c>
      <c r="N1570" s="228"/>
      <c r="P1570" s="4"/>
      <c r="Q1570" s="4"/>
      <c r="R1570" s="4"/>
      <c r="S1570" s="4"/>
      <c r="T1570" s="4"/>
      <c r="U1570" s="4"/>
      <c r="V1570" s="4"/>
      <c r="W1570" s="4"/>
    </row>
    <row r="1571" spans="1:23" s="32" customFormat="1" ht="15.6" hidden="1" x14ac:dyDescent="0.3">
      <c r="A1571" s="40" t="s">
        <v>21</v>
      </c>
      <c r="B1571" s="21">
        <v>46049</v>
      </c>
      <c r="C1571" s="40" t="s">
        <v>26</v>
      </c>
      <c r="D1571" s="40" t="s">
        <v>24</v>
      </c>
      <c r="E1571" s="40" t="s">
        <v>1012</v>
      </c>
      <c r="F1571" s="84" t="s">
        <v>1013</v>
      </c>
      <c r="G1571" s="41">
        <v>46047</v>
      </c>
      <c r="H1571" s="41">
        <v>46050</v>
      </c>
      <c r="I1571" s="85"/>
      <c r="J1571" s="85"/>
      <c r="K1571" s="51">
        <v>0.27083333333333331</v>
      </c>
      <c r="L1571" s="51">
        <v>0.64583333333333337</v>
      </c>
      <c r="M1571" s="11">
        <f t="shared" si="24"/>
        <v>9.0000000000000018</v>
      </c>
      <c r="N1571" s="67" t="s">
        <v>1</v>
      </c>
      <c r="P1571" s="4"/>
      <c r="Q1571" s="4"/>
      <c r="R1571" s="4"/>
      <c r="S1571" s="4"/>
      <c r="T1571" s="4"/>
      <c r="U1571" s="4"/>
      <c r="V1571" s="4"/>
      <c r="W1571" s="4"/>
    </row>
    <row r="1572" spans="1:23" s="32" customFormat="1" ht="15.6" hidden="1" x14ac:dyDescent="0.3">
      <c r="A1572" s="40" t="s">
        <v>21</v>
      </c>
      <c r="B1572" s="21">
        <v>46049</v>
      </c>
      <c r="C1572" s="40" t="s">
        <v>50</v>
      </c>
      <c r="D1572" s="40" t="s">
        <v>24</v>
      </c>
      <c r="E1572" s="40" t="s">
        <v>829</v>
      </c>
      <c r="F1572" s="84" t="s">
        <v>1014</v>
      </c>
      <c r="G1572" s="41">
        <v>46044</v>
      </c>
      <c r="H1572" s="41">
        <v>46050</v>
      </c>
      <c r="I1572" s="85"/>
      <c r="J1572" s="85"/>
      <c r="K1572" s="51">
        <v>0.35416666666666669</v>
      </c>
      <c r="L1572" s="51">
        <v>0.72916666666666663</v>
      </c>
      <c r="M1572" s="11">
        <f t="shared" si="24"/>
        <v>8.9999999999999982</v>
      </c>
      <c r="N1572" s="67" t="s">
        <v>1</v>
      </c>
      <c r="P1572" s="4"/>
      <c r="Q1572" s="4"/>
      <c r="R1572" s="4"/>
      <c r="S1572" s="4"/>
      <c r="T1572" s="4"/>
      <c r="U1572" s="4"/>
      <c r="V1572" s="4"/>
      <c r="W1572" s="4"/>
    </row>
    <row r="1573" spans="1:23" s="32" customFormat="1" hidden="1" x14ac:dyDescent="0.3">
      <c r="A1573" s="40" t="s">
        <v>21</v>
      </c>
      <c r="B1573" s="21">
        <v>46049</v>
      </c>
      <c r="C1573" s="40" t="s">
        <v>37</v>
      </c>
      <c r="D1573" s="40" t="s">
        <v>24</v>
      </c>
      <c r="E1573" s="40" t="s">
        <v>964</v>
      </c>
      <c r="F1573" s="84" t="s">
        <v>1015</v>
      </c>
      <c r="G1573" s="41">
        <v>46043</v>
      </c>
      <c r="H1573" s="41">
        <v>46050</v>
      </c>
      <c r="I1573" s="41"/>
      <c r="J1573" s="41"/>
      <c r="K1573" s="51">
        <v>0.35416666666666669</v>
      </c>
      <c r="L1573" s="51">
        <v>0.72916666666666663</v>
      </c>
      <c r="M1573" s="11">
        <f t="shared" si="24"/>
        <v>8.9999999999999982</v>
      </c>
      <c r="N1573" s="67" t="s">
        <v>1</v>
      </c>
      <c r="P1573" s="4"/>
      <c r="Q1573" s="4"/>
      <c r="R1573" s="4"/>
      <c r="S1573" s="4"/>
      <c r="T1573" s="4"/>
      <c r="U1573" s="4"/>
      <c r="V1573" s="4"/>
      <c r="W1573" s="4"/>
    </row>
    <row r="1574" spans="1:23" s="32" customFormat="1" hidden="1" x14ac:dyDescent="0.3">
      <c r="A1574" s="40" t="s">
        <v>21</v>
      </c>
      <c r="B1574" s="21">
        <v>46049</v>
      </c>
      <c r="C1574" s="40" t="s">
        <v>274</v>
      </c>
      <c r="D1574" s="262" t="s">
        <v>8</v>
      </c>
      <c r="E1574" s="262" t="s">
        <v>966</v>
      </c>
      <c r="F1574" s="264" t="s">
        <v>1026</v>
      </c>
      <c r="G1574" s="266">
        <v>46048</v>
      </c>
      <c r="H1574" s="266">
        <v>46050</v>
      </c>
      <c r="I1574" s="259"/>
      <c r="J1574" s="41"/>
      <c r="K1574" s="51">
        <v>0.27083333333333331</v>
      </c>
      <c r="L1574" s="51">
        <v>0.72916666666666663</v>
      </c>
      <c r="M1574" s="11">
        <f t="shared" si="24"/>
        <v>11</v>
      </c>
      <c r="N1574" s="227" t="s">
        <v>1</v>
      </c>
      <c r="P1574" s="4"/>
      <c r="Q1574" s="4"/>
      <c r="R1574" s="4"/>
      <c r="S1574" s="4"/>
      <c r="T1574" s="4"/>
      <c r="U1574" s="4"/>
      <c r="V1574" s="4"/>
      <c r="W1574" s="4"/>
    </row>
    <row r="1575" spans="1:23" s="32" customFormat="1" hidden="1" x14ac:dyDescent="0.3">
      <c r="A1575" s="40" t="s">
        <v>21</v>
      </c>
      <c r="B1575" s="21">
        <v>46049</v>
      </c>
      <c r="C1575" s="40" t="s">
        <v>18</v>
      </c>
      <c r="D1575" s="263"/>
      <c r="E1575" s="263"/>
      <c r="F1575" s="265"/>
      <c r="G1575" s="267"/>
      <c r="H1575" s="267"/>
      <c r="I1575" s="259"/>
      <c r="J1575" s="41"/>
      <c r="K1575" s="51">
        <v>0.27083333333333331</v>
      </c>
      <c r="L1575" s="51">
        <v>0.72916666666666663</v>
      </c>
      <c r="M1575" s="11">
        <f t="shared" si="24"/>
        <v>11</v>
      </c>
      <c r="N1575" s="228"/>
      <c r="P1575" s="4"/>
      <c r="Q1575" s="4"/>
      <c r="R1575" s="4"/>
      <c r="S1575" s="4"/>
      <c r="T1575" s="4"/>
      <c r="U1575" s="4"/>
      <c r="V1575" s="4"/>
      <c r="W1575" s="4"/>
    </row>
    <row r="1576" spans="1:23" s="32" customFormat="1" hidden="1" x14ac:dyDescent="0.3">
      <c r="A1576" s="40" t="s">
        <v>21</v>
      </c>
      <c r="B1576" s="21">
        <v>46049</v>
      </c>
      <c r="C1576" s="40" t="s">
        <v>771</v>
      </c>
      <c r="D1576" s="7" t="s">
        <v>43</v>
      </c>
      <c r="E1576" s="7" t="s">
        <v>1016</v>
      </c>
      <c r="F1576" s="88" t="s">
        <v>349</v>
      </c>
      <c r="G1576" s="36">
        <v>46048</v>
      </c>
      <c r="H1576" s="36">
        <v>46049</v>
      </c>
      <c r="I1576" s="41"/>
      <c r="J1576" s="41"/>
      <c r="K1576" s="51">
        <v>0.27083333333333331</v>
      </c>
      <c r="L1576" s="51">
        <v>0.35416666666666669</v>
      </c>
      <c r="M1576" s="11">
        <f t="shared" si="24"/>
        <v>2.0000000000000009</v>
      </c>
      <c r="N1576" s="42" t="s">
        <v>0</v>
      </c>
      <c r="P1576" s="4"/>
      <c r="Q1576" s="4"/>
      <c r="R1576" s="4"/>
      <c r="S1576" s="4"/>
      <c r="T1576" s="4"/>
      <c r="U1576" s="4"/>
      <c r="V1576" s="4"/>
      <c r="W1576" s="4"/>
    </row>
    <row r="1577" spans="1:23" s="32" customFormat="1" hidden="1" x14ac:dyDescent="0.3">
      <c r="A1577" s="40" t="s">
        <v>21</v>
      </c>
      <c r="B1577" s="21">
        <v>46049</v>
      </c>
      <c r="C1577" s="40" t="s">
        <v>56</v>
      </c>
      <c r="D1577" s="7" t="s">
        <v>43</v>
      </c>
      <c r="E1577" s="7" t="s">
        <v>1017</v>
      </c>
      <c r="F1577" s="88" t="s">
        <v>884</v>
      </c>
      <c r="G1577" s="41">
        <v>46048</v>
      </c>
      <c r="H1577" s="41">
        <v>46049</v>
      </c>
      <c r="I1577" s="41"/>
      <c r="J1577" s="41"/>
      <c r="K1577" s="51">
        <v>0.27083333333333331</v>
      </c>
      <c r="L1577" s="51">
        <v>0.39583333333333331</v>
      </c>
      <c r="M1577" s="11">
        <f t="shared" si="24"/>
        <v>3</v>
      </c>
      <c r="N1577" s="42" t="s">
        <v>0</v>
      </c>
      <c r="P1577" s="4"/>
      <c r="Q1577" s="4"/>
      <c r="R1577" s="4"/>
      <c r="S1577" s="4"/>
      <c r="T1577" s="4"/>
      <c r="U1577" s="4"/>
      <c r="V1577" s="4"/>
      <c r="W1577" s="4"/>
    </row>
    <row r="1578" spans="1:23" s="32" customFormat="1" hidden="1" x14ac:dyDescent="0.3">
      <c r="A1578" s="40" t="s">
        <v>21</v>
      </c>
      <c r="B1578" s="21">
        <v>46049</v>
      </c>
      <c r="C1578" s="40" t="s">
        <v>118</v>
      </c>
      <c r="D1578" s="262" t="s">
        <v>54</v>
      </c>
      <c r="E1578" s="262" t="s">
        <v>688</v>
      </c>
      <c r="F1578" s="262" t="s">
        <v>1027</v>
      </c>
      <c r="G1578" s="266">
        <v>46046</v>
      </c>
      <c r="H1578" s="266">
        <v>46049</v>
      </c>
      <c r="I1578" s="266"/>
      <c r="J1578" s="36"/>
      <c r="K1578" s="51">
        <v>0.35416666666666669</v>
      </c>
      <c r="L1578" s="51">
        <v>0.72916666666666663</v>
      </c>
      <c r="M1578" s="11">
        <f t="shared" si="24"/>
        <v>8.9999999999999982</v>
      </c>
      <c r="N1578" s="227" t="s">
        <v>0</v>
      </c>
      <c r="P1578" s="4"/>
      <c r="Q1578" s="4"/>
      <c r="R1578" s="4"/>
      <c r="S1578" s="4"/>
      <c r="T1578" s="4"/>
      <c r="U1578" s="4"/>
      <c r="V1578" s="4"/>
      <c r="W1578" s="4"/>
    </row>
    <row r="1579" spans="1:23" s="32" customFormat="1" hidden="1" x14ac:dyDescent="0.3">
      <c r="A1579" s="10" t="s">
        <v>21</v>
      </c>
      <c r="B1579" s="17">
        <v>46049</v>
      </c>
      <c r="C1579" s="10" t="s">
        <v>34</v>
      </c>
      <c r="D1579" s="272"/>
      <c r="E1579" s="272"/>
      <c r="F1579" s="272"/>
      <c r="G1579" s="268"/>
      <c r="H1579" s="268"/>
      <c r="I1579" s="268"/>
      <c r="J1579" s="15"/>
      <c r="K1579" s="54">
        <v>0.35416666666666669</v>
      </c>
      <c r="L1579" s="54">
        <v>0.72916666666666663</v>
      </c>
      <c r="M1579" s="11">
        <f t="shared" si="24"/>
        <v>8.9999999999999982</v>
      </c>
      <c r="N1579" s="230"/>
      <c r="P1579" s="4"/>
      <c r="Q1579" s="4"/>
      <c r="R1579" s="4"/>
      <c r="S1579" s="4"/>
      <c r="T1579" s="4"/>
      <c r="U1579" s="4"/>
      <c r="V1579" s="4"/>
      <c r="W1579" s="4"/>
    </row>
    <row r="1580" spans="1:23" s="32" customFormat="1" hidden="1" x14ac:dyDescent="0.3">
      <c r="A1580" s="40" t="s">
        <v>21</v>
      </c>
      <c r="B1580" s="21">
        <v>46049</v>
      </c>
      <c r="C1580" s="40" t="s">
        <v>25</v>
      </c>
      <c r="D1580" s="40" t="s">
        <v>43</v>
      </c>
      <c r="E1580" s="40" t="s">
        <v>1028</v>
      </c>
      <c r="F1580" s="40" t="s">
        <v>1018</v>
      </c>
      <c r="G1580" s="41">
        <v>46048</v>
      </c>
      <c r="H1580" s="41">
        <v>46049</v>
      </c>
      <c r="I1580" s="41"/>
      <c r="J1580" s="41"/>
      <c r="K1580" s="51">
        <v>0.27083333333333331</v>
      </c>
      <c r="L1580" s="51">
        <v>0.64583333333333337</v>
      </c>
      <c r="M1580" s="11">
        <f t="shared" si="24"/>
        <v>9.0000000000000018</v>
      </c>
      <c r="N1580" s="67" t="s">
        <v>1</v>
      </c>
      <c r="P1580" s="4"/>
      <c r="Q1580" s="4"/>
      <c r="R1580" s="4"/>
      <c r="S1580" s="4"/>
      <c r="T1580" s="4"/>
      <c r="U1580" s="4"/>
      <c r="V1580" s="4"/>
      <c r="W1580" s="4"/>
    </row>
    <row r="1581" spans="1:23" s="32" customFormat="1" hidden="1" x14ac:dyDescent="0.3">
      <c r="A1581" s="8" t="s">
        <v>21</v>
      </c>
      <c r="B1581" s="19">
        <v>46049</v>
      </c>
      <c r="C1581" s="8" t="s">
        <v>320</v>
      </c>
      <c r="D1581" s="8" t="s">
        <v>43</v>
      </c>
      <c r="E1581" s="8" t="s">
        <v>1029</v>
      </c>
      <c r="F1581" s="8" t="s">
        <v>1030</v>
      </c>
      <c r="G1581" s="37">
        <v>46049</v>
      </c>
      <c r="H1581" s="37">
        <v>46049</v>
      </c>
      <c r="I1581" s="37"/>
      <c r="J1581" s="37"/>
      <c r="K1581" s="52">
        <v>0.35416666666666669</v>
      </c>
      <c r="L1581" s="52">
        <v>0.5</v>
      </c>
      <c r="M1581" s="11">
        <f t="shared" si="24"/>
        <v>3.4999999999999996</v>
      </c>
      <c r="N1581" s="43" t="s">
        <v>0</v>
      </c>
      <c r="P1581" s="4"/>
      <c r="Q1581" s="4"/>
      <c r="R1581" s="4"/>
      <c r="S1581" s="4"/>
      <c r="T1581" s="4"/>
      <c r="U1581" s="4"/>
      <c r="V1581" s="4"/>
      <c r="W1581" s="4"/>
    </row>
    <row r="1582" spans="1:23" s="32" customFormat="1" hidden="1" x14ac:dyDescent="0.3">
      <c r="A1582" s="8" t="s">
        <v>21</v>
      </c>
      <c r="B1582" s="19">
        <v>46049</v>
      </c>
      <c r="C1582" s="8" t="s">
        <v>55</v>
      </c>
      <c r="D1582" s="7" t="s">
        <v>43</v>
      </c>
      <c r="E1582" s="7" t="s">
        <v>1031</v>
      </c>
      <c r="F1582" s="7" t="s">
        <v>884</v>
      </c>
      <c r="G1582" s="15">
        <v>46049</v>
      </c>
      <c r="H1582" s="15">
        <v>46051</v>
      </c>
      <c r="I1582" s="37"/>
      <c r="J1582" s="37"/>
      <c r="K1582" s="52">
        <v>0.27083333333333331</v>
      </c>
      <c r="L1582" s="52">
        <v>0.64583333333333337</v>
      </c>
      <c r="M1582" s="11">
        <f t="shared" si="24"/>
        <v>9.0000000000000018</v>
      </c>
      <c r="N1582" s="33" t="s">
        <v>1</v>
      </c>
      <c r="P1582" s="4"/>
      <c r="Q1582" s="4"/>
      <c r="R1582" s="4"/>
      <c r="S1582" s="4"/>
      <c r="T1582" s="4"/>
      <c r="U1582" s="4"/>
      <c r="V1582" s="4"/>
      <c r="W1582" s="4"/>
    </row>
    <row r="1583" spans="1:23" s="32" customFormat="1" hidden="1" x14ac:dyDescent="0.3">
      <c r="A1583" s="22" t="s">
        <v>19</v>
      </c>
      <c r="B1583" s="21">
        <v>46049</v>
      </c>
      <c r="C1583" s="22" t="s">
        <v>208</v>
      </c>
      <c r="D1583" s="24" t="s">
        <v>8</v>
      </c>
      <c r="E1583" s="24" t="s">
        <v>1001</v>
      </c>
      <c r="F1583" s="24" t="s">
        <v>239</v>
      </c>
      <c r="G1583" s="41">
        <v>46046</v>
      </c>
      <c r="H1583" s="41">
        <v>46046</v>
      </c>
      <c r="I1583" s="21"/>
      <c r="J1583" s="19"/>
      <c r="K1583" s="52">
        <v>0.35416666666666669</v>
      </c>
      <c r="L1583" s="48">
        <v>0.5625</v>
      </c>
      <c r="M1583" s="11">
        <f t="shared" si="24"/>
        <v>5</v>
      </c>
      <c r="N1583" s="67" t="s">
        <v>1</v>
      </c>
      <c r="P1583" s="4"/>
      <c r="Q1583" s="4"/>
      <c r="R1583" s="4"/>
      <c r="S1583" s="4"/>
      <c r="T1583" s="4"/>
      <c r="U1583" s="4"/>
      <c r="V1583" s="4"/>
      <c r="W1583" s="4"/>
    </row>
    <row r="1584" spans="1:23" s="32" customFormat="1" hidden="1" x14ac:dyDescent="0.3">
      <c r="A1584" s="22" t="s">
        <v>19</v>
      </c>
      <c r="B1584" s="21">
        <v>46049</v>
      </c>
      <c r="C1584" s="22" t="s">
        <v>7</v>
      </c>
      <c r="D1584" s="13" t="s">
        <v>8</v>
      </c>
      <c r="E1584" s="13" t="s">
        <v>876</v>
      </c>
      <c r="F1584" s="13" t="s">
        <v>886</v>
      </c>
      <c r="G1584" s="16">
        <v>46048</v>
      </c>
      <c r="H1584" s="16">
        <v>46049</v>
      </c>
      <c r="I1584" s="16"/>
      <c r="J1584" s="16"/>
      <c r="K1584" s="51">
        <v>0.27083333333333331</v>
      </c>
      <c r="L1584" s="51">
        <v>0.64583333333333337</v>
      </c>
      <c r="M1584" s="11">
        <f t="shared" si="24"/>
        <v>9.0000000000000018</v>
      </c>
      <c r="N1584" s="67" t="s">
        <v>1</v>
      </c>
      <c r="P1584" s="4"/>
      <c r="Q1584" s="4"/>
      <c r="R1584" s="4"/>
      <c r="S1584" s="4"/>
      <c r="T1584" s="4"/>
      <c r="U1584" s="4"/>
      <c r="V1584" s="4"/>
      <c r="W1584" s="4"/>
    </row>
    <row r="1585" spans="1:23" s="32" customFormat="1" hidden="1" x14ac:dyDescent="0.3">
      <c r="A1585" s="22" t="s">
        <v>19</v>
      </c>
      <c r="B1585" s="21">
        <v>46049</v>
      </c>
      <c r="C1585" s="12" t="s">
        <v>9</v>
      </c>
      <c r="D1585" s="216" t="s">
        <v>29</v>
      </c>
      <c r="E1585" s="221" t="s">
        <v>1040</v>
      </c>
      <c r="F1585" s="221" t="s">
        <v>1041</v>
      </c>
      <c r="G1585" s="259">
        <v>46049</v>
      </c>
      <c r="H1585" s="259">
        <v>46049</v>
      </c>
      <c r="I1585" s="259">
        <v>46049</v>
      </c>
      <c r="J1585" s="37"/>
      <c r="K1585" s="52">
        <v>0.4375</v>
      </c>
      <c r="L1585" s="52">
        <v>0.5</v>
      </c>
      <c r="M1585" s="11">
        <f t="shared" si="24"/>
        <v>1.5</v>
      </c>
      <c r="N1585" s="224" t="s">
        <v>0</v>
      </c>
      <c r="P1585" s="4"/>
      <c r="Q1585" s="4"/>
      <c r="R1585" s="4"/>
      <c r="S1585" s="4"/>
      <c r="T1585" s="4"/>
      <c r="U1585" s="4"/>
      <c r="V1585" s="4"/>
      <c r="W1585" s="4"/>
    </row>
    <row r="1586" spans="1:23" s="32" customFormat="1" hidden="1" x14ac:dyDescent="0.3">
      <c r="A1586" s="22" t="s">
        <v>19</v>
      </c>
      <c r="B1586" s="21">
        <v>46049</v>
      </c>
      <c r="C1586" s="12" t="s">
        <v>208</v>
      </c>
      <c r="D1586" s="217"/>
      <c r="E1586" s="221"/>
      <c r="F1586" s="221"/>
      <c r="G1586" s="259"/>
      <c r="H1586" s="259"/>
      <c r="I1586" s="259"/>
      <c r="J1586" s="37"/>
      <c r="K1586" s="52">
        <v>0.4375</v>
      </c>
      <c r="L1586" s="52">
        <v>0.5</v>
      </c>
      <c r="M1586" s="11">
        <f t="shared" si="24"/>
        <v>1.5</v>
      </c>
      <c r="N1586" s="225"/>
      <c r="P1586" s="4"/>
      <c r="Q1586" s="4"/>
      <c r="R1586" s="4"/>
      <c r="S1586" s="4"/>
      <c r="T1586" s="4"/>
      <c r="U1586" s="4"/>
      <c r="V1586" s="4"/>
      <c r="W1586" s="4"/>
    </row>
    <row r="1587" spans="1:23" s="32" customFormat="1" hidden="1" x14ac:dyDescent="0.3">
      <c r="A1587" s="22" t="s">
        <v>19</v>
      </c>
      <c r="B1587" s="21">
        <v>46049</v>
      </c>
      <c r="C1587" s="12" t="s">
        <v>9</v>
      </c>
      <c r="D1587" s="20" t="s">
        <v>27</v>
      </c>
      <c r="E1587" s="24" t="s">
        <v>82</v>
      </c>
      <c r="F1587" s="24" t="s">
        <v>82</v>
      </c>
      <c r="G1587" s="16">
        <v>46049</v>
      </c>
      <c r="H1587" s="16">
        <v>46049</v>
      </c>
      <c r="I1587" s="16">
        <v>46049</v>
      </c>
      <c r="J1587" s="65"/>
      <c r="K1587" s="52">
        <v>0.54166666666666663</v>
      </c>
      <c r="L1587" s="52">
        <v>0.625</v>
      </c>
      <c r="M1587" s="11">
        <f t="shared" si="24"/>
        <v>2.0000000000000009</v>
      </c>
      <c r="N1587" s="42" t="s">
        <v>0</v>
      </c>
      <c r="P1587" s="4"/>
      <c r="Q1587" s="4"/>
      <c r="R1587" s="4"/>
      <c r="S1587" s="4"/>
      <c r="T1587" s="4"/>
      <c r="U1587" s="4"/>
      <c r="V1587" s="4"/>
      <c r="W1587" s="4"/>
    </row>
    <row r="1588" spans="1:23" s="32" customFormat="1" hidden="1" x14ac:dyDescent="0.3">
      <c r="A1588" s="22" t="s">
        <v>19</v>
      </c>
      <c r="B1588" s="21">
        <v>46049</v>
      </c>
      <c r="C1588" s="12" t="s">
        <v>9</v>
      </c>
      <c r="D1588" s="20" t="s">
        <v>8</v>
      </c>
      <c r="E1588" s="24" t="s">
        <v>1008</v>
      </c>
      <c r="F1588" s="24" t="s">
        <v>1042</v>
      </c>
      <c r="G1588" s="16">
        <v>46049</v>
      </c>
      <c r="H1588" s="16">
        <v>46049</v>
      </c>
      <c r="I1588" s="16">
        <v>46049</v>
      </c>
      <c r="J1588" s="65"/>
      <c r="K1588" s="52">
        <v>0.64583333333333337</v>
      </c>
      <c r="L1588" s="52">
        <v>0.72916666666666663</v>
      </c>
      <c r="M1588" s="11">
        <f t="shared" si="24"/>
        <v>1.9999999999999982</v>
      </c>
      <c r="N1588" s="42" t="s">
        <v>0</v>
      </c>
      <c r="P1588" s="4"/>
      <c r="Q1588" s="4"/>
      <c r="R1588" s="4"/>
      <c r="S1588" s="4"/>
      <c r="T1588" s="4"/>
      <c r="U1588" s="4"/>
      <c r="V1588" s="4"/>
      <c r="W1588" s="4"/>
    </row>
    <row r="1589" spans="1:23" s="32" customFormat="1" hidden="1" x14ac:dyDescent="0.3">
      <c r="A1589" s="22" t="s">
        <v>19</v>
      </c>
      <c r="B1589" s="21">
        <v>46049</v>
      </c>
      <c r="C1589" s="22" t="s">
        <v>7</v>
      </c>
      <c r="D1589" s="20" t="s">
        <v>27</v>
      </c>
      <c r="E1589" s="24" t="s">
        <v>1043</v>
      </c>
      <c r="F1589" s="24" t="s">
        <v>1044</v>
      </c>
      <c r="G1589" s="16">
        <v>46049</v>
      </c>
      <c r="H1589" s="16">
        <v>46049</v>
      </c>
      <c r="I1589" s="16">
        <v>46049</v>
      </c>
      <c r="J1589" s="65"/>
      <c r="K1589" s="52">
        <v>0.58333333333333337</v>
      </c>
      <c r="L1589" s="52">
        <v>0.70833333333333337</v>
      </c>
      <c r="M1589" s="11">
        <f t="shared" si="24"/>
        <v>3</v>
      </c>
      <c r="N1589" s="42" t="s">
        <v>0</v>
      </c>
      <c r="P1589" s="4"/>
      <c r="Q1589" s="4"/>
      <c r="R1589" s="4"/>
      <c r="S1589" s="4"/>
      <c r="T1589" s="4"/>
      <c r="U1589" s="4"/>
      <c r="V1589" s="4"/>
      <c r="W1589" s="4"/>
    </row>
    <row r="1590" spans="1:23" s="32" customFormat="1" hidden="1" x14ac:dyDescent="0.3">
      <c r="A1590" s="22" t="s">
        <v>20</v>
      </c>
      <c r="B1590" s="21">
        <v>46049</v>
      </c>
      <c r="C1590" s="69" t="s">
        <v>1003</v>
      </c>
      <c r="D1590" s="214" t="s">
        <v>44</v>
      </c>
      <c r="E1590" s="233" t="s">
        <v>970</v>
      </c>
      <c r="F1590" s="238" t="s">
        <v>1020</v>
      </c>
      <c r="G1590" s="266">
        <v>46045</v>
      </c>
      <c r="H1590" s="266">
        <v>46053</v>
      </c>
      <c r="I1590" s="266">
        <v>46053</v>
      </c>
      <c r="J1590" s="15"/>
      <c r="K1590" s="52">
        <v>0.27083333333333331</v>
      </c>
      <c r="L1590" s="51">
        <v>0.64583333333333337</v>
      </c>
      <c r="M1590" s="11">
        <f t="shared" si="24"/>
        <v>9.0000000000000018</v>
      </c>
      <c r="N1590" s="224" t="s">
        <v>0</v>
      </c>
      <c r="P1590" s="4"/>
      <c r="Q1590" s="4"/>
      <c r="R1590" s="4"/>
      <c r="S1590" s="4"/>
      <c r="T1590" s="4"/>
      <c r="U1590" s="4"/>
      <c r="V1590" s="4"/>
      <c r="W1590" s="4"/>
    </row>
    <row r="1591" spans="1:23" s="32" customFormat="1" hidden="1" x14ac:dyDescent="0.3">
      <c r="A1591" s="22" t="s">
        <v>20</v>
      </c>
      <c r="B1591" s="21">
        <v>46049</v>
      </c>
      <c r="C1591" s="69" t="s">
        <v>421</v>
      </c>
      <c r="D1591" s="215"/>
      <c r="E1591" s="233"/>
      <c r="F1591" s="238"/>
      <c r="G1591" s="267"/>
      <c r="H1591" s="267"/>
      <c r="I1591" s="267"/>
      <c r="J1591" s="37"/>
      <c r="K1591" s="51">
        <v>0.27083333333333331</v>
      </c>
      <c r="L1591" s="51">
        <v>0.64583333333333337</v>
      </c>
      <c r="M1591" s="11">
        <f t="shared" si="24"/>
        <v>9.0000000000000018</v>
      </c>
      <c r="N1591" s="225"/>
      <c r="P1591" s="4"/>
      <c r="Q1591" s="4"/>
      <c r="R1591" s="4"/>
      <c r="S1591" s="4"/>
      <c r="T1591" s="4"/>
      <c r="U1591" s="4"/>
      <c r="V1591" s="4"/>
      <c r="W1591" s="4"/>
    </row>
    <row r="1592" spans="1:23" s="32" customFormat="1" hidden="1" x14ac:dyDescent="0.3">
      <c r="A1592" s="22" t="s">
        <v>20</v>
      </c>
      <c r="B1592" s="21">
        <v>46049</v>
      </c>
      <c r="C1592" s="69" t="s">
        <v>14</v>
      </c>
      <c r="D1592" s="11" t="s">
        <v>44</v>
      </c>
      <c r="E1592" s="12" t="s">
        <v>1039</v>
      </c>
      <c r="F1592" s="12" t="s">
        <v>1022</v>
      </c>
      <c r="G1592" s="41">
        <v>46048</v>
      </c>
      <c r="H1592" s="41">
        <v>46049</v>
      </c>
      <c r="I1592" s="41">
        <v>46049</v>
      </c>
      <c r="J1592" s="36"/>
      <c r="K1592" s="47">
        <v>0.35416666666666669</v>
      </c>
      <c r="L1592" s="48">
        <v>0.72916666666666663</v>
      </c>
      <c r="M1592" s="11">
        <f t="shared" si="24"/>
        <v>8.9999999999999982</v>
      </c>
      <c r="N1592" s="62" t="s">
        <v>0</v>
      </c>
      <c r="P1592" s="4"/>
      <c r="Q1592" s="4"/>
      <c r="R1592" s="4"/>
      <c r="S1592" s="4"/>
      <c r="T1592" s="4"/>
      <c r="U1592" s="4"/>
      <c r="V1592" s="4"/>
      <c r="W1592" s="4"/>
    </row>
    <row r="1593" spans="1:23" s="32" customFormat="1" hidden="1" x14ac:dyDescent="0.3">
      <c r="A1593" s="22" t="s">
        <v>20</v>
      </c>
      <c r="B1593" s="21">
        <v>46049</v>
      </c>
      <c r="C1593" s="69" t="s">
        <v>33</v>
      </c>
      <c r="D1593" s="12" t="s">
        <v>44</v>
      </c>
      <c r="E1593" s="12" t="s">
        <v>1039</v>
      </c>
      <c r="F1593" s="12" t="s">
        <v>1022</v>
      </c>
      <c r="G1593" s="41">
        <v>46048</v>
      </c>
      <c r="H1593" s="41">
        <v>46049</v>
      </c>
      <c r="I1593" s="41">
        <v>46049</v>
      </c>
      <c r="J1593" s="36"/>
      <c r="K1593" s="47">
        <v>0.35416666666666669</v>
      </c>
      <c r="L1593" s="48">
        <v>0.72916666666666663</v>
      </c>
      <c r="M1593" s="11">
        <f t="shared" si="24"/>
        <v>8.9999999999999982</v>
      </c>
      <c r="N1593" s="62" t="s">
        <v>0</v>
      </c>
      <c r="P1593" s="4"/>
      <c r="Q1593" s="4"/>
      <c r="R1593" s="4"/>
      <c r="S1593" s="4"/>
      <c r="T1593" s="4"/>
      <c r="U1593" s="4"/>
      <c r="V1593" s="4"/>
      <c r="W1593" s="4"/>
    </row>
    <row r="1594" spans="1:23" s="32" customFormat="1" hidden="1" x14ac:dyDescent="0.3">
      <c r="A1594" s="22" t="s">
        <v>20</v>
      </c>
      <c r="B1594" s="21">
        <v>46049</v>
      </c>
      <c r="C1594" s="22" t="s">
        <v>28</v>
      </c>
      <c r="D1594" s="13" t="s">
        <v>65</v>
      </c>
      <c r="E1594" s="13" t="s">
        <v>278</v>
      </c>
      <c r="F1594" s="26" t="s">
        <v>1032</v>
      </c>
      <c r="G1594" s="41">
        <v>46046</v>
      </c>
      <c r="H1594" s="41">
        <v>46049</v>
      </c>
      <c r="I1594" s="41">
        <v>46049</v>
      </c>
      <c r="J1594" s="41"/>
      <c r="K1594" s="45">
        <v>0.27083333333333331</v>
      </c>
      <c r="L1594" s="47">
        <v>0.6875</v>
      </c>
      <c r="M1594" s="11">
        <f t="shared" si="24"/>
        <v>10</v>
      </c>
      <c r="N1594" s="42" t="s">
        <v>0</v>
      </c>
      <c r="P1594" s="4"/>
      <c r="Q1594" s="4"/>
      <c r="R1594" s="4"/>
      <c r="S1594" s="4"/>
      <c r="T1594" s="4"/>
      <c r="U1594" s="4"/>
      <c r="V1594" s="4"/>
      <c r="W1594" s="4"/>
    </row>
    <row r="1595" spans="1:23" s="32" customFormat="1" hidden="1" x14ac:dyDescent="0.3">
      <c r="A1595" s="22" t="s">
        <v>20</v>
      </c>
      <c r="B1595" s="21">
        <v>46049</v>
      </c>
      <c r="C1595" s="22" t="s">
        <v>1023</v>
      </c>
      <c r="D1595" s="13" t="s">
        <v>65</v>
      </c>
      <c r="E1595" s="13" t="s">
        <v>842</v>
      </c>
      <c r="F1595" s="26" t="s">
        <v>1005</v>
      </c>
      <c r="G1595" s="41">
        <v>46046</v>
      </c>
      <c r="H1595" s="41">
        <v>46049</v>
      </c>
      <c r="I1595" s="41">
        <v>46049</v>
      </c>
      <c r="J1595" s="36"/>
      <c r="K1595" s="47">
        <v>0.35416666666666669</v>
      </c>
      <c r="L1595" s="48">
        <v>0.72916666666666663</v>
      </c>
      <c r="M1595" s="11">
        <f t="shared" si="24"/>
        <v>8.9999999999999982</v>
      </c>
      <c r="N1595" s="42" t="s">
        <v>0</v>
      </c>
      <c r="P1595" s="4"/>
      <c r="Q1595" s="4"/>
      <c r="R1595" s="4"/>
      <c r="S1595" s="4"/>
      <c r="T1595" s="4"/>
      <c r="U1595" s="4"/>
      <c r="V1595" s="4"/>
      <c r="W1595" s="4"/>
    </row>
    <row r="1596" spans="1:23" s="32" customFormat="1" hidden="1" x14ac:dyDescent="0.3">
      <c r="A1596" s="22" t="s">
        <v>20</v>
      </c>
      <c r="B1596" s="21">
        <v>46049</v>
      </c>
      <c r="C1596" s="22" t="s">
        <v>17</v>
      </c>
      <c r="D1596" s="13" t="s">
        <v>65</v>
      </c>
      <c r="E1596" s="13" t="s">
        <v>988</v>
      </c>
      <c r="F1596" s="26" t="s">
        <v>115</v>
      </c>
      <c r="G1596" s="21">
        <v>46044</v>
      </c>
      <c r="H1596" s="41">
        <v>46049</v>
      </c>
      <c r="I1596" s="41">
        <v>46049</v>
      </c>
      <c r="J1596" s="36"/>
      <c r="K1596" s="47">
        <v>0.27083333333333331</v>
      </c>
      <c r="L1596" s="48">
        <v>0.72916666666666663</v>
      </c>
      <c r="M1596" s="11">
        <f t="shared" si="24"/>
        <v>11</v>
      </c>
      <c r="N1596" s="42" t="s">
        <v>0</v>
      </c>
      <c r="P1596" s="4"/>
      <c r="Q1596" s="4"/>
      <c r="R1596" s="4"/>
      <c r="S1596" s="4"/>
      <c r="T1596" s="4"/>
      <c r="U1596" s="4"/>
      <c r="V1596" s="4"/>
      <c r="W1596" s="4"/>
    </row>
    <row r="1597" spans="1:23" s="32" customFormat="1" hidden="1" x14ac:dyDescent="0.3">
      <c r="A1597" s="22" t="s">
        <v>20</v>
      </c>
      <c r="B1597" s="21">
        <v>46049</v>
      </c>
      <c r="C1597" s="22" t="s">
        <v>167</v>
      </c>
      <c r="D1597" s="13" t="s">
        <v>65</v>
      </c>
      <c r="E1597" s="13" t="s">
        <v>742</v>
      </c>
      <c r="F1597" s="26" t="s">
        <v>1033</v>
      </c>
      <c r="G1597" s="21">
        <v>46044</v>
      </c>
      <c r="H1597" s="41">
        <v>46049</v>
      </c>
      <c r="I1597" s="41">
        <v>46049</v>
      </c>
      <c r="J1597" s="36"/>
      <c r="K1597" s="47">
        <v>0.35416666666666669</v>
      </c>
      <c r="L1597" s="48">
        <v>0.39583333333333331</v>
      </c>
      <c r="M1597" s="11">
        <f t="shared" si="24"/>
        <v>0.99999999999999911</v>
      </c>
      <c r="N1597" s="42" t="s">
        <v>0</v>
      </c>
      <c r="P1597" s="4"/>
      <c r="Q1597" s="4"/>
      <c r="R1597" s="4"/>
      <c r="S1597" s="4"/>
      <c r="T1597" s="4"/>
      <c r="U1597" s="4"/>
      <c r="V1597" s="4"/>
      <c r="W1597" s="4"/>
    </row>
    <row r="1598" spans="1:23" s="32" customFormat="1" hidden="1" x14ac:dyDescent="0.3">
      <c r="A1598" s="22" t="s">
        <v>20</v>
      </c>
      <c r="B1598" s="21">
        <v>46049</v>
      </c>
      <c r="C1598" s="22" t="s">
        <v>167</v>
      </c>
      <c r="D1598" s="24" t="s">
        <v>65</v>
      </c>
      <c r="E1598" s="24" t="s">
        <v>1037</v>
      </c>
      <c r="F1598" s="25" t="s">
        <v>1038</v>
      </c>
      <c r="G1598" s="21">
        <v>46044</v>
      </c>
      <c r="H1598" s="41">
        <v>46049</v>
      </c>
      <c r="I1598" s="41">
        <v>46049</v>
      </c>
      <c r="J1598" s="41"/>
      <c r="K1598" s="48">
        <v>0.39583333333333331</v>
      </c>
      <c r="L1598" s="48">
        <v>0.72916666666666663</v>
      </c>
      <c r="M1598" s="22">
        <f t="shared" si="24"/>
        <v>8</v>
      </c>
      <c r="N1598" s="42" t="s">
        <v>0</v>
      </c>
      <c r="O1598" s="22"/>
      <c r="P1598" s="4"/>
      <c r="Q1598" s="4"/>
      <c r="R1598" s="4"/>
      <c r="S1598" s="4"/>
      <c r="T1598" s="4"/>
      <c r="U1598" s="4"/>
      <c r="V1598" s="4"/>
      <c r="W1598" s="4"/>
    </row>
    <row r="1599" spans="1:23" s="32" customFormat="1" hidden="1" x14ac:dyDescent="0.3">
      <c r="A1599" s="22" t="s">
        <v>20</v>
      </c>
      <c r="B1599" s="21">
        <v>46049</v>
      </c>
      <c r="C1599" s="22" t="s">
        <v>15</v>
      </c>
      <c r="D1599" s="216" t="s">
        <v>65</v>
      </c>
      <c r="E1599" s="216" t="s">
        <v>979</v>
      </c>
      <c r="F1599" s="243" t="s">
        <v>1034</v>
      </c>
      <c r="G1599" s="219">
        <v>46044</v>
      </c>
      <c r="H1599" s="219">
        <v>46049</v>
      </c>
      <c r="I1599" s="219">
        <v>46049</v>
      </c>
      <c r="J1599" s="17"/>
      <c r="K1599" s="47">
        <v>0.27083333333333331</v>
      </c>
      <c r="L1599" s="48">
        <v>0.39583333333333331</v>
      </c>
      <c r="M1599" s="18">
        <f t="shared" si="24"/>
        <v>3</v>
      </c>
      <c r="N1599" s="231" t="s">
        <v>0</v>
      </c>
      <c r="P1599" s="4"/>
      <c r="Q1599" s="4"/>
      <c r="R1599" s="4"/>
      <c r="S1599" s="4"/>
      <c r="T1599" s="4"/>
      <c r="U1599" s="4"/>
      <c r="V1599" s="4"/>
      <c r="W1599" s="4"/>
    </row>
    <row r="1600" spans="1:23" s="32" customFormat="1" hidden="1" x14ac:dyDescent="0.3">
      <c r="A1600" s="22" t="s">
        <v>20</v>
      </c>
      <c r="B1600" s="21">
        <v>46049</v>
      </c>
      <c r="C1600" s="22" t="s">
        <v>31</v>
      </c>
      <c r="D1600" s="217"/>
      <c r="E1600" s="217"/>
      <c r="F1600" s="244"/>
      <c r="G1600" s="220"/>
      <c r="H1600" s="220"/>
      <c r="I1600" s="220"/>
      <c r="J1600" s="23"/>
      <c r="K1600" s="47">
        <v>0.54166666666666663</v>
      </c>
      <c r="L1600" s="48">
        <v>0.58333333333333337</v>
      </c>
      <c r="M1600" s="11">
        <f t="shared" si="24"/>
        <v>1.0000000000000018</v>
      </c>
      <c r="N1600" s="225"/>
      <c r="P1600" s="4"/>
      <c r="Q1600" s="4"/>
      <c r="R1600" s="4"/>
      <c r="S1600" s="4"/>
      <c r="T1600" s="4"/>
      <c r="U1600" s="4"/>
      <c r="V1600" s="4"/>
      <c r="W1600" s="4"/>
    </row>
    <row r="1601" spans="1:23" s="32" customFormat="1" hidden="1" x14ac:dyDescent="0.3">
      <c r="A1601" s="22" t="s">
        <v>20</v>
      </c>
      <c r="B1601" s="21">
        <v>46049</v>
      </c>
      <c r="C1601" s="22" t="s">
        <v>16</v>
      </c>
      <c r="D1601" s="216" t="s">
        <v>65</v>
      </c>
      <c r="E1601" s="214" t="s">
        <v>936</v>
      </c>
      <c r="F1601" s="243" t="s">
        <v>59</v>
      </c>
      <c r="G1601" s="219">
        <v>46042</v>
      </c>
      <c r="H1601" s="219">
        <v>46049</v>
      </c>
      <c r="I1601" s="219">
        <v>46049</v>
      </c>
      <c r="J1601" s="17"/>
      <c r="K1601" s="47">
        <v>0.27083333333333331</v>
      </c>
      <c r="L1601" s="48">
        <v>0.72916666666666663</v>
      </c>
      <c r="M1601" s="11">
        <f t="shared" si="24"/>
        <v>11</v>
      </c>
      <c r="N1601" s="227" t="s">
        <v>0</v>
      </c>
      <c r="P1601" s="4"/>
      <c r="Q1601" s="4"/>
      <c r="R1601" s="4"/>
      <c r="S1601" s="4"/>
      <c r="T1601" s="4"/>
      <c r="U1601" s="4"/>
      <c r="V1601" s="4"/>
      <c r="W1601" s="4"/>
    </row>
    <row r="1602" spans="1:23" s="32" customFormat="1" hidden="1" x14ac:dyDescent="0.3">
      <c r="A1602" s="22" t="s">
        <v>20</v>
      </c>
      <c r="B1602" s="21">
        <v>46049</v>
      </c>
      <c r="C1602" s="22" t="s">
        <v>31</v>
      </c>
      <c r="D1602" s="217"/>
      <c r="E1602" s="215"/>
      <c r="F1602" s="244"/>
      <c r="G1602" s="220"/>
      <c r="H1602" s="220"/>
      <c r="I1602" s="220"/>
      <c r="J1602" s="23"/>
      <c r="K1602" s="47">
        <v>0.4375</v>
      </c>
      <c r="L1602" s="48">
        <v>0.5</v>
      </c>
      <c r="M1602" s="11">
        <f t="shared" ref="M1602:M1665" si="25">MOD(L1602-K1602,1)*24</f>
        <v>1.5</v>
      </c>
      <c r="N1602" s="228"/>
      <c r="P1602" s="4"/>
      <c r="Q1602" s="4"/>
      <c r="R1602" s="4"/>
      <c r="S1602" s="4"/>
      <c r="T1602" s="4"/>
      <c r="U1602" s="4"/>
      <c r="V1602" s="4"/>
      <c r="W1602" s="4"/>
    </row>
    <row r="1603" spans="1:23" s="32" customFormat="1" hidden="1" x14ac:dyDescent="0.3">
      <c r="A1603" s="22" t="s">
        <v>20</v>
      </c>
      <c r="B1603" s="21">
        <v>46049</v>
      </c>
      <c r="C1603" s="69" t="s">
        <v>47</v>
      </c>
      <c r="D1603" s="221" t="s">
        <v>65</v>
      </c>
      <c r="E1603" s="233" t="s">
        <v>1035</v>
      </c>
      <c r="F1603" s="245" t="s">
        <v>1036</v>
      </c>
      <c r="G1603" s="219">
        <v>46049</v>
      </c>
      <c r="H1603" s="219">
        <v>46049</v>
      </c>
      <c r="I1603" s="219">
        <v>46049</v>
      </c>
      <c r="J1603" s="17"/>
      <c r="K1603" s="47">
        <v>0.27083333333333331</v>
      </c>
      <c r="L1603" s="48">
        <v>0.72916666666666663</v>
      </c>
      <c r="M1603" s="11">
        <f t="shared" si="25"/>
        <v>11</v>
      </c>
      <c r="N1603" s="227" t="s">
        <v>0</v>
      </c>
      <c r="P1603" s="4"/>
      <c r="Q1603" s="4"/>
      <c r="R1603" s="4"/>
      <c r="S1603" s="4"/>
      <c r="T1603" s="4"/>
      <c r="U1603" s="4"/>
      <c r="V1603" s="4"/>
      <c r="W1603" s="4"/>
    </row>
    <row r="1604" spans="1:23" s="32" customFormat="1" hidden="1" x14ac:dyDescent="0.3">
      <c r="A1604" s="22" t="s">
        <v>20</v>
      </c>
      <c r="B1604" s="21">
        <v>46049</v>
      </c>
      <c r="C1604" s="69" t="s">
        <v>31</v>
      </c>
      <c r="D1604" s="221"/>
      <c r="E1604" s="233"/>
      <c r="F1604" s="245"/>
      <c r="G1604" s="220"/>
      <c r="H1604" s="220"/>
      <c r="I1604" s="220"/>
      <c r="J1604" s="19"/>
      <c r="K1604" s="45">
        <v>0.58333333333333337</v>
      </c>
      <c r="L1604" s="48">
        <v>0.66666666666666663</v>
      </c>
      <c r="M1604" s="11">
        <f t="shared" si="25"/>
        <v>1.9999999999999982</v>
      </c>
      <c r="N1604" s="228"/>
      <c r="P1604" s="4"/>
      <c r="Q1604" s="4"/>
      <c r="R1604" s="4"/>
      <c r="S1604" s="4"/>
      <c r="T1604" s="4"/>
      <c r="U1604" s="4"/>
      <c r="V1604" s="4"/>
      <c r="W1604" s="4"/>
    </row>
    <row r="1605" spans="1:23" s="32" customFormat="1" ht="15.6" hidden="1" x14ac:dyDescent="0.3">
      <c r="A1605" s="40" t="s">
        <v>21</v>
      </c>
      <c r="B1605" s="21">
        <v>46050</v>
      </c>
      <c r="C1605" s="40" t="s">
        <v>26</v>
      </c>
      <c r="D1605" s="40" t="s">
        <v>24</v>
      </c>
      <c r="E1605" s="40" t="s">
        <v>1012</v>
      </c>
      <c r="F1605" s="84" t="s">
        <v>1013</v>
      </c>
      <c r="G1605" s="41">
        <v>46047</v>
      </c>
      <c r="H1605" s="41">
        <v>46050</v>
      </c>
      <c r="I1605" s="85"/>
      <c r="J1605" s="85"/>
      <c r="K1605" s="51">
        <v>0.27083333333333331</v>
      </c>
      <c r="L1605" s="51">
        <v>0.64583333333333337</v>
      </c>
      <c r="M1605" s="11">
        <f t="shared" si="25"/>
        <v>9.0000000000000018</v>
      </c>
      <c r="N1605" s="67" t="s">
        <v>1</v>
      </c>
      <c r="P1605" s="4"/>
      <c r="Q1605" s="4"/>
      <c r="R1605" s="4"/>
      <c r="S1605" s="4"/>
      <c r="T1605" s="4"/>
      <c r="U1605" s="4"/>
      <c r="V1605" s="4"/>
      <c r="W1605" s="4"/>
    </row>
    <row r="1606" spans="1:23" s="32" customFormat="1" ht="15.6" hidden="1" x14ac:dyDescent="0.3">
      <c r="A1606" s="40" t="s">
        <v>21</v>
      </c>
      <c r="B1606" s="21">
        <v>46050</v>
      </c>
      <c r="C1606" s="40" t="s">
        <v>50</v>
      </c>
      <c r="D1606" s="40" t="s">
        <v>24</v>
      </c>
      <c r="E1606" s="40" t="s">
        <v>829</v>
      </c>
      <c r="F1606" s="84" t="s">
        <v>1014</v>
      </c>
      <c r="G1606" s="41">
        <v>46044</v>
      </c>
      <c r="H1606" s="41">
        <v>46050</v>
      </c>
      <c r="I1606" s="85"/>
      <c r="J1606" s="85"/>
      <c r="K1606" s="51">
        <v>0.35416666666666669</v>
      </c>
      <c r="L1606" s="51">
        <v>0.72916666666666663</v>
      </c>
      <c r="M1606" s="11">
        <f t="shared" si="25"/>
        <v>8.9999999999999982</v>
      </c>
      <c r="N1606" s="67" t="s">
        <v>1</v>
      </c>
      <c r="P1606" s="4"/>
      <c r="Q1606" s="4"/>
      <c r="R1606" s="4"/>
      <c r="S1606" s="4"/>
      <c r="T1606" s="4"/>
      <c r="U1606" s="4"/>
      <c r="V1606" s="4"/>
      <c r="W1606" s="4"/>
    </row>
    <row r="1607" spans="1:23" s="32" customFormat="1" hidden="1" x14ac:dyDescent="0.3">
      <c r="A1607" s="40" t="s">
        <v>21</v>
      </c>
      <c r="B1607" s="21">
        <v>46050</v>
      </c>
      <c r="C1607" s="40" t="s">
        <v>37</v>
      </c>
      <c r="D1607" s="40" t="s">
        <v>24</v>
      </c>
      <c r="E1607" s="40" t="s">
        <v>964</v>
      </c>
      <c r="F1607" s="84" t="s">
        <v>1015</v>
      </c>
      <c r="G1607" s="41">
        <v>46043</v>
      </c>
      <c r="H1607" s="41">
        <v>46050</v>
      </c>
      <c r="I1607" s="41"/>
      <c r="J1607" s="41"/>
      <c r="K1607" s="51">
        <v>0.35416666666666669</v>
      </c>
      <c r="L1607" s="51">
        <v>0.72916666666666663</v>
      </c>
      <c r="M1607" s="11">
        <f t="shared" si="25"/>
        <v>8.9999999999999982</v>
      </c>
      <c r="N1607" s="67" t="s">
        <v>1</v>
      </c>
      <c r="P1607" s="4"/>
      <c r="Q1607" s="4"/>
      <c r="R1607" s="4"/>
      <c r="S1607" s="4"/>
      <c r="T1607" s="4"/>
      <c r="U1607" s="4"/>
      <c r="V1607" s="4"/>
      <c r="W1607" s="4"/>
    </row>
    <row r="1608" spans="1:23" s="32" customFormat="1" hidden="1" x14ac:dyDescent="0.3">
      <c r="A1608" s="40" t="s">
        <v>21</v>
      </c>
      <c r="B1608" s="21">
        <v>46050</v>
      </c>
      <c r="C1608" s="40" t="s">
        <v>274</v>
      </c>
      <c r="D1608" s="262" t="s">
        <v>8</v>
      </c>
      <c r="E1608" s="262" t="s">
        <v>966</v>
      </c>
      <c r="F1608" s="264" t="s">
        <v>1026</v>
      </c>
      <c r="G1608" s="266">
        <v>46048</v>
      </c>
      <c r="H1608" s="266">
        <v>46050</v>
      </c>
      <c r="I1608" s="259"/>
      <c r="J1608" s="41"/>
      <c r="K1608" s="51">
        <v>0.27083333333333331</v>
      </c>
      <c r="L1608" s="51">
        <v>0.72916666666666663</v>
      </c>
      <c r="M1608" s="11">
        <f t="shared" si="25"/>
        <v>11</v>
      </c>
      <c r="N1608" s="227" t="s">
        <v>30</v>
      </c>
      <c r="P1608" s="4"/>
      <c r="Q1608" s="4"/>
      <c r="R1608" s="4"/>
      <c r="S1608" s="4"/>
      <c r="T1608" s="4"/>
      <c r="U1608" s="4"/>
      <c r="V1608" s="4"/>
      <c r="W1608" s="4"/>
    </row>
    <row r="1609" spans="1:23" s="32" customFormat="1" hidden="1" x14ac:dyDescent="0.3">
      <c r="A1609" s="40" t="s">
        <v>21</v>
      </c>
      <c r="B1609" s="21">
        <v>46050</v>
      </c>
      <c r="C1609" s="40" t="s">
        <v>18</v>
      </c>
      <c r="D1609" s="263"/>
      <c r="E1609" s="263"/>
      <c r="F1609" s="265"/>
      <c r="G1609" s="267"/>
      <c r="H1609" s="267"/>
      <c r="I1609" s="259"/>
      <c r="J1609" s="41"/>
      <c r="K1609" s="51">
        <v>0.27083333333333331</v>
      </c>
      <c r="L1609" s="51">
        <v>0.72916666666666663</v>
      </c>
      <c r="M1609" s="11">
        <f t="shared" si="25"/>
        <v>11</v>
      </c>
      <c r="N1609" s="228"/>
      <c r="P1609" s="4"/>
      <c r="Q1609" s="4"/>
      <c r="R1609" s="4"/>
      <c r="S1609" s="4"/>
      <c r="T1609" s="4"/>
      <c r="U1609" s="4"/>
      <c r="V1609" s="4"/>
      <c r="W1609" s="4"/>
    </row>
    <row r="1610" spans="1:23" s="32" customFormat="1" hidden="1" x14ac:dyDescent="0.3">
      <c r="A1610" s="40" t="s">
        <v>21</v>
      </c>
      <c r="B1610" s="21">
        <v>46050</v>
      </c>
      <c r="C1610" s="40" t="s">
        <v>274</v>
      </c>
      <c r="D1610" s="262" t="s">
        <v>27</v>
      </c>
      <c r="E1610" s="262" t="s">
        <v>476</v>
      </c>
      <c r="F1610" s="262" t="s">
        <v>1018</v>
      </c>
      <c r="G1610" s="266">
        <v>46050</v>
      </c>
      <c r="H1610" s="266">
        <v>46050</v>
      </c>
      <c r="I1610" s="41"/>
      <c r="J1610" s="41"/>
      <c r="K1610" s="51">
        <v>0.27083333333333331</v>
      </c>
      <c r="L1610" s="51">
        <v>0.72916666666666663</v>
      </c>
      <c r="M1610" s="11">
        <f t="shared" si="25"/>
        <v>11</v>
      </c>
      <c r="N1610" s="227" t="s">
        <v>1</v>
      </c>
      <c r="P1610" s="4"/>
      <c r="Q1610" s="4"/>
      <c r="R1610" s="4"/>
      <c r="S1610" s="4"/>
      <c r="T1610" s="4"/>
      <c r="U1610" s="4"/>
      <c r="V1610" s="4"/>
      <c r="W1610" s="4"/>
    </row>
    <row r="1611" spans="1:23" s="32" customFormat="1" hidden="1" x14ac:dyDescent="0.3">
      <c r="A1611" s="40" t="s">
        <v>21</v>
      </c>
      <c r="B1611" s="21">
        <v>46050</v>
      </c>
      <c r="C1611" s="40" t="s">
        <v>18</v>
      </c>
      <c r="D1611" s="263"/>
      <c r="E1611" s="263"/>
      <c r="F1611" s="263"/>
      <c r="G1611" s="267"/>
      <c r="H1611" s="267"/>
      <c r="I1611" s="41"/>
      <c r="J1611" s="41"/>
      <c r="K1611" s="51">
        <v>0.27083333333333331</v>
      </c>
      <c r="L1611" s="51">
        <v>0.72916666666666663</v>
      </c>
      <c r="M1611" s="11">
        <f t="shared" si="25"/>
        <v>11</v>
      </c>
      <c r="N1611" s="228"/>
      <c r="P1611" s="4"/>
      <c r="Q1611" s="4"/>
      <c r="R1611" s="4"/>
      <c r="S1611" s="4"/>
      <c r="T1611" s="4"/>
      <c r="U1611" s="4"/>
      <c r="V1611" s="4"/>
      <c r="W1611" s="4"/>
    </row>
    <row r="1612" spans="1:23" s="32" customFormat="1" hidden="1" x14ac:dyDescent="0.3">
      <c r="A1612" s="10" t="s">
        <v>21</v>
      </c>
      <c r="B1612" s="17">
        <v>46050</v>
      </c>
      <c r="C1612" s="10" t="s">
        <v>771</v>
      </c>
      <c r="D1612" s="7" t="s">
        <v>43</v>
      </c>
      <c r="E1612" s="7" t="s">
        <v>1045</v>
      </c>
      <c r="F1612" s="88" t="s">
        <v>593</v>
      </c>
      <c r="G1612" s="36">
        <v>46050</v>
      </c>
      <c r="H1612" s="36">
        <v>46050</v>
      </c>
      <c r="I1612" s="36"/>
      <c r="J1612" s="36"/>
      <c r="K1612" s="54">
        <v>0.27083333333333331</v>
      </c>
      <c r="L1612" s="54">
        <v>0.64583333333333337</v>
      </c>
      <c r="M1612" s="11">
        <f t="shared" si="25"/>
        <v>9.0000000000000018</v>
      </c>
      <c r="N1612" s="62" t="s">
        <v>0</v>
      </c>
      <c r="P1612" s="4"/>
      <c r="Q1612" s="4"/>
      <c r="R1612" s="4"/>
      <c r="S1612" s="4"/>
      <c r="T1612" s="4"/>
      <c r="U1612" s="4"/>
      <c r="V1612" s="4"/>
      <c r="W1612" s="4"/>
    </row>
    <row r="1613" spans="1:23" s="32" customFormat="1" hidden="1" x14ac:dyDescent="0.3">
      <c r="A1613" s="40" t="s">
        <v>21</v>
      </c>
      <c r="B1613" s="21">
        <v>46050</v>
      </c>
      <c r="C1613" s="40" t="s">
        <v>56</v>
      </c>
      <c r="D1613" s="40" t="s">
        <v>43</v>
      </c>
      <c r="E1613" s="40" t="s">
        <v>953</v>
      </c>
      <c r="F1613" s="84" t="s">
        <v>884</v>
      </c>
      <c r="G1613" s="41">
        <v>46050</v>
      </c>
      <c r="H1613" s="41">
        <v>46050</v>
      </c>
      <c r="I1613" s="41"/>
      <c r="J1613" s="41"/>
      <c r="K1613" s="51">
        <v>0.27083333333333331</v>
      </c>
      <c r="L1613" s="51">
        <v>0.64583333333333337</v>
      </c>
      <c r="M1613" s="11">
        <f t="shared" si="25"/>
        <v>9.0000000000000018</v>
      </c>
      <c r="N1613" s="67" t="s">
        <v>1</v>
      </c>
      <c r="P1613" s="4"/>
      <c r="Q1613" s="4"/>
      <c r="R1613" s="4"/>
      <c r="S1613" s="4"/>
      <c r="T1613" s="4"/>
      <c r="U1613" s="4"/>
      <c r="V1613" s="4"/>
      <c r="W1613" s="4"/>
    </row>
    <row r="1614" spans="1:23" s="32" customFormat="1" hidden="1" x14ac:dyDescent="0.3">
      <c r="A1614" s="8" t="s">
        <v>21</v>
      </c>
      <c r="B1614" s="19">
        <v>46050</v>
      </c>
      <c r="C1614" s="8" t="s">
        <v>118</v>
      </c>
      <c r="D1614" s="272" t="s">
        <v>54</v>
      </c>
      <c r="E1614" s="272" t="s">
        <v>688</v>
      </c>
      <c r="F1614" s="272" t="s">
        <v>1046</v>
      </c>
      <c r="G1614" s="268">
        <v>46050</v>
      </c>
      <c r="H1614" s="268">
        <v>46050</v>
      </c>
      <c r="I1614" s="268"/>
      <c r="J1614" s="15"/>
      <c r="K1614" s="52">
        <v>0.35416666666666669</v>
      </c>
      <c r="L1614" s="52">
        <v>0.72916666666666663</v>
      </c>
      <c r="M1614" s="11">
        <f t="shared" si="25"/>
        <v>8.9999999999999982</v>
      </c>
      <c r="N1614" s="230" t="s">
        <v>1</v>
      </c>
      <c r="P1614" s="4"/>
      <c r="Q1614" s="4"/>
      <c r="R1614" s="4"/>
      <c r="S1614" s="4"/>
      <c r="T1614" s="4"/>
      <c r="U1614" s="4"/>
      <c r="V1614" s="4"/>
      <c r="W1614" s="4"/>
    </row>
    <row r="1615" spans="1:23" s="32" customFormat="1" hidden="1" x14ac:dyDescent="0.3">
      <c r="A1615" s="10" t="s">
        <v>21</v>
      </c>
      <c r="B1615" s="17">
        <v>46050</v>
      </c>
      <c r="C1615" s="10" t="s">
        <v>34</v>
      </c>
      <c r="D1615" s="272"/>
      <c r="E1615" s="272"/>
      <c r="F1615" s="272"/>
      <c r="G1615" s="268"/>
      <c r="H1615" s="268"/>
      <c r="I1615" s="268"/>
      <c r="J1615" s="15"/>
      <c r="K1615" s="54">
        <v>0.35416666666666669</v>
      </c>
      <c r="L1615" s="54">
        <v>0.72916666666666663</v>
      </c>
      <c r="M1615" s="11">
        <f t="shared" si="25"/>
        <v>8.9999999999999982</v>
      </c>
      <c r="N1615" s="230"/>
      <c r="P1615" s="4"/>
      <c r="Q1615" s="4"/>
      <c r="R1615" s="4"/>
      <c r="S1615" s="4"/>
      <c r="T1615" s="4"/>
      <c r="U1615" s="4"/>
      <c r="V1615" s="4"/>
      <c r="W1615" s="4"/>
    </row>
    <row r="1616" spans="1:23" s="32" customFormat="1" hidden="1" x14ac:dyDescent="0.3">
      <c r="A1616" s="40" t="s">
        <v>21</v>
      </c>
      <c r="B1616" s="21">
        <v>46050</v>
      </c>
      <c r="C1616" s="40" t="s">
        <v>25</v>
      </c>
      <c r="D1616" s="40" t="s">
        <v>43</v>
      </c>
      <c r="E1616" s="40" t="s">
        <v>1056</v>
      </c>
      <c r="F1616" s="40" t="s">
        <v>1057</v>
      </c>
      <c r="G1616" s="41">
        <v>46050</v>
      </c>
      <c r="H1616" s="41">
        <v>46050</v>
      </c>
      <c r="I1616" s="41"/>
      <c r="J1616" s="41"/>
      <c r="K1616" s="51">
        <v>0.27083333333333331</v>
      </c>
      <c r="L1616" s="51">
        <v>0.64583333333333337</v>
      </c>
      <c r="M1616" s="11">
        <f t="shared" si="25"/>
        <v>9.0000000000000018</v>
      </c>
      <c r="N1616" s="67" t="s">
        <v>1</v>
      </c>
      <c r="P1616" s="4"/>
      <c r="Q1616" s="4"/>
      <c r="R1616" s="4"/>
      <c r="S1616" s="4"/>
      <c r="T1616" s="4"/>
      <c r="U1616" s="4"/>
      <c r="V1616" s="4"/>
      <c r="W1616" s="4"/>
    </row>
    <row r="1617" spans="1:23" s="32" customFormat="1" hidden="1" x14ac:dyDescent="0.3">
      <c r="A1617" s="8" t="s">
        <v>21</v>
      </c>
      <c r="B1617" s="19">
        <v>46050</v>
      </c>
      <c r="C1617" s="8" t="s">
        <v>320</v>
      </c>
      <c r="D1617" s="7" t="s">
        <v>43</v>
      </c>
      <c r="E1617" s="7" t="s">
        <v>1047</v>
      </c>
      <c r="F1617" s="7" t="s">
        <v>1018</v>
      </c>
      <c r="G1617" s="15">
        <v>46050</v>
      </c>
      <c r="H1617" s="15">
        <v>46050</v>
      </c>
      <c r="I1617" s="15"/>
      <c r="J1617" s="15"/>
      <c r="K1617" s="52">
        <v>0.35416666666666669</v>
      </c>
      <c r="L1617" s="52">
        <v>0.72916666666666663</v>
      </c>
      <c r="M1617" s="11">
        <f t="shared" si="25"/>
        <v>8.9999999999999982</v>
      </c>
      <c r="N1617" s="33" t="s">
        <v>1</v>
      </c>
      <c r="P1617" s="4"/>
      <c r="Q1617" s="4"/>
      <c r="R1617" s="4"/>
      <c r="S1617" s="4"/>
      <c r="T1617" s="4"/>
      <c r="U1617" s="4"/>
      <c r="V1617" s="4"/>
      <c r="W1617" s="4"/>
    </row>
    <row r="1618" spans="1:23" s="32" customFormat="1" hidden="1" x14ac:dyDescent="0.3">
      <c r="A1618" s="40" t="s">
        <v>21</v>
      </c>
      <c r="B1618" s="21">
        <v>46050</v>
      </c>
      <c r="C1618" s="40" t="s">
        <v>55</v>
      </c>
      <c r="D1618" s="40" t="s">
        <v>43</v>
      </c>
      <c r="E1618" s="40" t="s">
        <v>1031</v>
      </c>
      <c r="F1618" s="40" t="s">
        <v>884</v>
      </c>
      <c r="G1618" s="41">
        <v>46049</v>
      </c>
      <c r="H1618" s="41">
        <v>46051</v>
      </c>
      <c r="I1618" s="41">
        <v>46051</v>
      </c>
      <c r="J1618" s="41"/>
      <c r="K1618" s="51">
        <v>0.27083333333333331</v>
      </c>
      <c r="L1618" s="51">
        <v>0.64583333333333337</v>
      </c>
      <c r="M1618" s="11">
        <f t="shared" si="25"/>
        <v>9.0000000000000018</v>
      </c>
      <c r="N1618" s="42" t="s">
        <v>0</v>
      </c>
      <c r="P1618" s="4"/>
      <c r="Q1618" s="4"/>
      <c r="R1618" s="4"/>
      <c r="S1618" s="4"/>
      <c r="T1618" s="4"/>
      <c r="U1618" s="4"/>
      <c r="V1618" s="4"/>
      <c r="W1618" s="4"/>
    </row>
    <row r="1619" spans="1:23" s="32" customFormat="1" hidden="1" x14ac:dyDescent="0.3">
      <c r="A1619" s="22" t="s">
        <v>19</v>
      </c>
      <c r="B1619" s="21">
        <v>46050</v>
      </c>
      <c r="C1619" s="22" t="s">
        <v>208</v>
      </c>
      <c r="D1619" s="24" t="s">
        <v>8</v>
      </c>
      <c r="E1619" s="24" t="s">
        <v>1001</v>
      </c>
      <c r="F1619" s="24" t="s">
        <v>239</v>
      </c>
      <c r="G1619" s="41">
        <v>46046</v>
      </c>
      <c r="H1619" s="41">
        <v>46046</v>
      </c>
      <c r="I1619" s="21"/>
      <c r="J1619" s="19"/>
      <c r="K1619" s="52">
        <v>0.35416666666666669</v>
      </c>
      <c r="L1619" s="48">
        <v>0.5625</v>
      </c>
      <c r="M1619" s="11">
        <f t="shared" si="25"/>
        <v>5</v>
      </c>
      <c r="N1619" s="67" t="s">
        <v>1</v>
      </c>
      <c r="P1619" s="4"/>
      <c r="Q1619" s="4"/>
      <c r="R1619" s="4"/>
      <c r="S1619" s="4"/>
      <c r="T1619" s="4"/>
      <c r="U1619" s="4"/>
      <c r="V1619" s="4"/>
      <c r="W1619" s="4"/>
    </row>
    <row r="1620" spans="1:23" s="32" customFormat="1" hidden="1" x14ac:dyDescent="0.3">
      <c r="A1620" s="22" t="s">
        <v>19</v>
      </c>
      <c r="B1620" s="21">
        <v>46050</v>
      </c>
      <c r="C1620" s="22" t="s">
        <v>7</v>
      </c>
      <c r="D1620" s="13" t="s">
        <v>8</v>
      </c>
      <c r="E1620" s="13" t="s">
        <v>876</v>
      </c>
      <c r="F1620" s="13" t="s">
        <v>115</v>
      </c>
      <c r="G1620" s="16">
        <v>46049</v>
      </c>
      <c r="H1620" s="16">
        <v>46050</v>
      </c>
      <c r="I1620" s="16"/>
      <c r="J1620" s="16"/>
      <c r="K1620" s="51">
        <v>0.27083333333333331</v>
      </c>
      <c r="L1620" s="51">
        <v>0.64583333333333337</v>
      </c>
      <c r="M1620" s="11">
        <f t="shared" si="25"/>
        <v>9.0000000000000018</v>
      </c>
      <c r="N1620" s="67" t="s">
        <v>1</v>
      </c>
      <c r="P1620" s="4"/>
      <c r="Q1620" s="4"/>
      <c r="R1620" s="4"/>
      <c r="S1620" s="4"/>
      <c r="T1620" s="4"/>
      <c r="U1620" s="4"/>
      <c r="V1620" s="4"/>
      <c r="W1620" s="4"/>
    </row>
    <row r="1621" spans="1:23" s="32" customFormat="1" hidden="1" x14ac:dyDescent="0.3">
      <c r="A1621" s="22" t="s">
        <v>19</v>
      </c>
      <c r="B1621" s="21">
        <v>46050</v>
      </c>
      <c r="C1621" s="12" t="s">
        <v>9</v>
      </c>
      <c r="D1621" s="216" t="s">
        <v>8</v>
      </c>
      <c r="E1621" s="221" t="s">
        <v>643</v>
      </c>
      <c r="F1621" s="221" t="s">
        <v>1050</v>
      </c>
      <c r="G1621" s="259">
        <v>46046</v>
      </c>
      <c r="H1621" s="259">
        <v>46050</v>
      </c>
      <c r="I1621" s="259"/>
      <c r="J1621" s="37"/>
      <c r="K1621" s="52">
        <v>0.35416666666666669</v>
      </c>
      <c r="L1621" s="52">
        <v>0.5</v>
      </c>
      <c r="M1621" s="11">
        <f t="shared" si="25"/>
        <v>3.4999999999999996</v>
      </c>
      <c r="N1621" s="246" t="s">
        <v>30</v>
      </c>
      <c r="P1621" s="4"/>
      <c r="Q1621" s="4"/>
      <c r="R1621" s="4"/>
      <c r="S1621" s="4"/>
      <c r="T1621" s="4"/>
      <c r="U1621" s="4"/>
      <c r="V1621" s="4"/>
      <c r="W1621" s="4"/>
    </row>
    <row r="1622" spans="1:23" s="32" customFormat="1" hidden="1" x14ac:dyDescent="0.3">
      <c r="A1622" s="22" t="s">
        <v>19</v>
      </c>
      <c r="B1622" s="21">
        <v>46050</v>
      </c>
      <c r="C1622" s="12" t="s">
        <v>208</v>
      </c>
      <c r="D1622" s="217"/>
      <c r="E1622" s="221"/>
      <c r="F1622" s="221"/>
      <c r="G1622" s="259"/>
      <c r="H1622" s="259"/>
      <c r="I1622" s="259"/>
      <c r="J1622" s="37"/>
      <c r="K1622" s="52">
        <v>0.35416666666666669</v>
      </c>
      <c r="L1622" s="52">
        <v>0.5</v>
      </c>
      <c r="M1622" s="11">
        <f t="shared" si="25"/>
        <v>3.4999999999999996</v>
      </c>
      <c r="N1622" s="247"/>
      <c r="P1622" s="4"/>
      <c r="Q1622" s="4"/>
      <c r="R1622" s="4"/>
      <c r="S1622" s="4"/>
      <c r="T1622" s="4"/>
      <c r="U1622" s="4"/>
      <c r="V1622" s="4"/>
      <c r="W1622" s="4"/>
    </row>
    <row r="1623" spans="1:23" s="32" customFormat="1" hidden="1" x14ac:dyDescent="0.3">
      <c r="A1623" s="22" t="s">
        <v>19</v>
      </c>
      <c r="B1623" s="21">
        <v>46050</v>
      </c>
      <c r="C1623" s="12" t="s">
        <v>9</v>
      </c>
      <c r="D1623" s="216" t="s">
        <v>8</v>
      </c>
      <c r="E1623" s="221" t="s">
        <v>908</v>
      </c>
      <c r="F1623" s="221" t="s">
        <v>1051</v>
      </c>
      <c r="G1623" s="259">
        <v>46050</v>
      </c>
      <c r="H1623" s="259">
        <v>46050</v>
      </c>
      <c r="I1623" s="259">
        <v>46050</v>
      </c>
      <c r="J1623" s="37"/>
      <c r="K1623" s="52">
        <v>0.5625</v>
      </c>
      <c r="L1623" s="52">
        <v>0.72916666666666663</v>
      </c>
      <c r="M1623" s="11">
        <f t="shared" si="25"/>
        <v>3.9999999999999991</v>
      </c>
      <c r="N1623" s="224" t="s">
        <v>0</v>
      </c>
      <c r="P1623" s="4"/>
      <c r="Q1623" s="4"/>
      <c r="R1623" s="4"/>
      <c r="S1623" s="4"/>
      <c r="T1623" s="4"/>
      <c r="U1623" s="4"/>
      <c r="V1623" s="4"/>
      <c r="W1623" s="4"/>
    </row>
    <row r="1624" spans="1:23" s="32" customFormat="1" hidden="1" x14ac:dyDescent="0.3">
      <c r="A1624" s="22" t="s">
        <v>19</v>
      </c>
      <c r="B1624" s="21">
        <v>46050</v>
      </c>
      <c r="C1624" s="12" t="s">
        <v>208</v>
      </c>
      <c r="D1624" s="217"/>
      <c r="E1624" s="221"/>
      <c r="F1624" s="221"/>
      <c r="G1624" s="259"/>
      <c r="H1624" s="259"/>
      <c r="I1624" s="259"/>
      <c r="J1624" s="37"/>
      <c r="K1624" s="52">
        <v>0.5625</v>
      </c>
      <c r="L1624" s="52">
        <v>0.72916666666666663</v>
      </c>
      <c r="M1624" s="11">
        <f t="shared" si="25"/>
        <v>3.9999999999999991</v>
      </c>
      <c r="N1624" s="225"/>
      <c r="P1624" s="4"/>
      <c r="Q1624" s="4"/>
      <c r="R1624" s="4"/>
      <c r="S1624" s="4"/>
      <c r="T1624" s="4"/>
      <c r="U1624" s="4"/>
      <c r="V1624" s="4"/>
      <c r="W1624" s="4"/>
    </row>
    <row r="1625" spans="1:23" s="32" customFormat="1" hidden="1" x14ac:dyDescent="0.3">
      <c r="A1625" s="22" t="s">
        <v>19</v>
      </c>
      <c r="B1625" s="21">
        <v>46050</v>
      </c>
      <c r="C1625" s="12" t="s">
        <v>9</v>
      </c>
      <c r="D1625" s="20" t="s">
        <v>27</v>
      </c>
      <c r="E1625" s="24" t="s">
        <v>1054</v>
      </c>
      <c r="F1625" s="24" t="s">
        <v>1055</v>
      </c>
      <c r="G1625" s="36">
        <v>46050</v>
      </c>
      <c r="H1625" s="36">
        <v>46050</v>
      </c>
      <c r="I1625" s="36">
        <v>46050</v>
      </c>
      <c r="J1625" s="15"/>
      <c r="K1625" s="52">
        <v>0.5</v>
      </c>
      <c r="L1625" s="52">
        <v>0.625</v>
      </c>
      <c r="M1625" s="11">
        <f t="shared" si="25"/>
        <v>3</v>
      </c>
      <c r="N1625" s="42" t="s">
        <v>0</v>
      </c>
      <c r="P1625" s="4"/>
      <c r="Q1625" s="4"/>
      <c r="R1625" s="4"/>
      <c r="S1625" s="4"/>
      <c r="T1625" s="4"/>
      <c r="U1625" s="4"/>
      <c r="V1625" s="4"/>
      <c r="W1625" s="4"/>
    </row>
    <row r="1626" spans="1:23" s="32" customFormat="1" hidden="1" x14ac:dyDescent="0.3">
      <c r="A1626" s="22" t="s">
        <v>20</v>
      </c>
      <c r="B1626" s="21">
        <v>46050</v>
      </c>
      <c r="C1626" s="69" t="s">
        <v>1003</v>
      </c>
      <c r="D1626" s="214" t="s">
        <v>44</v>
      </c>
      <c r="E1626" s="233" t="s">
        <v>970</v>
      </c>
      <c r="F1626" s="238" t="s">
        <v>1020</v>
      </c>
      <c r="G1626" s="266">
        <v>46045</v>
      </c>
      <c r="H1626" s="266">
        <v>46053</v>
      </c>
      <c r="I1626" s="266">
        <v>46053</v>
      </c>
      <c r="J1626" s="15"/>
      <c r="K1626" s="52">
        <v>0.27083333333333331</v>
      </c>
      <c r="L1626" s="51">
        <v>0.64583333333333337</v>
      </c>
      <c r="M1626" s="11">
        <f t="shared" si="25"/>
        <v>9.0000000000000018</v>
      </c>
      <c r="N1626" s="224" t="s">
        <v>0</v>
      </c>
      <c r="P1626" s="4"/>
      <c r="Q1626" s="4"/>
      <c r="R1626" s="4"/>
      <c r="S1626" s="4"/>
      <c r="T1626" s="4"/>
      <c r="U1626" s="4"/>
      <c r="V1626" s="4"/>
      <c r="W1626" s="4"/>
    </row>
    <row r="1627" spans="1:23" s="32" customFormat="1" hidden="1" x14ac:dyDescent="0.3">
      <c r="A1627" s="22" t="s">
        <v>20</v>
      </c>
      <c r="B1627" s="21">
        <v>46050</v>
      </c>
      <c r="C1627" s="69" t="s">
        <v>421</v>
      </c>
      <c r="D1627" s="215"/>
      <c r="E1627" s="233"/>
      <c r="F1627" s="238"/>
      <c r="G1627" s="267"/>
      <c r="H1627" s="267"/>
      <c r="I1627" s="267"/>
      <c r="J1627" s="37"/>
      <c r="K1627" s="51">
        <v>0.27083333333333331</v>
      </c>
      <c r="L1627" s="51">
        <v>0.64583333333333337</v>
      </c>
      <c r="M1627" s="11">
        <f t="shared" si="25"/>
        <v>9.0000000000000018</v>
      </c>
      <c r="N1627" s="225"/>
      <c r="P1627" s="4"/>
      <c r="Q1627" s="4"/>
      <c r="R1627" s="4"/>
      <c r="S1627" s="4"/>
      <c r="T1627" s="4"/>
      <c r="U1627" s="4"/>
      <c r="V1627" s="4"/>
      <c r="W1627" s="4"/>
    </row>
    <row r="1628" spans="1:23" s="32" customFormat="1" hidden="1" x14ac:dyDescent="0.3">
      <c r="A1628" s="22" t="s">
        <v>20</v>
      </c>
      <c r="B1628" s="21">
        <v>46050</v>
      </c>
      <c r="C1628" s="69" t="s">
        <v>14</v>
      </c>
      <c r="D1628" s="11" t="s">
        <v>44</v>
      </c>
      <c r="E1628" s="12" t="s">
        <v>1039</v>
      </c>
      <c r="F1628" s="12" t="s">
        <v>1022</v>
      </c>
      <c r="G1628" s="41">
        <v>46048</v>
      </c>
      <c r="H1628" s="41">
        <v>46049</v>
      </c>
      <c r="I1628" s="41">
        <v>46049</v>
      </c>
      <c r="J1628" s="36"/>
      <c r="K1628" s="47">
        <v>0.35416666666666669</v>
      </c>
      <c r="L1628" s="48">
        <v>0.72916666666666663</v>
      </c>
      <c r="M1628" s="11">
        <f t="shared" si="25"/>
        <v>8.9999999999999982</v>
      </c>
      <c r="N1628" s="62" t="s">
        <v>0</v>
      </c>
      <c r="P1628" s="4"/>
      <c r="Q1628" s="4"/>
      <c r="R1628" s="4"/>
      <c r="S1628" s="4"/>
      <c r="T1628" s="4"/>
      <c r="U1628" s="4"/>
      <c r="V1628" s="4"/>
      <c r="W1628" s="4"/>
    </row>
    <row r="1629" spans="1:23" s="32" customFormat="1" hidden="1" x14ac:dyDescent="0.3">
      <c r="A1629" s="22" t="s">
        <v>20</v>
      </c>
      <c r="B1629" s="21">
        <v>46050</v>
      </c>
      <c r="C1629" s="69" t="s">
        <v>33</v>
      </c>
      <c r="D1629" s="12" t="s">
        <v>44</v>
      </c>
      <c r="E1629" s="12" t="s">
        <v>1039</v>
      </c>
      <c r="F1629" s="12" t="s">
        <v>1022</v>
      </c>
      <c r="G1629" s="41">
        <v>46048</v>
      </c>
      <c r="H1629" s="41">
        <v>46049</v>
      </c>
      <c r="I1629" s="41">
        <v>46049</v>
      </c>
      <c r="J1629" s="36"/>
      <c r="K1629" s="47">
        <v>0.35416666666666669</v>
      </c>
      <c r="L1629" s="48">
        <v>0.72916666666666663</v>
      </c>
      <c r="M1629" s="11">
        <f t="shared" si="25"/>
        <v>8.9999999999999982</v>
      </c>
      <c r="N1629" s="62" t="s">
        <v>0</v>
      </c>
      <c r="P1629" s="4"/>
      <c r="Q1629" s="4"/>
      <c r="R1629" s="4"/>
      <c r="S1629" s="4"/>
      <c r="T1629" s="4"/>
      <c r="U1629" s="4"/>
      <c r="V1629" s="4"/>
      <c r="W1629" s="4"/>
    </row>
    <row r="1630" spans="1:23" s="32" customFormat="1" hidden="1" x14ac:dyDescent="0.3">
      <c r="A1630" s="22" t="s">
        <v>20</v>
      </c>
      <c r="B1630" s="21">
        <v>46050</v>
      </c>
      <c r="C1630" s="22" t="s">
        <v>28</v>
      </c>
      <c r="D1630" s="13" t="s">
        <v>65</v>
      </c>
      <c r="E1630" s="13" t="s">
        <v>1053</v>
      </c>
      <c r="F1630" s="26" t="s">
        <v>1032</v>
      </c>
      <c r="G1630" s="41">
        <v>46050</v>
      </c>
      <c r="H1630" s="41">
        <v>46050</v>
      </c>
      <c r="I1630" s="41">
        <v>46050</v>
      </c>
      <c r="J1630" s="41"/>
      <c r="K1630" s="45">
        <v>0.27083333333333331</v>
      </c>
      <c r="L1630" s="47">
        <v>0.6875</v>
      </c>
      <c r="M1630" s="11">
        <f t="shared" si="25"/>
        <v>10</v>
      </c>
      <c r="N1630" s="42" t="s">
        <v>0</v>
      </c>
      <c r="P1630" s="4"/>
      <c r="Q1630" s="4"/>
      <c r="R1630" s="4"/>
      <c r="S1630" s="4"/>
      <c r="T1630" s="4"/>
      <c r="U1630" s="4"/>
      <c r="V1630" s="4"/>
      <c r="W1630" s="4"/>
    </row>
    <row r="1631" spans="1:23" s="32" customFormat="1" hidden="1" x14ac:dyDescent="0.3">
      <c r="A1631" s="22" t="s">
        <v>20</v>
      </c>
      <c r="B1631" s="21">
        <v>46050</v>
      </c>
      <c r="C1631" s="22" t="s">
        <v>1023</v>
      </c>
      <c r="D1631" s="216" t="s">
        <v>65</v>
      </c>
      <c r="E1631" s="216" t="s">
        <v>842</v>
      </c>
      <c r="F1631" s="243" t="s">
        <v>1005</v>
      </c>
      <c r="G1631" s="266">
        <v>46046</v>
      </c>
      <c r="H1631" s="266">
        <v>46050</v>
      </c>
      <c r="I1631" s="266">
        <v>46050</v>
      </c>
      <c r="J1631" s="36"/>
      <c r="K1631" s="45">
        <v>0.27083333333333331</v>
      </c>
      <c r="L1631" s="48">
        <v>0.64583333333333337</v>
      </c>
      <c r="M1631" s="11">
        <f t="shared" si="25"/>
        <v>9.0000000000000018</v>
      </c>
      <c r="N1631" s="224" t="s">
        <v>0</v>
      </c>
      <c r="P1631" s="4"/>
      <c r="Q1631" s="4"/>
      <c r="R1631" s="4"/>
      <c r="S1631" s="4"/>
      <c r="T1631" s="4"/>
      <c r="U1631" s="4"/>
      <c r="V1631" s="4"/>
      <c r="W1631" s="4"/>
    </row>
    <row r="1632" spans="1:23" s="32" customFormat="1" hidden="1" x14ac:dyDescent="0.3">
      <c r="A1632" s="22" t="s">
        <v>20</v>
      </c>
      <c r="B1632" s="21">
        <v>46050</v>
      </c>
      <c r="C1632" s="69" t="s">
        <v>47</v>
      </c>
      <c r="D1632" s="217"/>
      <c r="E1632" s="217"/>
      <c r="F1632" s="244"/>
      <c r="G1632" s="267"/>
      <c r="H1632" s="267"/>
      <c r="I1632" s="267"/>
      <c r="J1632" s="15"/>
      <c r="K1632" s="47">
        <v>0.35416666666666669</v>
      </c>
      <c r="L1632" s="48">
        <v>0.72916666666666663</v>
      </c>
      <c r="M1632" s="11">
        <f t="shared" si="25"/>
        <v>8.9999999999999982</v>
      </c>
      <c r="N1632" s="225"/>
      <c r="P1632" s="4"/>
      <c r="Q1632" s="4"/>
      <c r="R1632" s="4"/>
      <c r="S1632" s="4"/>
      <c r="T1632" s="4"/>
      <c r="U1632" s="4"/>
      <c r="V1632" s="4"/>
      <c r="W1632" s="4"/>
    </row>
    <row r="1633" spans="1:23" s="32" customFormat="1" hidden="1" x14ac:dyDescent="0.3">
      <c r="A1633" s="22" t="s">
        <v>20</v>
      </c>
      <c r="B1633" s="21">
        <v>46050</v>
      </c>
      <c r="C1633" s="22" t="s">
        <v>17</v>
      </c>
      <c r="D1633" s="13" t="s">
        <v>65</v>
      </c>
      <c r="E1633" s="13" t="s">
        <v>988</v>
      </c>
      <c r="F1633" s="26" t="s">
        <v>191</v>
      </c>
      <c r="G1633" s="21">
        <v>46044</v>
      </c>
      <c r="H1633" s="41">
        <v>46050</v>
      </c>
      <c r="I1633" s="41">
        <v>46050</v>
      </c>
      <c r="J1633" s="36"/>
      <c r="K1633" s="47">
        <v>0.27083333333333331</v>
      </c>
      <c r="L1633" s="48">
        <v>0.64583333333333337</v>
      </c>
      <c r="M1633" s="11">
        <f t="shared" si="25"/>
        <v>9.0000000000000018</v>
      </c>
      <c r="N1633" s="42" t="s">
        <v>0</v>
      </c>
      <c r="P1633" s="4"/>
      <c r="Q1633" s="4"/>
      <c r="R1633" s="4"/>
      <c r="S1633" s="4"/>
      <c r="T1633" s="4"/>
      <c r="U1633" s="4"/>
      <c r="V1633" s="4"/>
      <c r="W1633" s="4"/>
    </row>
    <row r="1634" spans="1:23" s="32" customFormat="1" hidden="1" x14ac:dyDescent="0.3">
      <c r="A1634" s="22" t="s">
        <v>20</v>
      </c>
      <c r="B1634" s="21">
        <v>46050</v>
      </c>
      <c r="C1634" s="22" t="s">
        <v>167</v>
      </c>
      <c r="D1634" s="13" t="s">
        <v>65</v>
      </c>
      <c r="E1634" s="13" t="s">
        <v>1037</v>
      </c>
      <c r="F1634" s="26" t="s">
        <v>380</v>
      </c>
      <c r="G1634" s="21">
        <v>46044</v>
      </c>
      <c r="H1634" s="41">
        <v>46050</v>
      </c>
      <c r="I1634" s="41">
        <v>46050</v>
      </c>
      <c r="J1634" s="41"/>
      <c r="K1634" s="48">
        <v>0.39583333333333331</v>
      </c>
      <c r="L1634" s="48">
        <v>0.64583333333333337</v>
      </c>
      <c r="M1634" s="11">
        <f t="shared" si="25"/>
        <v>6.0000000000000018</v>
      </c>
      <c r="N1634" s="42" t="s">
        <v>0</v>
      </c>
      <c r="P1634" s="4"/>
      <c r="Q1634" s="4"/>
      <c r="R1634" s="4"/>
      <c r="S1634" s="4"/>
      <c r="T1634" s="4"/>
      <c r="U1634" s="4"/>
      <c r="V1634" s="4"/>
      <c r="W1634" s="4"/>
    </row>
    <row r="1635" spans="1:23" s="32" customFormat="1" hidden="1" x14ac:dyDescent="0.3">
      <c r="A1635" s="22" t="s">
        <v>20</v>
      </c>
      <c r="B1635" s="21">
        <v>46050</v>
      </c>
      <c r="C1635" s="22" t="s">
        <v>15</v>
      </c>
      <c r="D1635" s="216" t="s">
        <v>65</v>
      </c>
      <c r="E1635" s="216" t="s">
        <v>979</v>
      </c>
      <c r="F1635" s="243" t="s">
        <v>1034</v>
      </c>
      <c r="G1635" s="219">
        <v>46044</v>
      </c>
      <c r="H1635" s="219">
        <v>46049</v>
      </c>
      <c r="I1635" s="219">
        <v>46049</v>
      </c>
      <c r="J1635" s="17"/>
      <c r="K1635" s="47">
        <v>0.27083333333333331</v>
      </c>
      <c r="L1635" s="48">
        <v>0.39583333333333331</v>
      </c>
      <c r="M1635" s="11">
        <f t="shared" si="25"/>
        <v>3</v>
      </c>
      <c r="N1635" s="231" t="s">
        <v>0</v>
      </c>
      <c r="P1635" s="4"/>
      <c r="Q1635" s="4"/>
      <c r="R1635" s="4"/>
      <c r="S1635" s="4"/>
      <c r="T1635" s="4"/>
      <c r="U1635" s="4"/>
      <c r="V1635" s="4"/>
      <c r="W1635" s="4"/>
    </row>
    <row r="1636" spans="1:23" s="32" customFormat="1" hidden="1" x14ac:dyDescent="0.3">
      <c r="A1636" s="22" t="s">
        <v>20</v>
      </c>
      <c r="B1636" s="21">
        <v>46050</v>
      </c>
      <c r="C1636" s="22" t="s">
        <v>31</v>
      </c>
      <c r="D1636" s="217"/>
      <c r="E1636" s="217"/>
      <c r="F1636" s="244"/>
      <c r="G1636" s="220"/>
      <c r="H1636" s="220"/>
      <c r="I1636" s="220"/>
      <c r="J1636" s="23"/>
      <c r="K1636" s="47">
        <v>0.54166666666666663</v>
      </c>
      <c r="L1636" s="48">
        <v>0.58333333333333337</v>
      </c>
      <c r="M1636" s="11">
        <f t="shared" si="25"/>
        <v>1.0000000000000018</v>
      </c>
      <c r="N1636" s="225"/>
      <c r="P1636" s="4"/>
      <c r="Q1636" s="4"/>
      <c r="R1636" s="4"/>
      <c r="S1636" s="4"/>
      <c r="T1636" s="4"/>
      <c r="U1636" s="4"/>
      <c r="V1636" s="4"/>
      <c r="W1636" s="4"/>
    </row>
    <row r="1637" spans="1:23" s="32" customFormat="1" hidden="1" x14ac:dyDescent="0.3">
      <c r="A1637" s="22" t="s">
        <v>20</v>
      </c>
      <c r="B1637" s="21">
        <v>46050</v>
      </c>
      <c r="C1637" s="22" t="s">
        <v>15</v>
      </c>
      <c r="D1637" s="13" t="s">
        <v>65</v>
      </c>
      <c r="E1637" s="20" t="s">
        <v>1052</v>
      </c>
      <c r="F1637" s="3" t="s">
        <v>893</v>
      </c>
      <c r="G1637" s="41">
        <v>46050</v>
      </c>
      <c r="H1637" s="41">
        <v>46050</v>
      </c>
      <c r="I1637" s="41">
        <v>46050</v>
      </c>
      <c r="J1637" s="36"/>
      <c r="K1637" s="47">
        <v>0.27083333333333331</v>
      </c>
      <c r="L1637" s="48">
        <v>0.64583333333333337</v>
      </c>
      <c r="M1637" s="11">
        <f t="shared" si="25"/>
        <v>9.0000000000000018</v>
      </c>
      <c r="N1637" s="42" t="s">
        <v>0</v>
      </c>
      <c r="P1637" s="4"/>
      <c r="Q1637" s="4"/>
      <c r="R1637" s="4"/>
      <c r="S1637" s="4"/>
      <c r="T1637" s="4"/>
      <c r="U1637" s="4"/>
      <c r="V1637" s="4"/>
      <c r="W1637" s="4"/>
    </row>
    <row r="1638" spans="1:23" s="32" customFormat="1" hidden="1" x14ac:dyDescent="0.3">
      <c r="A1638" s="22" t="s">
        <v>20</v>
      </c>
      <c r="B1638" s="21">
        <v>46050</v>
      </c>
      <c r="C1638" s="22" t="s">
        <v>16</v>
      </c>
      <c r="D1638" s="216" t="s">
        <v>65</v>
      </c>
      <c r="E1638" s="214" t="s">
        <v>936</v>
      </c>
      <c r="F1638" s="243" t="s">
        <v>1048</v>
      </c>
      <c r="G1638" s="219">
        <v>46042</v>
      </c>
      <c r="H1638" s="219">
        <v>46050</v>
      </c>
      <c r="I1638" s="219">
        <v>46050</v>
      </c>
      <c r="J1638" s="17"/>
      <c r="K1638" s="47">
        <v>0.27083333333333331</v>
      </c>
      <c r="L1638" s="48">
        <v>0.64583333333333337</v>
      </c>
      <c r="M1638" s="11">
        <f t="shared" si="25"/>
        <v>9.0000000000000018</v>
      </c>
      <c r="N1638" s="227" t="s">
        <v>0</v>
      </c>
      <c r="P1638" s="4"/>
      <c r="Q1638" s="4"/>
      <c r="R1638" s="4"/>
      <c r="S1638" s="4"/>
      <c r="T1638" s="4"/>
      <c r="U1638" s="4"/>
      <c r="V1638" s="4"/>
      <c r="W1638" s="4"/>
    </row>
    <row r="1639" spans="1:23" s="32" customFormat="1" hidden="1" x14ac:dyDescent="0.3">
      <c r="A1639" s="22" t="s">
        <v>20</v>
      </c>
      <c r="B1639" s="21">
        <v>46050</v>
      </c>
      <c r="C1639" s="22" t="s">
        <v>31</v>
      </c>
      <c r="D1639" s="217"/>
      <c r="E1639" s="215"/>
      <c r="F1639" s="244"/>
      <c r="G1639" s="220"/>
      <c r="H1639" s="220"/>
      <c r="I1639" s="220"/>
      <c r="J1639" s="23"/>
      <c r="K1639" s="47">
        <v>0.4375</v>
      </c>
      <c r="L1639" s="48">
        <v>0.5</v>
      </c>
      <c r="M1639" s="11">
        <f t="shared" si="25"/>
        <v>1.5</v>
      </c>
      <c r="N1639" s="228"/>
      <c r="P1639" s="4"/>
      <c r="Q1639" s="4"/>
      <c r="R1639" s="4"/>
      <c r="S1639" s="4"/>
      <c r="T1639" s="4"/>
      <c r="U1639" s="4"/>
      <c r="V1639" s="4"/>
      <c r="W1639" s="4"/>
    </row>
    <row r="1640" spans="1:23" s="32" customFormat="1" hidden="1" x14ac:dyDescent="0.3">
      <c r="A1640" s="22" t="s">
        <v>20</v>
      </c>
      <c r="B1640" s="21">
        <v>46050</v>
      </c>
      <c r="C1640" s="22" t="s">
        <v>16</v>
      </c>
      <c r="D1640" s="24" t="s">
        <v>65</v>
      </c>
      <c r="E1640" s="22" t="s">
        <v>1035</v>
      </c>
      <c r="F1640" s="25" t="s">
        <v>1049</v>
      </c>
      <c r="G1640" s="30">
        <v>46049</v>
      </c>
      <c r="H1640" s="41">
        <v>46050</v>
      </c>
      <c r="I1640" s="41">
        <v>46050</v>
      </c>
      <c r="J1640" s="41"/>
      <c r="K1640" s="45">
        <v>0.39583333333333331</v>
      </c>
      <c r="L1640" s="45">
        <v>0.64583333333333337</v>
      </c>
      <c r="M1640" s="11">
        <f t="shared" si="25"/>
        <v>6.0000000000000018</v>
      </c>
      <c r="N1640" s="42" t="s">
        <v>0</v>
      </c>
      <c r="P1640" s="4"/>
      <c r="Q1640" s="4"/>
      <c r="R1640" s="4"/>
      <c r="S1640" s="4"/>
      <c r="T1640" s="4"/>
      <c r="U1640" s="4"/>
      <c r="V1640" s="4"/>
      <c r="W1640" s="4"/>
    </row>
    <row r="1641" spans="1:23" s="32" customFormat="1" ht="15.6" hidden="1" x14ac:dyDescent="0.3">
      <c r="A1641" s="40" t="s">
        <v>21</v>
      </c>
      <c r="B1641" s="21">
        <v>46051</v>
      </c>
      <c r="C1641" s="40" t="s">
        <v>26</v>
      </c>
      <c r="D1641" s="40" t="s">
        <v>24</v>
      </c>
      <c r="E1641" s="40" t="s">
        <v>1012</v>
      </c>
      <c r="F1641" s="84" t="s">
        <v>1013</v>
      </c>
      <c r="G1641" s="41">
        <v>46048</v>
      </c>
      <c r="H1641" s="41">
        <v>46052</v>
      </c>
      <c r="I1641" s="85"/>
      <c r="J1641" s="85"/>
      <c r="K1641" s="51">
        <v>0.27083333333333331</v>
      </c>
      <c r="L1641" s="51">
        <v>0.64583333333333337</v>
      </c>
      <c r="M1641" s="11">
        <f t="shared" si="25"/>
        <v>9.0000000000000018</v>
      </c>
      <c r="N1641" s="67" t="s">
        <v>1</v>
      </c>
      <c r="P1641" s="4"/>
      <c r="Q1641" s="4"/>
      <c r="R1641" s="4"/>
      <c r="S1641" s="4"/>
      <c r="T1641" s="4"/>
      <c r="U1641" s="4"/>
      <c r="V1641" s="4"/>
      <c r="W1641" s="4"/>
    </row>
    <row r="1642" spans="1:23" s="32" customFormat="1" ht="15.6" hidden="1" x14ac:dyDescent="0.3">
      <c r="A1642" s="40" t="s">
        <v>21</v>
      </c>
      <c r="B1642" s="21">
        <v>46051</v>
      </c>
      <c r="C1642" s="40" t="s">
        <v>50</v>
      </c>
      <c r="D1642" s="40" t="s">
        <v>24</v>
      </c>
      <c r="E1642" s="40" t="s">
        <v>829</v>
      </c>
      <c r="F1642" s="84" t="s">
        <v>947</v>
      </c>
      <c r="G1642" s="41">
        <v>46044</v>
      </c>
      <c r="H1642" s="41">
        <v>46053</v>
      </c>
      <c r="I1642" s="85"/>
      <c r="J1642" s="85"/>
      <c r="K1642" s="51">
        <v>0.35416666666666669</v>
      </c>
      <c r="L1642" s="51">
        <v>0.72916666666666663</v>
      </c>
      <c r="M1642" s="11">
        <f t="shared" si="25"/>
        <v>8.9999999999999982</v>
      </c>
      <c r="N1642" s="67" t="s">
        <v>1</v>
      </c>
      <c r="P1642" s="4"/>
      <c r="Q1642" s="4"/>
      <c r="R1642" s="4"/>
      <c r="S1642" s="4"/>
      <c r="T1642" s="4"/>
      <c r="U1642" s="4"/>
      <c r="V1642" s="4"/>
      <c r="W1642" s="4"/>
    </row>
    <row r="1643" spans="1:23" s="32" customFormat="1" ht="28.8" hidden="1" x14ac:dyDescent="0.3">
      <c r="A1643" s="40" t="s">
        <v>21</v>
      </c>
      <c r="B1643" s="21">
        <v>46051</v>
      </c>
      <c r="C1643" s="40" t="s">
        <v>37</v>
      </c>
      <c r="D1643" s="40" t="s">
        <v>24</v>
      </c>
      <c r="E1643" s="40" t="s">
        <v>948</v>
      </c>
      <c r="F1643" s="84" t="s">
        <v>1058</v>
      </c>
      <c r="G1643" s="41">
        <v>46051</v>
      </c>
      <c r="H1643" s="41">
        <v>46056</v>
      </c>
      <c r="I1643" s="41"/>
      <c r="J1643" s="41"/>
      <c r="K1643" s="51">
        <v>0.35416666666666669</v>
      </c>
      <c r="L1643" s="51">
        <v>0.72916666666666663</v>
      </c>
      <c r="M1643" s="11">
        <f t="shared" si="25"/>
        <v>8.9999999999999982</v>
      </c>
      <c r="N1643" s="67" t="s">
        <v>1</v>
      </c>
      <c r="P1643" s="4"/>
      <c r="Q1643" s="4"/>
      <c r="R1643" s="4"/>
      <c r="S1643" s="4"/>
      <c r="T1643" s="4"/>
      <c r="U1643" s="4"/>
      <c r="V1643" s="4"/>
      <c r="W1643" s="4"/>
    </row>
    <row r="1644" spans="1:23" s="32" customFormat="1" hidden="1" x14ac:dyDescent="0.3">
      <c r="A1644" s="40" t="s">
        <v>21</v>
      </c>
      <c r="B1644" s="21">
        <v>46051</v>
      </c>
      <c r="C1644" s="40" t="s">
        <v>274</v>
      </c>
      <c r="D1644" s="262" t="s">
        <v>43</v>
      </c>
      <c r="E1644" s="262" t="s">
        <v>476</v>
      </c>
      <c r="F1644" s="264" t="s">
        <v>346</v>
      </c>
      <c r="G1644" s="266">
        <v>46050</v>
      </c>
      <c r="H1644" s="266">
        <v>46051</v>
      </c>
      <c r="I1644" s="266">
        <v>46051</v>
      </c>
      <c r="J1644" s="36"/>
      <c r="K1644" s="51">
        <v>0.27083333333333331</v>
      </c>
      <c r="L1644" s="51">
        <v>0.54166666666666663</v>
      </c>
      <c r="M1644" s="11">
        <f t="shared" si="25"/>
        <v>6.5</v>
      </c>
      <c r="N1644" s="227" t="s">
        <v>0</v>
      </c>
      <c r="P1644" s="4"/>
      <c r="Q1644" s="4"/>
      <c r="R1644" s="4"/>
      <c r="S1644" s="4"/>
      <c r="T1644" s="4"/>
      <c r="U1644" s="4"/>
      <c r="V1644" s="4"/>
      <c r="W1644" s="4"/>
    </row>
    <row r="1645" spans="1:23" s="32" customFormat="1" hidden="1" x14ac:dyDescent="0.3">
      <c r="A1645" s="10" t="s">
        <v>21</v>
      </c>
      <c r="B1645" s="17">
        <v>46051</v>
      </c>
      <c r="C1645" s="10" t="s">
        <v>18</v>
      </c>
      <c r="D1645" s="272"/>
      <c r="E1645" s="272"/>
      <c r="F1645" s="273"/>
      <c r="G1645" s="268"/>
      <c r="H1645" s="268"/>
      <c r="I1645" s="268"/>
      <c r="J1645" s="15"/>
      <c r="K1645" s="54">
        <v>0.27083333333333331</v>
      </c>
      <c r="L1645" s="54">
        <v>0.54166666666666663</v>
      </c>
      <c r="M1645" s="11">
        <f t="shared" si="25"/>
        <v>6.5</v>
      </c>
      <c r="N1645" s="230"/>
      <c r="P1645" s="4"/>
      <c r="Q1645" s="4"/>
      <c r="R1645" s="4"/>
      <c r="S1645" s="4"/>
      <c r="T1645" s="4"/>
      <c r="U1645" s="4"/>
      <c r="V1645" s="4"/>
      <c r="W1645" s="4"/>
    </row>
    <row r="1646" spans="1:23" s="32" customFormat="1" hidden="1" x14ac:dyDescent="0.3">
      <c r="A1646" s="40" t="s">
        <v>21</v>
      </c>
      <c r="B1646" s="21">
        <v>46051</v>
      </c>
      <c r="C1646" s="40" t="s">
        <v>274</v>
      </c>
      <c r="D1646" s="260" t="s">
        <v>43</v>
      </c>
      <c r="E1646" s="260" t="s">
        <v>300</v>
      </c>
      <c r="F1646" s="260" t="s">
        <v>1073</v>
      </c>
      <c r="G1646" s="259">
        <v>46051</v>
      </c>
      <c r="H1646" s="259">
        <v>46051</v>
      </c>
      <c r="I1646" s="259">
        <v>46051</v>
      </c>
      <c r="J1646" s="41"/>
      <c r="K1646" s="51">
        <v>0.54166666666666663</v>
      </c>
      <c r="L1646" s="51">
        <v>0.72916666666666663</v>
      </c>
      <c r="M1646" s="11">
        <f t="shared" si="25"/>
        <v>4.5</v>
      </c>
      <c r="N1646" s="249" t="s">
        <v>0</v>
      </c>
      <c r="P1646" s="4"/>
      <c r="Q1646" s="4"/>
      <c r="R1646" s="4"/>
      <c r="S1646" s="4"/>
      <c r="T1646" s="4"/>
      <c r="U1646" s="4"/>
      <c r="V1646" s="4"/>
      <c r="W1646" s="4"/>
    </row>
    <row r="1647" spans="1:23" s="32" customFormat="1" hidden="1" x14ac:dyDescent="0.3">
      <c r="A1647" s="8" t="s">
        <v>21</v>
      </c>
      <c r="B1647" s="19">
        <v>46051</v>
      </c>
      <c r="C1647" s="8" t="s">
        <v>18</v>
      </c>
      <c r="D1647" s="263"/>
      <c r="E1647" s="263"/>
      <c r="F1647" s="263"/>
      <c r="G1647" s="267"/>
      <c r="H1647" s="267"/>
      <c r="I1647" s="267"/>
      <c r="J1647" s="37"/>
      <c r="K1647" s="52">
        <v>0.54166666666666663</v>
      </c>
      <c r="L1647" s="52">
        <v>0.72916666666666663</v>
      </c>
      <c r="M1647" s="11">
        <f t="shared" si="25"/>
        <v>4.5</v>
      </c>
      <c r="N1647" s="225"/>
      <c r="P1647" s="4"/>
      <c r="Q1647" s="4"/>
      <c r="R1647" s="4"/>
      <c r="S1647" s="4"/>
      <c r="T1647" s="4"/>
      <c r="U1647" s="4"/>
      <c r="V1647" s="4"/>
      <c r="W1647" s="4"/>
    </row>
    <row r="1648" spans="1:23" s="32" customFormat="1" hidden="1" x14ac:dyDescent="0.3">
      <c r="A1648" s="40" t="s">
        <v>21</v>
      </c>
      <c r="B1648" s="21">
        <v>46051</v>
      </c>
      <c r="C1648" s="40" t="s">
        <v>23</v>
      </c>
      <c r="D1648" s="260"/>
      <c r="E1648" s="260"/>
      <c r="F1648" s="260"/>
      <c r="G1648" s="259"/>
      <c r="H1648" s="259"/>
      <c r="I1648" s="259"/>
      <c r="J1648" s="41"/>
      <c r="K1648" s="51">
        <v>0.54166666666666663</v>
      </c>
      <c r="L1648" s="51">
        <v>0.72916666666666663</v>
      </c>
      <c r="M1648" s="11">
        <f t="shared" si="25"/>
        <v>4.5</v>
      </c>
      <c r="N1648" s="249"/>
      <c r="P1648" s="4"/>
      <c r="Q1648" s="4"/>
      <c r="R1648" s="4"/>
      <c r="S1648" s="4"/>
      <c r="T1648" s="4"/>
      <c r="U1648" s="4"/>
      <c r="V1648" s="4"/>
      <c r="W1648" s="4"/>
    </row>
    <row r="1649" spans="1:23" s="32" customFormat="1" hidden="1" x14ac:dyDescent="0.3">
      <c r="A1649" s="10" t="s">
        <v>21</v>
      </c>
      <c r="B1649" s="17">
        <v>46051</v>
      </c>
      <c r="C1649" s="7" t="s">
        <v>771</v>
      </c>
      <c r="D1649" s="7" t="s">
        <v>43</v>
      </c>
      <c r="E1649" s="7" t="s">
        <v>927</v>
      </c>
      <c r="F1649" s="88" t="s">
        <v>1059</v>
      </c>
      <c r="G1649" s="15">
        <v>46051</v>
      </c>
      <c r="H1649" s="15">
        <v>46052</v>
      </c>
      <c r="I1649" s="15"/>
      <c r="J1649" s="15"/>
      <c r="K1649" s="55">
        <v>0.27083333333333331</v>
      </c>
      <c r="L1649" s="55">
        <v>0.64583333333333337</v>
      </c>
      <c r="M1649" s="11">
        <f t="shared" si="25"/>
        <v>9.0000000000000018</v>
      </c>
      <c r="N1649" s="33" t="s">
        <v>1</v>
      </c>
      <c r="P1649" s="4"/>
      <c r="Q1649" s="4"/>
      <c r="R1649" s="4"/>
      <c r="S1649" s="4"/>
      <c r="T1649" s="4"/>
      <c r="U1649" s="4"/>
      <c r="V1649" s="4"/>
      <c r="W1649" s="4"/>
    </row>
    <row r="1650" spans="1:23" s="32" customFormat="1" hidden="1" x14ac:dyDescent="0.3">
      <c r="A1650" s="40" t="s">
        <v>21</v>
      </c>
      <c r="B1650" s="21">
        <v>46051</v>
      </c>
      <c r="C1650" s="40" t="s">
        <v>56</v>
      </c>
      <c r="D1650" s="40" t="s">
        <v>43</v>
      </c>
      <c r="E1650" s="40" t="s">
        <v>953</v>
      </c>
      <c r="F1650" s="84" t="s">
        <v>884</v>
      </c>
      <c r="G1650" s="41">
        <v>46049</v>
      </c>
      <c r="H1650" s="41">
        <v>46051</v>
      </c>
      <c r="I1650" s="41">
        <v>46051</v>
      </c>
      <c r="J1650" s="41"/>
      <c r="K1650" s="51">
        <v>0.27083333333333331</v>
      </c>
      <c r="L1650" s="51">
        <v>0.5</v>
      </c>
      <c r="M1650" s="11">
        <f t="shared" si="25"/>
        <v>5.5</v>
      </c>
      <c r="N1650" s="42" t="s">
        <v>0</v>
      </c>
      <c r="P1650" s="4"/>
      <c r="Q1650" s="4"/>
      <c r="R1650" s="4"/>
      <c r="S1650" s="4"/>
      <c r="T1650" s="4"/>
      <c r="U1650" s="4"/>
      <c r="V1650" s="4"/>
      <c r="W1650" s="4"/>
    </row>
    <row r="1651" spans="1:23" s="32" customFormat="1" hidden="1" x14ac:dyDescent="0.3">
      <c r="A1651" s="8" t="s">
        <v>21</v>
      </c>
      <c r="B1651" s="19">
        <v>46051</v>
      </c>
      <c r="C1651" s="8" t="s">
        <v>118</v>
      </c>
      <c r="D1651" s="272" t="s">
        <v>54</v>
      </c>
      <c r="E1651" s="272" t="s">
        <v>688</v>
      </c>
      <c r="F1651" s="272" t="s">
        <v>1046</v>
      </c>
      <c r="G1651" s="268">
        <v>46050</v>
      </c>
      <c r="H1651" s="268">
        <v>46051</v>
      </c>
      <c r="I1651" s="268"/>
      <c r="J1651" s="15"/>
      <c r="K1651" s="52">
        <v>0.35416666666666669</v>
      </c>
      <c r="L1651" s="52">
        <v>0.72916666666666663</v>
      </c>
      <c r="M1651" s="11">
        <f t="shared" si="25"/>
        <v>8.9999999999999982</v>
      </c>
      <c r="N1651" s="230" t="s">
        <v>1</v>
      </c>
      <c r="P1651" s="4"/>
      <c r="Q1651" s="4"/>
      <c r="R1651" s="4"/>
      <c r="S1651" s="4"/>
      <c r="T1651" s="4"/>
      <c r="U1651" s="4"/>
      <c r="V1651" s="4"/>
      <c r="W1651" s="4"/>
    </row>
    <row r="1652" spans="1:23" s="32" customFormat="1" hidden="1" x14ac:dyDescent="0.3">
      <c r="A1652" s="10" t="s">
        <v>21</v>
      </c>
      <c r="B1652" s="17">
        <v>46051</v>
      </c>
      <c r="C1652" s="10" t="s">
        <v>34</v>
      </c>
      <c r="D1652" s="272"/>
      <c r="E1652" s="272"/>
      <c r="F1652" s="272"/>
      <c r="G1652" s="268"/>
      <c r="H1652" s="268"/>
      <c r="I1652" s="268"/>
      <c r="J1652" s="15"/>
      <c r="K1652" s="54">
        <v>0.35416666666666669</v>
      </c>
      <c r="L1652" s="54">
        <v>0.72916666666666663</v>
      </c>
      <c r="M1652" s="11">
        <f t="shared" si="25"/>
        <v>8.9999999999999982</v>
      </c>
      <c r="N1652" s="230"/>
      <c r="P1652" s="4"/>
      <c r="Q1652" s="4"/>
      <c r="R1652" s="4"/>
      <c r="S1652" s="4"/>
      <c r="T1652" s="4"/>
      <c r="U1652" s="4"/>
      <c r="V1652" s="4"/>
      <c r="W1652" s="4"/>
    </row>
    <row r="1653" spans="1:23" s="32" customFormat="1" hidden="1" x14ac:dyDescent="0.3">
      <c r="A1653" s="40" t="s">
        <v>21</v>
      </c>
      <c r="B1653" s="21">
        <v>46051</v>
      </c>
      <c r="C1653" s="40" t="s">
        <v>25</v>
      </c>
      <c r="D1653" s="40" t="s">
        <v>43</v>
      </c>
      <c r="E1653" s="40" t="s">
        <v>1017</v>
      </c>
      <c r="F1653" s="40" t="s">
        <v>1018</v>
      </c>
      <c r="G1653" s="41">
        <v>46050</v>
      </c>
      <c r="H1653" s="41">
        <v>46051</v>
      </c>
      <c r="I1653" s="41"/>
      <c r="J1653" s="41"/>
      <c r="K1653" s="51">
        <v>0.27083333333333331</v>
      </c>
      <c r="L1653" s="51">
        <v>0.64583333333333337</v>
      </c>
      <c r="M1653" s="11">
        <f t="shared" si="25"/>
        <v>9.0000000000000018</v>
      </c>
      <c r="N1653" s="42" t="s">
        <v>0</v>
      </c>
      <c r="P1653" s="4"/>
      <c r="Q1653" s="4"/>
      <c r="R1653" s="4"/>
      <c r="S1653" s="4"/>
      <c r="T1653" s="4"/>
      <c r="U1653" s="4"/>
      <c r="V1653" s="4"/>
      <c r="W1653" s="4"/>
    </row>
    <row r="1654" spans="1:23" s="32" customFormat="1" hidden="1" x14ac:dyDescent="0.3">
      <c r="A1654" s="8" t="s">
        <v>21</v>
      </c>
      <c r="B1654" s="19">
        <v>46051</v>
      </c>
      <c r="C1654" s="8" t="s">
        <v>320</v>
      </c>
      <c r="D1654" s="7" t="s">
        <v>43</v>
      </c>
      <c r="E1654" s="7" t="s">
        <v>1066</v>
      </c>
      <c r="F1654" s="7" t="s">
        <v>1018</v>
      </c>
      <c r="G1654" s="15">
        <v>46050</v>
      </c>
      <c r="H1654" s="15">
        <v>46051</v>
      </c>
      <c r="I1654" s="15">
        <v>46051</v>
      </c>
      <c r="J1654" s="15"/>
      <c r="K1654" s="52">
        <v>0.35416666666666669</v>
      </c>
      <c r="L1654" s="52">
        <v>0.72916666666666663</v>
      </c>
      <c r="M1654" s="11">
        <f t="shared" si="25"/>
        <v>8.9999999999999982</v>
      </c>
      <c r="N1654" s="34" t="s">
        <v>0</v>
      </c>
      <c r="P1654" s="4"/>
      <c r="Q1654" s="4"/>
      <c r="R1654" s="4"/>
      <c r="S1654" s="4"/>
      <c r="T1654" s="4"/>
      <c r="U1654" s="4"/>
      <c r="V1654" s="4"/>
      <c r="W1654" s="4"/>
    </row>
    <row r="1655" spans="1:23" s="32" customFormat="1" hidden="1" x14ac:dyDescent="0.3">
      <c r="A1655" s="40" t="s">
        <v>21</v>
      </c>
      <c r="B1655" s="21">
        <v>46051</v>
      </c>
      <c r="C1655" s="40" t="s">
        <v>55</v>
      </c>
      <c r="D1655" s="40" t="s">
        <v>8</v>
      </c>
      <c r="E1655" s="40" t="s">
        <v>1064</v>
      </c>
      <c r="F1655" s="40" t="s">
        <v>1065</v>
      </c>
      <c r="G1655" s="41">
        <v>46049</v>
      </c>
      <c r="H1655" s="41">
        <v>46051</v>
      </c>
      <c r="I1655" s="41">
        <v>46051</v>
      </c>
      <c r="J1655" s="41"/>
      <c r="K1655" s="51">
        <v>0.27083333333333331</v>
      </c>
      <c r="L1655" s="51">
        <v>0.54166666666666663</v>
      </c>
      <c r="M1655" s="11">
        <f t="shared" si="25"/>
        <v>6.5</v>
      </c>
      <c r="N1655" s="42" t="s">
        <v>0</v>
      </c>
      <c r="P1655" s="4"/>
      <c r="Q1655" s="4"/>
      <c r="R1655" s="4"/>
      <c r="S1655" s="4"/>
      <c r="T1655" s="4"/>
      <c r="U1655" s="4"/>
      <c r="V1655" s="4"/>
      <c r="W1655" s="4"/>
    </row>
    <row r="1656" spans="1:23" s="32" customFormat="1" hidden="1" x14ac:dyDescent="0.3">
      <c r="A1656" s="22" t="s">
        <v>19</v>
      </c>
      <c r="B1656" s="21">
        <v>46051</v>
      </c>
      <c r="C1656" s="22" t="s">
        <v>208</v>
      </c>
      <c r="D1656" s="24" t="s">
        <v>8</v>
      </c>
      <c r="E1656" s="24" t="s">
        <v>1001</v>
      </c>
      <c r="F1656" s="24" t="s">
        <v>239</v>
      </c>
      <c r="G1656" s="41">
        <v>46046</v>
      </c>
      <c r="H1656" s="41">
        <v>46046</v>
      </c>
      <c r="I1656" s="21"/>
      <c r="J1656" s="19"/>
      <c r="K1656" s="52">
        <v>0.35416666666666669</v>
      </c>
      <c r="L1656" s="48">
        <v>0.5625</v>
      </c>
      <c r="M1656" s="11">
        <f t="shared" si="25"/>
        <v>5</v>
      </c>
      <c r="N1656" s="67" t="s">
        <v>1</v>
      </c>
      <c r="P1656" s="4"/>
      <c r="Q1656" s="4"/>
      <c r="R1656" s="4"/>
      <c r="S1656" s="4"/>
      <c r="T1656" s="4"/>
      <c r="U1656" s="4"/>
      <c r="V1656" s="4"/>
      <c r="W1656" s="4"/>
    </row>
    <row r="1657" spans="1:23" s="32" customFormat="1" hidden="1" x14ac:dyDescent="0.3">
      <c r="A1657" s="22" t="s">
        <v>19</v>
      </c>
      <c r="B1657" s="21">
        <v>46051</v>
      </c>
      <c r="C1657" s="22" t="s">
        <v>7</v>
      </c>
      <c r="D1657" s="13" t="s">
        <v>8</v>
      </c>
      <c r="E1657" s="13" t="s">
        <v>876</v>
      </c>
      <c r="F1657" s="13" t="s">
        <v>115</v>
      </c>
      <c r="G1657" s="16">
        <v>46049</v>
      </c>
      <c r="H1657" s="16">
        <v>46051</v>
      </c>
      <c r="I1657" s="16"/>
      <c r="J1657" s="65"/>
      <c r="K1657" s="52">
        <v>0.35416666666666669</v>
      </c>
      <c r="L1657" s="51">
        <v>0.64583333333333337</v>
      </c>
      <c r="M1657" s="11">
        <f t="shared" si="25"/>
        <v>7</v>
      </c>
      <c r="N1657" s="67" t="s">
        <v>1</v>
      </c>
      <c r="P1657" s="4"/>
      <c r="Q1657" s="4"/>
      <c r="R1657" s="4"/>
      <c r="S1657" s="4"/>
      <c r="T1657" s="4"/>
      <c r="U1657" s="4"/>
      <c r="V1657" s="4"/>
      <c r="W1657" s="4"/>
    </row>
    <row r="1658" spans="1:23" s="32" customFormat="1" hidden="1" x14ac:dyDescent="0.3">
      <c r="A1658" s="22" t="s">
        <v>19</v>
      </c>
      <c r="B1658" s="21">
        <v>46051</v>
      </c>
      <c r="C1658" s="12" t="s">
        <v>7</v>
      </c>
      <c r="D1658" s="216" t="s">
        <v>27</v>
      </c>
      <c r="E1658" s="221" t="s">
        <v>1071</v>
      </c>
      <c r="F1658" s="221" t="s">
        <v>1072</v>
      </c>
      <c r="G1658" s="259">
        <v>46051</v>
      </c>
      <c r="H1658" s="259">
        <v>46051</v>
      </c>
      <c r="I1658" s="259">
        <v>46051</v>
      </c>
      <c r="J1658" s="41"/>
      <c r="K1658" s="51">
        <v>0.27083333333333331</v>
      </c>
      <c r="L1658" s="52">
        <v>0.35416666666666669</v>
      </c>
      <c r="M1658" s="11">
        <f t="shared" si="25"/>
        <v>2.0000000000000009</v>
      </c>
      <c r="N1658" s="224" t="s">
        <v>0</v>
      </c>
      <c r="P1658" s="4"/>
      <c r="Q1658" s="4"/>
      <c r="R1658" s="4"/>
      <c r="S1658" s="4"/>
      <c r="T1658" s="4"/>
      <c r="U1658" s="4"/>
      <c r="V1658" s="4"/>
      <c r="W1658" s="4"/>
    </row>
    <row r="1659" spans="1:23" s="32" customFormat="1" hidden="1" x14ac:dyDescent="0.3">
      <c r="A1659" s="22" t="s">
        <v>19</v>
      </c>
      <c r="B1659" s="21">
        <v>46051</v>
      </c>
      <c r="C1659" s="12" t="s">
        <v>208</v>
      </c>
      <c r="D1659" s="217"/>
      <c r="E1659" s="221"/>
      <c r="F1659" s="221"/>
      <c r="G1659" s="259"/>
      <c r="H1659" s="259"/>
      <c r="I1659" s="259"/>
      <c r="J1659" s="41"/>
      <c r="K1659" s="51">
        <v>0.27083333333333331</v>
      </c>
      <c r="L1659" s="52">
        <v>0.35416666666666669</v>
      </c>
      <c r="M1659" s="11">
        <f t="shared" si="25"/>
        <v>2.0000000000000009</v>
      </c>
      <c r="N1659" s="225"/>
      <c r="P1659" s="4"/>
      <c r="Q1659" s="4"/>
      <c r="R1659" s="4"/>
      <c r="S1659" s="4"/>
      <c r="T1659" s="4"/>
      <c r="U1659" s="4"/>
      <c r="V1659" s="4"/>
      <c r="W1659" s="4"/>
    </row>
    <row r="1660" spans="1:23" s="32" customFormat="1" hidden="1" x14ac:dyDescent="0.3">
      <c r="A1660" s="22" t="s">
        <v>19</v>
      </c>
      <c r="B1660" s="21">
        <v>46051</v>
      </c>
      <c r="C1660" s="12" t="s">
        <v>9</v>
      </c>
      <c r="D1660" s="216" t="s">
        <v>8</v>
      </c>
      <c r="E1660" s="221" t="s">
        <v>908</v>
      </c>
      <c r="F1660" s="221" t="s">
        <v>1051</v>
      </c>
      <c r="G1660" s="259">
        <v>46050</v>
      </c>
      <c r="H1660" s="259">
        <v>46051</v>
      </c>
      <c r="I1660" s="259">
        <v>46051</v>
      </c>
      <c r="J1660" s="37"/>
      <c r="K1660" s="52">
        <v>0.35416666666666669</v>
      </c>
      <c r="L1660" s="48">
        <v>0.64583333333333337</v>
      </c>
      <c r="M1660" s="11">
        <f t="shared" si="25"/>
        <v>7</v>
      </c>
      <c r="N1660" s="224" t="s">
        <v>0</v>
      </c>
      <c r="P1660" s="4"/>
      <c r="Q1660" s="4"/>
      <c r="R1660" s="4"/>
      <c r="S1660" s="4"/>
      <c r="T1660" s="4"/>
      <c r="U1660" s="4"/>
      <c r="V1660" s="4"/>
      <c r="W1660" s="4"/>
    </row>
    <row r="1661" spans="1:23" s="32" customFormat="1" hidden="1" x14ac:dyDescent="0.3">
      <c r="A1661" s="22" t="s">
        <v>19</v>
      </c>
      <c r="B1661" s="21">
        <v>46051</v>
      </c>
      <c r="C1661" s="12" t="s">
        <v>208</v>
      </c>
      <c r="D1661" s="217"/>
      <c r="E1661" s="221"/>
      <c r="F1661" s="221"/>
      <c r="G1661" s="259"/>
      <c r="H1661" s="259"/>
      <c r="I1661" s="259"/>
      <c r="J1661" s="37"/>
      <c r="K1661" s="52">
        <v>0.35416666666666669</v>
      </c>
      <c r="L1661" s="48">
        <v>0.64583333333333337</v>
      </c>
      <c r="M1661" s="11">
        <f t="shared" si="25"/>
        <v>7</v>
      </c>
      <c r="N1661" s="225"/>
      <c r="P1661" s="4"/>
      <c r="Q1661" s="4"/>
      <c r="R1661" s="4"/>
      <c r="S1661" s="4"/>
      <c r="T1661" s="4"/>
      <c r="U1661" s="4"/>
      <c r="V1661" s="4"/>
      <c r="W1661" s="4"/>
    </row>
    <row r="1662" spans="1:23" s="32" customFormat="1" hidden="1" x14ac:dyDescent="0.3">
      <c r="A1662" s="22" t="s">
        <v>19</v>
      </c>
      <c r="B1662" s="21">
        <v>46051</v>
      </c>
      <c r="C1662" s="12" t="s">
        <v>9</v>
      </c>
      <c r="D1662" s="20" t="s">
        <v>27</v>
      </c>
      <c r="E1662" s="24" t="s">
        <v>1054</v>
      </c>
      <c r="F1662" s="24" t="s">
        <v>1055</v>
      </c>
      <c r="G1662" s="36">
        <v>46050</v>
      </c>
      <c r="H1662" s="36">
        <v>46050</v>
      </c>
      <c r="I1662" s="36"/>
      <c r="J1662" s="15"/>
      <c r="K1662" s="52">
        <v>0.5</v>
      </c>
      <c r="L1662" s="52">
        <v>0.625</v>
      </c>
      <c r="M1662" s="11">
        <f t="shared" si="25"/>
        <v>3</v>
      </c>
      <c r="N1662" s="67" t="s">
        <v>1</v>
      </c>
      <c r="P1662" s="4"/>
      <c r="Q1662" s="4"/>
      <c r="R1662" s="4"/>
      <c r="S1662" s="4"/>
      <c r="T1662" s="4"/>
      <c r="U1662" s="4"/>
      <c r="V1662" s="4"/>
      <c r="W1662" s="4"/>
    </row>
    <row r="1663" spans="1:23" s="32" customFormat="1" hidden="1" x14ac:dyDescent="0.3">
      <c r="A1663" s="22" t="s">
        <v>19</v>
      </c>
      <c r="B1663" s="21">
        <v>46051</v>
      </c>
      <c r="C1663" s="12" t="s">
        <v>9</v>
      </c>
      <c r="D1663" s="20" t="s">
        <v>27</v>
      </c>
      <c r="E1663" s="24" t="s">
        <v>82</v>
      </c>
      <c r="F1663" s="24" t="s">
        <v>82</v>
      </c>
      <c r="G1663" s="36">
        <v>46051</v>
      </c>
      <c r="H1663" s="36">
        <v>46051</v>
      </c>
      <c r="I1663" s="36">
        <v>46051</v>
      </c>
      <c r="J1663" s="15"/>
      <c r="K1663" s="52">
        <v>0.64583333333333337</v>
      </c>
      <c r="L1663" s="52">
        <v>0.72916666666666663</v>
      </c>
      <c r="M1663" s="11">
        <f t="shared" si="25"/>
        <v>1.9999999999999982</v>
      </c>
      <c r="N1663" s="62" t="s">
        <v>0</v>
      </c>
      <c r="P1663" s="4"/>
      <c r="Q1663" s="4"/>
      <c r="R1663" s="4"/>
      <c r="S1663" s="4"/>
      <c r="T1663" s="4"/>
      <c r="U1663" s="4"/>
      <c r="V1663" s="4"/>
      <c r="W1663" s="4"/>
    </row>
    <row r="1664" spans="1:23" s="32" customFormat="1" hidden="1" x14ac:dyDescent="0.3">
      <c r="A1664" s="22" t="s">
        <v>20</v>
      </c>
      <c r="B1664" s="21">
        <v>46051</v>
      </c>
      <c r="C1664" s="69" t="s">
        <v>1003</v>
      </c>
      <c r="D1664" s="214" t="s">
        <v>44</v>
      </c>
      <c r="E1664" s="233" t="s">
        <v>970</v>
      </c>
      <c r="F1664" s="238" t="s">
        <v>1060</v>
      </c>
      <c r="G1664" s="266">
        <v>46045</v>
      </c>
      <c r="H1664" s="266">
        <v>46053</v>
      </c>
      <c r="I1664" s="266">
        <v>46053</v>
      </c>
      <c r="J1664" s="15"/>
      <c r="K1664" s="52">
        <v>0.27083333333333331</v>
      </c>
      <c r="L1664" s="51">
        <v>0.64583333333333337</v>
      </c>
      <c r="M1664" s="11">
        <f t="shared" si="25"/>
        <v>9.0000000000000018</v>
      </c>
      <c r="N1664" s="224" t="s">
        <v>0</v>
      </c>
      <c r="P1664" s="4"/>
      <c r="Q1664" s="4"/>
      <c r="R1664" s="4"/>
      <c r="S1664" s="4"/>
      <c r="T1664" s="4"/>
      <c r="U1664" s="4"/>
      <c r="V1664" s="4"/>
      <c r="W1664" s="4"/>
    </row>
    <row r="1665" spans="1:23" s="32" customFormat="1" hidden="1" x14ac:dyDescent="0.3">
      <c r="A1665" s="22" t="s">
        <v>20</v>
      </c>
      <c r="B1665" s="21">
        <v>46051</v>
      </c>
      <c r="C1665" s="69" t="s">
        <v>421</v>
      </c>
      <c r="D1665" s="215"/>
      <c r="E1665" s="233"/>
      <c r="F1665" s="238"/>
      <c r="G1665" s="267"/>
      <c r="H1665" s="267"/>
      <c r="I1665" s="267"/>
      <c r="J1665" s="37"/>
      <c r="K1665" s="51">
        <v>0.27083333333333331</v>
      </c>
      <c r="L1665" s="51">
        <v>0.64583333333333337</v>
      </c>
      <c r="M1665" s="11">
        <f t="shared" si="25"/>
        <v>9.0000000000000018</v>
      </c>
      <c r="N1665" s="225"/>
      <c r="P1665" s="4"/>
      <c r="Q1665" s="4"/>
      <c r="R1665" s="4"/>
      <c r="S1665" s="4"/>
      <c r="T1665" s="4"/>
      <c r="U1665" s="4"/>
      <c r="V1665" s="4"/>
      <c r="W1665" s="4"/>
    </row>
    <row r="1666" spans="1:23" s="32" customFormat="1" hidden="1" x14ac:dyDescent="0.3">
      <c r="A1666" s="22" t="s">
        <v>20</v>
      </c>
      <c r="B1666" s="21">
        <v>46051</v>
      </c>
      <c r="C1666" s="69" t="s">
        <v>14</v>
      </c>
      <c r="D1666" s="11" t="s">
        <v>44</v>
      </c>
      <c r="E1666" s="12" t="s">
        <v>1061</v>
      </c>
      <c r="F1666" s="12" t="s">
        <v>413</v>
      </c>
      <c r="G1666" s="41">
        <v>46051</v>
      </c>
      <c r="H1666" s="41">
        <v>46051</v>
      </c>
      <c r="I1666" s="41">
        <v>46051</v>
      </c>
      <c r="J1666" s="36"/>
      <c r="K1666" s="47">
        <v>0.35416666666666669</v>
      </c>
      <c r="L1666" s="48">
        <v>0.72916666666666663</v>
      </c>
      <c r="M1666" s="11">
        <f t="shared" ref="M1666:M1729" si="26">MOD(L1666-K1666,1)*24</f>
        <v>8.9999999999999982</v>
      </c>
      <c r="N1666" s="62" t="s">
        <v>0</v>
      </c>
      <c r="P1666" s="4"/>
      <c r="Q1666" s="4"/>
      <c r="R1666" s="4"/>
      <c r="S1666" s="4"/>
      <c r="T1666" s="4"/>
      <c r="U1666" s="4"/>
      <c r="V1666" s="4"/>
      <c r="W1666" s="4"/>
    </row>
    <row r="1667" spans="1:23" s="32" customFormat="1" hidden="1" x14ac:dyDescent="0.3">
      <c r="A1667" s="22" t="s">
        <v>20</v>
      </c>
      <c r="B1667" s="21">
        <v>46051</v>
      </c>
      <c r="C1667" s="69" t="s">
        <v>33</v>
      </c>
      <c r="D1667" s="12" t="s">
        <v>27</v>
      </c>
      <c r="E1667" s="12" t="s">
        <v>1039</v>
      </c>
      <c r="F1667" s="12" t="s">
        <v>1022</v>
      </c>
      <c r="G1667" s="41">
        <v>46051</v>
      </c>
      <c r="H1667" s="41">
        <v>46051</v>
      </c>
      <c r="I1667" s="41">
        <v>46051</v>
      </c>
      <c r="J1667" s="36"/>
      <c r="K1667" s="47">
        <v>0.35416666666666669</v>
      </c>
      <c r="L1667" s="48">
        <v>0.72916666666666663</v>
      </c>
      <c r="M1667" s="11">
        <f t="shared" si="26"/>
        <v>8.9999999999999982</v>
      </c>
      <c r="N1667" s="62" t="s">
        <v>0</v>
      </c>
      <c r="P1667" s="4"/>
      <c r="Q1667" s="4"/>
      <c r="R1667" s="4"/>
      <c r="S1667" s="4"/>
      <c r="T1667" s="4"/>
      <c r="U1667" s="4"/>
      <c r="V1667" s="4"/>
      <c r="W1667" s="4"/>
    </row>
    <row r="1668" spans="1:23" s="32" customFormat="1" hidden="1" x14ac:dyDescent="0.3">
      <c r="A1668" s="22" t="s">
        <v>20</v>
      </c>
      <c r="B1668" s="21">
        <v>46051</v>
      </c>
      <c r="C1668" s="22" t="s">
        <v>167</v>
      </c>
      <c r="D1668" s="13" t="s">
        <v>65</v>
      </c>
      <c r="E1668" s="13" t="s">
        <v>1052</v>
      </c>
      <c r="F1668" s="26" t="s">
        <v>1062</v>
      </c>
      <c r="G1668" s="41">
        <v>46051</v>
      </c>
      <c r="H1668" s="41">
        <v>46051</v>
      </c>
      <c r="I1668" s="41">
        <v>46051</v>
      </c>
      <c r="J1668" s="41"/>
      <c r="K1668" s="45">
        <v>0.27083333333333331</v>
      </c>
      <c r="L1668" s="47">
        <v>0.39583333333333331</v>
      </c>
      <c r="M1668" s="11">
        <f t="shared" si="26"/>
        <v>3</v>
      </c>
      <c r="N1668" s="42" t="s">
        <v>0</v>
      </c>
      <c r="P1668" s="4"/>
      <c r="Q1668" s="4"/>
      <c r="R1668" s="4"/>
      <c r="S1668" s="4"/>
      <c r="T1668" s="4"/>
      <c r="U1668" s="4"/>
      <c r="V1668" s="4"/>
      <c r="W1668" s="4"/>
    </row>
    <row r="1669" spans="1:23" s="32" customFormat="1" hidden="1" x14ac:dyDescent="0.3">
      <c r="A1669" s="22" t="s">
        <v>20</v>
      </c>
      <c r="B1669" s="21">
        <v>46051</v>
      </c>
      <c r="C1669" s="22" t="s">
        <v>1023</v>
      </c>
      <c r="D1669" s="216" t="s">
        <v>65</v>
      </c>
      <c r="E1669" s="216" t="s">
        <v>1069</v>
      </c>
      <c r="F1669" s="243" t="s">
        <v>1005</v>
      </c>
      <c r="G1669" s="266">
        <v>46046</v>
      </c>
      <c r="H1669" s="266">
        <v>46051</v>
      </c>
      <c r="I1669" s="266">
        <v>46051</v>
      </c>
      <c r="J1669" s="36"/>
      <c r="K1669" s="45">
        <v>0.27083333333333331</v>
      </c>
      <c r="L1669" s="48">
        <v>0.64583333333333337</v>
      </c>
      <c r="M1669" s="11">
        <f t="shared" si="26"/>
        <v>9.0000000000000018</v>
      </c>
      <c r="N1669" s="231" t="s">
        <v>0</v>
      </c>
      <c r="P1669" s="4"/>
      <c r="Q1669" s="4"/>
      <c r="R1669" s="4"/>
      <c r="S1669" s="4"/>
      <c r="T1669" s="4"/>
      <c r="U1669" s="4"/>
      <c r="V1669" s="4"/>
      <c r="W1669" s="4"/>
    </row>
    <row r="1670" spans="1:23" s="32" customFormat="1" hidden="1" x14ac:dyDescent="0.3">
      <c r="A1670" s="22" t="s">
        <v>20</v>
      </c>
      <c r="B1670" s="21">
        <v>46051</v>
      </c>
      <c r="C1670" s="69" t="s">
        <v>47</v>
      </c>
      <c r="D1670" s="217"/>
      <c r="E1670" s="217"/>
      <c r="F1670" s="244"/>
      <c r="G1670" s="267"/>
      <c r="H1670" s="267"/>
      <c r="I1670" s="267"/>
      <c r="J1670" s="15"/>
      <c r="K1670" s="47">
        <v>0.35416666666666669</v>
      </c>
      <c r="L1670" s="48">
        <v>0.72916666666666663</v>
      </c>
      <c r="M1670" s="11">
        <f t="shared" si="26"/>
        <v>8.9999999999999982</v>
      </c>
      <c r="N1670" s="225"/>
      <c r="P1670" s="4"/>
      <c r="Q1670" s="4"/>
      <c r="R1670" s="4"/>
      <c r="S1670" s="4"/>
      <c r="T1670" s="4"/>
      <c r="U1670" s="4"/>
      <c r="V1670" s="4"/>
      <c r="W1670" s="4"/>
    </row>
    <row r="1671" spans="1:23" s="32" customFormat="1" hidden="1" x14ac:dyDescent="0.3">
      <c r="A1671" s="22" t="s">
        <v>20</v>
      </c>
      <c r="B1671" s="21">
        <v>46051</v>
      </c>
      <c r="C1671" s="22" t="s">
        <v>17</v>
      </c>
      <c r="D1671" s="13" t="s">
        <v>65</v>
      </c>
      <c r="E1671" s="13" t="s">
        <v>988</v>
      </c>
      <c r="F1671" s="26" t="s">
        <v>59</v>
      </c>
      <c r="G1671" s="21">
        <v>46044</v>
      </c>
      <c r="H1671" s="41">
        <v>46051</v>
      </c>
      <c r="I1671" s="41">
        <v>46051</v>
      </c>
      <c r="J1671" s="36"/>
      <c r="K1671" s="47">
        <v>0.27083333333333331</v>
      </c>
      <c r="L1671" s="48">
        <v>0.64583333333333337</v>
      </c>
      <c r="M1671" s="11">
        <f t="shared" si="26"/>
        <v>9.0000000000000018</v>
      </c>
      <c r="N1671" s="42" t="s">
        <v>0</v>
      </c>
      <c r="P1671" s="4"/>
      <c r="Q1671" s="4"/>
      <c r="R1671" s="4"/>
      <c r="S1671" s="4"/>
      <c r="T1671" s="4"/>
      <c r="U1671" s="4"/>
      <c r="V1671" s="4"/>
      <c r="W1671" s="4"/>
    </row>
    <row r="1672" spans="1:23" s="32" customFormat="1" hidden="1" x14ac:dyDescent="0.3">
      <c r="A1672" s="22" t="s">
        <v>20</v>
      </c>
      <c r="B1672" s="21">
        <v>46051</v>
      </c>
      <c r="C1672" s="22" t="s">
        <v>167</v>
      </c>
      <c r="D1672" s="13" t="s">
        <v>65</v>
      </c>
      <c r="E1672" s="13" t="s">
        <v>1037</v>
      </c>
      <c r="F1672" s="26" t="s">
        <v>380</v>
      </c>
      <c r="G1672" s="21">
        <v>46044</v>
      </c>
      <c r="H1672" s="41">
        <v>46051</v>
      </c>
      <c r="I1672" s="41">
        <v>46051</v>
      </c>
      <c r="J1672" s="41"/>
      <c r="K1672" s="48">
        <v>0.39583333333333331</v>
      </c>
      <c r="L1672" s="48">
        <v>0.64583333333333337</v>
      </c>
      <c r="M1672" s="11">
        <f t="shared" si="26"/>
        <v>6.0000000000000018</v>
      </c>
      <c r="N1672" s="42" t="s">
        <v>0</v>
      </c>
      <c r="P1672" s="4"/>
      <c r="Q1672" s="4"/>
      <c r="R1672" s="4"/>
      <c r="S1672" s="4"/>
      <c r="T1672" s="4"/>
      <c r="U1672" s="4"/>
      <c r="V1672" s="4"/>
      <c r="W1672" s="4"/>
    </row>
    <row r="1673" spans="1:23" s="32" customFormat="1" hidden="1" x14ac:dyDescent="0.3">
      <c r="A1673" s="22" t="s">
        <v>20</v>
      </c>
      <c r="B1673" s="21">
        <v>46051</v>
      </c>
      <c r="C1673" s="22" t="s">
        <v>15</v>
      </c>
      <c r="D1673" s="216" t="s">
        <v>65</v>
      </c>
      <c r="E1673" s="216" t="s">
        <v>1052</v>
      </c>
      <c r="F1673" s="243" t="s">
        <v>1063</v>
      </c>
      <c r="G1673" s="219">
        <v>46049</v>
      </c>
      <c r="H1673" s="219">
        <v>46051</v>
      </c>
      <c r="I1673" s="219">
        <v>46051</v>
      </c>
      <c r="J1673" s="17"/>
      <c r="K1673" s="47">
        <v>0.27083333333333331</v>
      </c>
      <c r="L1673" s="48">
        <v>0.64583333333333337</v>
      </c>
      <c r="M1673" s="11">
        <f t="shared" si="26"/>
        <v>9.0000000000000018</v>
      </c>
      <c r="N1673" s="231" t="s">
        <v>0</v>
      </c>
      <c r="P1673" s="4"/>
      <c r="Q1673" s="4"/>
      <c r="R1673" s="4"/>
      <c r="S1673" s="4"/>
      <c r="T1673" s="4"/>
      <c r="U1673" s="4"/>
      <c r="V1673" s="4"/>
      <c r="W1673" s="4"/>
    </row>
    <row r="1674" spans="1:23" s="32" customFormat="1" hidden="1" x14ac:dyDescent="0.3">
      <c r="A1674" s="22" t="s">
        <v>20</v>
      </c>
      <c r="B1674" s="21">
        <v>46051</v>
      </c>
      <c r="C1674" s="22" t="s">
        <v>31</v>
      </c>
      <c r="D1674" s="217"/>
      <c r="E1674" s="217"/>
      <c r="F1674" s="244"/>
      <c r="G1674" s="220"/>
      <c r="H1674" s="220"/>
      <c r="I1674" s="220"/>
      <c r="J1674" s="23"/>
      <c r="K1674" s="47">
        <v>0.54166666666666663</v>
      </c>
      <c r="L1674" s="48">
        <v>0.58333333333333337</v>
      </c>
      <c r="M1674" s="11">
        <f t="shared" si="26"/>
        <v>1.0000000000000018</v>
      </c>
      <c r="N1674" s="225"/>
      <c r="P1674" s="4"/>
      <c r="Q1674" s="4"/>
      <c r="R1674" s="4"/>
      <c r="S1674" s="4"/>
      <c r="T1674" s="4"/>
      <c r="U1674" s="4"/>
      <c r="V1674" s="4"/>
      <c r="W1674" s="4"/>
    </row>
    <row r="1675" spans="1:23" s="32" customFormat="1" hidden="1" x14ac:dyDescent="0.3">
      <c r="A1675" s="22" t="s">
        <v>20</v>
      </c>
      <c r="B1675" s="21">
        <v>46051</v>
      </c>
      <c r="C1675" s="22" t="s">
        <v>15</v>
      </c>
      <c r="D1675" s="13" t="s">
        <v>65</v>
      </c>
      <c r="E1675" s="20" t="s">
        <v>1067</v>
      </c>
      <c r="F1675" s="3" t="s">
        <v>1068</v>
      </c>
      <c r="G1675" s="41">
        <v>46051</v>
      </c>
      <c r="H1675" s="41">
        <v>46051</v>
      </c>
      <c r="I1675" s="41">
        <v>46051</v>
      </c>
      <c r="J1675" s="36"/>
      <c r="K1675" s="47">
        <v>0.47916666666666669</v>
      </c>
      <c r="L1675" s="48">
        <v>0.64583333333333337</v>
      </c>
      <c r="M1675" s="11">
        <f t="shared" si="26"/>
        <v>4</v>
      </c>
      <c r="N1675" s="34" t="s">
        <v>0</v>
      </c>
      <c r="P1675" s="4"/>
      <c r="Q1675" s="4"/>
      <c r="R1675" s="4"/>
      <c r="S1675" s="4"/>
      <c r="T1675" s="4"/>
      <c r="U1675" s="4"/>
      <c r="V1675" s="4"/>
      <c r="W1675" s="4"/>
    </row>
    <row r="1676" spans="1:23" s="32" customFormat="1" hidden="1" x14ac:dyDescent="0.3">
      <c r="A1676" s="22" t="s">
        <v>20</v>
      </c>
      <c r="B1676" s="21">
        <v>46051</v>
      </c>
      <c r="C1676" s="22" t="s">
        <v>16</v>
      </c>
      <c r="D1676" s="216" t="s">
        <v>65</v>
      </c>
      <c r="E1676" s="214" t="s">
        <v>1035</v>
      </c>
      <c r="F1676" s="243" t="s">
        <v>1049</v>
      </c>
      <c r="G1676" s="219">
        <v>46049</v>
      </c>
      <c r="H1676" s="219">
        <v>46051</v>
      </c>
      <c r="I1676" s="219">
        <v>46051</v>
      </c>
      <c r="J1676" s="17"/>
      <c r="K1676" s="47">
        <v>0.27083333333333331</v>
      </c>
      <c r="L1676" s="48">
        <v>0.47916666666666669</v>
      </c>
      <c r="M1676" s="11">
        <f t="shared" si="26"/>
        <v>5.0000000000000009</v>
      </c>
      <c r="N1676" s="231" t="s">
        <v>0</v>
      </c>
      <c r="P1676" s="4"/>
      <c r="Q1676" s="4"/>
      <c r="R1676" s="4"/>
      <c r="S1676" s="4"/>
      <c r="T1676" s="4"/>
      <c r="U1676" s="4"/>
      <c r="V1676" s="4"/>
      <c r="W1676" s="4"/>
    </row>
    <row r="1677" spans="1:23" s="32" customFormat="1" hidden="1" x14ac:dyDescent="0.3">
      <c r="A1677" s="22" t="s">
        <v>20</v>
      </c>
      <c r="B1677" s="21">
        <v>46051</v>
      </c>
      <c r="C1677" s="22" t="s">
        <v>31</v>
      </c>
      <c r="D1677" s="217"/>
      <c r="E1677" s="215"/>
      <c r="F1677" s="244"/>
      <c r="G1677" s="220"/>
      <c r="H1677" s="220"/>
      <c r="I1677" s="220"/>
      <c r="J1677" s="23"/>
      <c r="K1677" s="47">
        <v>0.4375</v>
      </c>
      <c r="L1677" s="48">
        <v>0.5</v>
      </c>
      <c r="M1677" s="11">
        <f t="shared" si="26"/>
        <v>1.5</v>
      </c>
      <c r="N1677" s="225"/>
      <c r="P1677" s="4"/>
      <c r="Q1677" s="4"/>
      <c r="R1677" s="4"/>
      <c r="S1677" s="4"/>
      <c r="T1677" s="4"/>
      <c r="U1677" s="4"/>
      <c r="V1677" s="4"/>
      <c r="W1677" s="4"/>
    </row>
    <row r="1678" spans="1:23" s="32" customFormat="1" hidden="1" x14ac:dyDescent="0.3">
      <c r="A1678" s="22" t="s">
        <v>20</v>
      </c>
      <c r="B1678" s="21">
        <v>46051</v>
      </c>
      <c r="C1678" s="22" t="s">
        <v>16</v>
      </c>
      <c r="D1678" s="24" t="s">
        <v>65</v>
      </c>
      <c r="E1678" s="24" t="s">
        <v>939</v>
      </c>
      <c r="F1678" s="25" t="s">
        <v>1070</v>
      </c>
      <c r="G1678" s="41">
        <v>46051</v>
      </c>
      <c r="H1678" s="41">
        <v>46051</v>
      </c>
      <c r="I1678" s="41">
        <v>46051</v>
      </c>
      <c r="J1678" s="41"/>
      <c r="K1678" s="48">
        <v>0.47916666666666669</v>
      </c>
      <c r="L1678" s="48">
        <v>0.64583333333333337</v>
      </c>
      <c r="M1678" s="11">
        <f t="shared" si="26"/>
        <v>4</v>
      </c>
      <c r="N1678" s="42" t="s">
        <v>0</v>
      </c>
      <c r="P1678" s="4"/>
      <c r="Q1678" s="4"/>
      <c r="R1678" s="4"/>
      <c r="S1678" s="4"/>
      <c r="T1678" s="4"/>
      <c r="U1678" s="4"/>
      <c r="V1678" s="4"/>
      <c r="W1678" s="4"/>
    </row>
    <row r="1679" spans="1:23" s="32" customFormat="1" ht="15.6" hidden="1" x14ac:dyDescent="0.3">
      <c r="A1679" s="8" t="s">
        <v>21</v>
      </c>
      <c r="B1679" s="19">
        <v>46052</v>
      </c>
      <c r="C1679" s="8" t="s">
        <v>26</v>
      </c>
      <c r="D1679" s="8" t="s">
        <v>24</v>
      </c>
      <c r="E1679" s="8" t="s">
        <v>1012</v>
      </c>
      <c r="F1679" s="39" t="s">
        <v>1013</v>
      </c>
      <c r="G1679" s="37">
        <v>46048</v>
      </c>
      <c r="H1679" s="37">
        <v>46052</v>
      </c>
      <c r="I1679" s="89"/>
      <c r="J1679" s="89"/>
      <c r="K1679" s="52">
        <v>0.27083333333333331</v>
      </c>
      <c r="L1679" s="52">
        <v>0.64583333333333337</v>
      </c>
      <c r="M1679" s="11">
        <f t="shared" si="26"/>
        <v>9.0000000000000018</v>
      </c>
      <c r="N1679" s="66" t="s">
        <v>1</v>
      </c>
      <c r="P1679" s="4"/>
      <c r="Q1679" s="4"/>
      <c r="R1679" s="4"/>
      <c r="S1679" s="4"/>
      <c r="T1679" s="4"/>
      <c r="U1679" s="4"/>
      <c r="V1679" s="4"/>
      <c r="W1679" s="4"/>
    </row>
    <row r="1680" spans="1:23" s="32" customFormat="1" ht="15.6" hidden="1" x14ac:dyDescent="0.3">
      <c r="A1680" s="40" t="s">
        <v>21</v>
      </c>
      <c r="B1680" s="21">
        <v>46052</v>
      </c>
      <c r="C1680" s="40" t="s">
        <v>50</v>
      </c>
      <c r="D1680" s="40" t="s">
        <v>24</v>
      </c>
      <c r="E1680" s="90" t="s">
        <v>829</v>
      </c>
      <c r="F1680" s="84" t="s">
        <v>947</v>
      </c>
      <c r="G1680" s="41">
        <v>46051</v>
      </c>
      <c r="H1680" s="41">
        <v>46053</v>
      </c>
      <c r="I1680" s="85"/>
      <c r="J1680" s="85"/>
      <c r="K1680" s="51">
        <v>0.35416666666666669</v>
      </c>
      <c r="L1680" s="51">
        <v>0.72916666666666663</v>
      </c>
      <c r="M1680" s="11">
        <f t="shared" si="26"/>
        <v>8.9999999999999982</v>
      </c>
      <c r="N1680" s="67" t="s">
        <v>1</v>
      </c>
      <c r="P1680" s="4"/>
      <c r="Q1680" s="4"/>
      <c r="R1680" s="4"/>
      <c r="S1680" s="4"/>
      <c r="T1680" s="4"/>
      <c r="U1680" s="4"/>
      <c r="V1680" s="4"/>
      <c r="W1680" s="4"/>
    </row>
    <row r="1681" spans="1:23" s="32" customFormat="1" ht="28.8" hidden="1" x14ac:dyDescent="0.3">
      <c r="A1681" s="40" t="s">
        <v>21</v>
      </c>
      <c r="B1681" s="21">
        <v>46052</v>
      </c>
      <c r="C1681" s="40" t="s">
        <v>37</v>
      </c>
      <c r="D1681" s="40" t="s">
        <v>24</v>
      </c>
      <c r="E1681" s="90" t="s">
        <v>948</v>
      </c>
      <c r="F1681" s="84" t="s">
        <v>1058</v>
      </c>
      <c r="G1681" s="41">
        <v>46051</v>
      </c>
      <c r="H1681" s="41">
        <v>46056</v>
      </c>
      <c r="I1681" s="41"/>
      <c r="J1681" s="41"/>
      <c r="K1681" s="51">
        <v>0.35416666666666669</v>
      </c>
      <c r="L1681" s="51">
        <v>0.72916666666666663</v>
      </c>
      <c r="M1681" s="11">
        <f t="shared" si="26"/>
        <v>8.9999999999999982</v>
      </c>
      <c r="N1681" s="67" t="s">
        <v>1</v>
      </c>
      <c r="P1681" s="4"/>
      <c r="Q1681" s="4"/>
      <c r="R1681" s="4"/>
      <c r="S1681" s="4"/>
      <c r="T1681" s="4"/>
      <c r="U1681" s="4"/>
      <c r="V1681" s="4"/>
      <c r="W1681" s="4"/>
    </row>
    <row r="1682" spans="1:23" s="32" customFormat="1" hidden="1" x14ac:dyDescent="0.3">
      <c r="A1682" s="40" t="s">
        <v>21</v>
      </c>
      <c r="B1682" s="21">
        <v>46052</v>
      </c>
      <c r="C1682" s="40" t="s">
        <v>274</v>
      </c>
      <c r="D1682" s="262" t="s">
        <v>8</v>
      </c>
      <c r="E1682" s="274" t="s">
        <v>966</v>
      </c>
      <c r="F1682" s="264" t="s">
        <v>1081</v>
      </c>
      <c r="G1682" s="266">
        <v>46052</v>
      </c>
      <c r="H1682" s="266">
        <v>46053</v>
      </c>
      <c r="I1682" s="266"/>
      <c r="J1682" s="36"/>
      <c r="K1682" s="51">
        <v>0.35416666666666669</v>
      </c>
      <c r="L1682" s="51">
        <v>0.72916666666666663</v>
      </c>
      <c r="M1682" s="11">
        <f t="shared" si="26"/>
        <v>8.9999999999999982</v>
      </c>
      <c r="N1682" s="227" t="s">
        <v>1</v>
      </c>
      <c r="P1682" s="4"/>
      <c r="Q1682" s="4"/>
      <c r="R1682" s="4"/>
      <c r="S1682" s="4"/>
      <c r="T1682" s="4"/>
      <c r="U1682" s="4"/>
      <c r="V1682" s="4"/>
      <c r="W1682" s="4"/>
    </row>
    <row r="1683" spans="1:23" s="32" customFormat="1" hidden="1" x14ac:dyDescent="0.3">
      <c r="A1683" s="40" t="s">
        <v>21</v>
      </c>
      <c r="B1683" s="21">
        <v>46052</v>
      </c>
      <c r="C1683" s="40" t="s">
        <v>18</v>
      </c>
      <c r="D1683" s="263"/>
      <c r="E1683" s="263"/>
      <c r="F1683" s="265"/>
      <c r="G1683" s="267"/>
      <c r="H1683" s="267"/>
      <c r="I1683" s="267"/>
      <c r="J1683" s="37"/>
      <c r="K1683" s="51">
        <v>0.35416666666666669</v>
      </c>
      <c r="L1683" s="51">
        <v>0.72916666666666663</v>
      </c>
      <c r="M1683" s="11">
        <f t="shared" si="26"/>
        <v>8.9999999999999982</v>
      </c>
      <c r="N1683" s="228"/>
      <c r="P1683" s="4"/>
      <c r="Q1683" s="4"/>
      <c r="R1683" s="4"/>
      <c r="S1683" s="4"/>
      <c r="T1683" s="4"/>
      <c r="U1683" s="4"/>
      <c r="V1683" s="4"/>
      <c r="W1683" s="4"/>
    </row>
    <row r="1684" spans="1:23" s="32" customFormat="1" hidden="1" x14ac:dyDescent="0.3">
      <c r="A1684" s="40" t="s">
        <v>21</v>
      </c>
      <c r="B1684" s="21">
        <v>46052</v>
      </c>
      <c r="C1684" s="8" t="s">
        <v>771</v>
      </c>
      <c r="D1684" s="7" t="s">
        <v>43</v>
      </c>
      <c r="E1684" s="91" t="s">
        <v>927</v>
      </c>
      <c r="F1684" s="88" t="s">
        <v>59</v>
      </c>
      <c r="G1684" s="15">
        <v>46051</v>
      </c>
      <c r="H1684" s="15">
        <v>46052</v>
      </c>
      <c r="I1684" s="37"/>
      <c r="J1684" s="37"/>
      <c r="K1684" s="52">
        <v>0.27083333333333331</v>
      </c>
      <c r="L1684" s="52">
        <v>0.39583333333333331</v>
      </c>
      <c r="M1684" s="11">
        <f t="shared" si="26"/>
        <v>3</v>
      </c>
      <c r="N1684" s="66" t="s">
        <v>1</v>
      </c>
      <c r="P1684" s="4"/>
      <c r="Q1684" s="4"/>
      <c r="R1684" s="4"/>
      <c r="S1684" s="4"/>
      <c r="T1684" s="4"/>
      <c r="U1684" s="4"/>
      <c r="V1684" s="4"/>
      <c r="W1684" s="4"/>
    </row>
    <row r="1685" spans="1:23" s="32" customFormat="1" hidden="1" x14ac:dyDescent="0.3">
      <c r="A1685" s="40" t="s">
        <v>21</v>
      </c>
      <c r="B1685" s="21">
        <v>46052</v>
      </c>
      <c r="C1685" s="40" t="s">
        <v>56</v>
      </c>
      <c r="D1685" s="7" t="s">
        <v>27</v>
      </c>
      <c r="E1685" s="7" t="s">
        <v>1054</v>
      </c>
      <c r="F1685" s="88" t="s">
        <v>349</v>
      </c>
      <c r="G1685" s="36">
        <v>46052</v>
      </c>
      <c r="H1685" s="36">
        <v>46052</v>
      </c>
      <c r="I1685" s="36"/>
      <c r="J1685" s="36"/>
      <c r="K1685" s="51">
        <v>0.27083333333333331</v>
      </c>
      <c r="L1685" s="51">
        <v>0.41666666666666669</v>
      </c>
      <c r="M1685" s="11">
        <f t="shared" si="26"/>
        <v>3.5000000000000009</v>
      </c>
      <c r="N1685" s="42" t="s">
        <v>0</v>
      </c>
      <c r="P1685" s="4"/>
      <c r="Q1685" s="4"/>
      <c r="R1685" s="4"/>
      <c r="S1685" s="4"/>
      <c r="T1685" s="4"/>
      <c r="U1685" s="4"/>
      <c r="V1685" s="4"/>
      <c r="W1685" s="4"/>
    </row>
    <row r="1686" spans="1:23" s="32" customFormat="1" hidden="1" x14ac:dyDescent="0.3">
      <c r="A1686" s="40" t="s">
        <v>21</v>
      </c>
      <c r="B1686" s="21">
        <v>46052</v>
      </c>
      <c r="C1686" s="40" t="s">
        <v>118</v>
      </c>
      <c r="D1686" s="262" t="s">
        <v>54</v>
      </c>
      <c r="E1686" s="262" t="s">
        <v>688</v>
      </c>
      <c r="F1686" s="274" t="s">
        <v>1083</v>
      </c>
      <c r="G1686" s="266">
        <v>46052</v>
      </c>
      <c r="H1686" s="266">
        <v>46052</v>
      </c>
      <c r="I1686" s="266"/>
      <c r="J1686" s="36"/>
      <c r="K1686" s="51">
        <v>0.35416666666666669</v>
      </c>
      <c r="L1686" s="51">
        <v>0.72916666666666663</v>
      </c>
      <c r="M1686" s="11">
        <f t="shared" si="26"/>
        <v>8.9999999999999982</v>
      </c>
      <c r="N1686" s="227" t="s">
        <v>0</v>
      </c>
      <c r="P1686" s="4"/>
      <c r="Q1686" s="4"/>
      <c r="R1686" s="4"/>
      <c r="S1686" s="4"/>
      <c r="T1686" s="4"/>
      <c r="U1686" s="4"/>
      <c r="V1686" s="4"/>
      <c r="W1686" s="4"/>
    </row>
    <row r="1687" spans="1:23" s="32" customFormat="1" hidden="1" x14ac:dyDescent="0.3">
      <c r="A1687" s="40" t="s">
        <v>21</v>
      </c>
      <c r="B1687" s="21">
        <v>46052</v>
      </c>
      <c r="C1687" s="40" t="s">
        <v>34</v>
      </c>
      <c r="D1687" s="263"/>
      <c r="E1687" s="263"/>
      <c r="F1687" s="275"/>
      <c r="G1687" s="267"/>
      <c r="H1687" s="267"/>
      <c r="I1687" s="267"/>
      <c r="J1687" s="37"/>
      <c r="K1687" s="51">
        <v>0.35416666666666669</v>
      </c>
      <c r="L1687" s="51">
        <v>0.72916666666666663</v>
      </c>
      <c r="M1687" s="11">
        <f t="shared" si="26"/>
        <v>8.9999999999999982</v>
      </c>
      <c r="N1687" s="228"/>
      <c r="P1687" s="4"/>
      <c r="Q1687" s="4"/>
      <c r="R1687" s="4"/>
      <c r="S1687" s="4"/>
      <c r="T1687" s="4"/>
      <c r="U1687" s="4"/>
      <c r="V1687" s="4"/>
      <c r="W1687" s="4"/>
    </row>
    <row r="1688" spans="1:23" s="32" customFormat="1" hidden="1" x14ac:dyDescent="0.3">
      <c r="A1688" s="40" t="s">
        <v>21</v>
      </c>
      <c r="B1688" s="21">
        <v>46052</v>
      </c>
      <c r="C1688" s="40" t="s">
        <v>25</v>
      </c>
      <c r="D1688" s="40" t="s">
        <v>43</v>
      </c>
      <c r="E1688" s="40" t="s">
        <v>1031</v>
      </c>
      <c r="F1688" s="40" t="s">
        <v>1059</v>
      </c>
      <c r="G1688" s="41">
        <v>46052</v>
      </c>
      <c r="H1688" s="41">
        <v>46053</v>
      </c>
      <c r="I1688" s="41"/>
      <c r="J1688" s="41"/>
      <c r="K1688" s="51">
        <v>0.27083333333333331</v>
      </c>
      <c r="L1688" s="51">
        <v>0.64583333333333337</v>
      </c>
      <c r="M1688" s="11">
        <f t="shared" si="26"/>
        <v>9.0000000000000018</v>
      </c>
      <c r="N1688" s="67" t="s">
        <v>1</v>
      </c>
      <c r="P1688" s="4"/>
      <c r="Q1688" s="4"/>
      <c r="R1688" s="4"/>
      <c r="S1688" s="4"/>
      <c r="T1688" s="4"/>
      <c r="U1688" s="4"/>
      <c r="V1688" s="4"/>
      <c r="W1688" s="4"/>
    </row>
    <row r="1689" spans="1:23" s="32" customFormat="1" hidden="1" x14ac:dyDescent="0.3">
      <c r="A1689" s="8" t="s">
        <v>21</v>
      </c>
      <c r="B1689" s="19">
        <v>46052</v>
      </c>
      <c r="C1689" s="8" t="s">
        <v>55</v>
      </c>
      <c r="D1689" s="8" t="s">
        <v>54</v>
      </c>
      <c r="E1689" s="9" t="s">
        <v>1082</v>
      </c>
      <c r="F1689" s="8" t="s">
        <v>884</v>
      </c>
      <c r="G1689" s="37">
        <v>46052</v>
      </c>
      <c r="H1689" s="37">
        <v>46053</v>
      </c>
      <c r="I1689" s="37"/>
      <c r="J1689" s="37"/>
      <c r="K1689" s="52">
        <v>0.27083333333333331</v>
      </c>
      <c r="L1689" s="52">
        <v>0.64583333333333337</v>
      </c>
      <c r="M1689" s="11">
        <f t="shared" si="26"/>
        <v>9.0000000000000018</v>
      </c>
      <c r="N1689" s="66" t="s">
        <v>1</v>
      </c>
      <c r="P1689" s="4"/>
      <c r="Q1689" s="4"/>
      <c r="R1689" s="4"/>
      <c r="S1689" s="4"/>
      <c r="T1689" s="4"/>
      <c r="U1689" s="4"/>
      <c r="V1689" s="4"/>
      <c r="W1689" s="4"/>
    </row>
    <row r="1690" spans="1:23" s="32" customFormat="1" hidden="1" x14ac:dyDescent="0.3">
      <c r="A1690" s="22" t="s">
        <v>19</v>
      </c>
      <c r="B1690" s="21">
        <v>46052</v>
      </c>
      <c r="C1690" s="22" t="s">
        <v>7</v>
      </c>
      <c r="D1690" s="13" t="s">
        <v>8</v>
      </c>
      <c r="E1690" s="13" t="s">
        <v>876</v>
      </c>
      <c r="F1690" s="13" t="s">
        <v>115</v>
      </c>
      <c r="G1690" s="16">
        <v>46049</v>
      </c>
      <c r="H1690" s="16">
        <v>46052</v>
      </c>
      <c r="I1690" s="16"/>
      <c r="J1690" s="65"/>
      <c r="K1690" s="52">
        <v>0.35416666666666669</v>
      </c>
      <c r="L1690" s="51">
        <v>0.64583333333333337</v>
      </c>
      <c r="M1690" s="11">
        <f t="shared" si="26"/>
        <v>7</v>
      </c>
      <c r="N1690" s="67" t="s">
        <v>1</v>
      </c>
      <c r="P1690" s="4"/>
      <c r="Q1690" s="4"/>
      <c r="R1690" s="4"/>
      <c r="S1690" s="4"/>
      <c r="T1690" s="4"/>
      <c r="U1690" s="4"/>
      <c r="V1690" s="4"/>
      <c r="W1690" s="4"/>
    </row>
    <row r="1691" spans="1:23" s="32" customFormat="1" hidden="1" x14ac:dyDescent="0.3">
      <c r="A1691" s="22" t="s">
        <v>19</v>
      </c>
      <c r="B1691" s="21">
        <v>46052</v>
      </c>
      <c r="C1691" s="12" t="s">
        <v>9</v>
      </c>
      <c r="D1691" s="216" t="s">
        <v>8</v>
      </c>
      <c r="E1691" s="221" t="s">
        <v>1079</v>
      </c>
      <c r="F1691" s="221" t="s">
        <v>1080</v>
      </c>
      <c r="G1691" s="259">
        <v>46052</v>
      </c>
      <c r="H1691" s="259">
        <v>46052</v>
      </c>
      <c r="I1691" s="259"/>
      <c r="J1691" s="37"/>
      <c r="K1691" s="52">
        <v>0.35416666666666669</v>
      </c>
      <c r="L1691" s="52">
        <v>0.5625</v>
      </c>
      <c r="M1691" s="11">
        <f t="shared" si="26"/>
        <v>5</v>
      </c>
      <c r="N1691" s="224" t="s">
        <v>0</v>
      </c>
      <c r="P1691" s="4"/>
      <c r="Q1691" s="4"/>
      <c r="R1691" s="4"/>
      <c r="S1691" s="4"/>
      <c r="T1691" s="4"/>
      <c r="U1691" s="4"/>
      <c r="V1691" s="4"/>
      <c r="W1691" s="4"/>
    </row>
    <row r="1692" spans="1:23" s="32" customFormat="1" hidden="1" x14ac:dyDescent="0.3">
      <c r="A1692" s="22" t="s">
        <v>19</v>
      </c>
      <c r="B1692" s="21">
        <v>46052</v>
      </c>
      <c r="C1692" s="12" t="s">
        <v>208</v>
      </c>
      <c r="D1692" s="217"/>
      <c r="E1692" s="221"/>
      <c r="F1692" s="221"/>
      <c r="G1692" s="259"/>
      <c r="H1692" s="259"/>
      <c r="I1692" s="259"/>
      <c r="J1692" s="37"/>
      <c r="K1692" s="52">
        <v>0.35416666666666669</v>
      </c>
      <c r="L1692" s="52">
        <v>0.5625</v>
      </c>
      <c r="M1692" s="11">
        <f t="shared" si="26"/>
        <v>5</v>
      </c>
      <c r="N1692" s="225"/>
      <c r="P1692" s="4"/>
      <c r="Q1692" s="4"/>
      <c r="R1692" s="4"/>
      <c r="S1692" s="4"/>
      <c r="T1692" s="4"/>
      <c r="U1692" s="4"/>
      <c r="V1692" s="4"/>
      <c r="W1692" s="4"/>
    </row>
    <row r="1693" spans="1:23" s="32" customFormat="1" hidden="1" x14ac:dyDescent="0.3">
      <c r="A1693" s="22" t="s">
        <v>20</v>
      </c>
      <c r="B1693" s="21">
        <v>46052</v>
      </c>
      <c r="C1693" s="69" t="s">
        <v>1003</v>
      </c>
      <c r="D1693" s="214" t="s">
        <v>44</v>
      </c>
      <c r="E1693" s="233" t="s">
        <v>1074</v>
      </c>
      <c r="F1693" s="238" t="s">
        <v>1075</v>
      </c>
      <c r="G1693" s="266">
        <v>46052</v>
      </c>
      <c r="H1693" s="266">
        <v>46055</v>
      </c>
      <c r="I1693" s="266"/>
      <c r="J1693" s="15"/>
      <c r="K1693" s="52">
        <v>0.27083333333333331</v>
      </c>
      <c r="L1693" s="52">
        <v>0.72916666666666663</v>
      </c>
      <c r="M1693" s="11">
        <f t="shared" si="26"/>
        <v>11</v>
      </c>
      <c r="N1693" s="224" t="s">
        <v>0</v>
      </c>
      <c r="P1693" s="4"/>
      <c r="Q1693" s="4"/>
      <c r="R1693" s="4"/>
      <c r="S1693" s="4"/>
      <c r="T1693" s="4"/>
      <c r="U1693" s="4"/>
      <c r="V1693" s="4"/>
      <c r="W1693" s="4"/>
    </row>
    <row r="1694" spans="1:23" s="32" customFormat="1" hidden="1" x14ac:dyDescent="0.3">
      <c r="A1694" s="22" t="s">
        <v>20</v>
      </c>
      <c r="B1694" s="21">
        <v>46052</v>
      </c>
      <c r="C1694" s="69" t="s">
        <v>421</v>
      </c>
      <c r="D1694" s="215"/>
      <c r="E1694" s="233"/>
      <c r="F1694" s="238"/>
      <c r="G1694" s="267"/>
      <c r="H1694" s="267"/>
      <c r="I1694" s="267"/>
      <c r="J1694" s="37"/>
      <c r="K1694" s="51">
        <v>0.27083333333333331</v>
      </c>
      <c r="L1694" s="51">
        <v>0.64583333333333337</v>
      </c>
      <c r="M1694" s="11">
        <f t="shared" si="26"/>
        <v>9.0000000000000018</v>
      </c>
      <c r="N1694" s="228"/>
      <c r="P1694" s="4"/>
      <c r="Q1694" s="4"/>
      <c r="R1694" s="4"/>
      <c r="S1694" s="4"/>
      <c r="T1694" s="4"/>
      <c r="U1694" s="4"/>
      <c r="V1694" s="4"/>
      <c r="W1694" s="4"/>
    </row>
    <row r="1695" spans="1:23" s="32" customFormat="1" hidden="1" x14ac:dyDescent="0.3">
      <c r="A1695" s="22" t="s">
        <v>20</v>
      </c>
      <c r="B1695" s="21">
        <v>46052</v>
      </c>
      <c r="C1695" s="69" t="s">
        <v>14</v>
      </c>
      <c r="D1695" s="214" t="s">
        <v>44</v>
      </c>
      <c r="E1695" s="214" t="s">
        <v>248</v>
      </c>
      <c r="F1695" s="214" t="s">
        <v>497</v>
      </c>
      <c r="G1695" s="266">
        <v>46052</v>
      </c>
      <c r="H1695" s="266">
        <v>46054</v>
      </c>
      <c r="I1695" s="41"/>
      <c r="J1695" s="36"/>
      <c r="K1695" s="47">
        <v>0.35416666666666669</v>
      </c>
      <c r="L1695" s="48">
        <v>0.72916666666666663</v>
      </c>
      <c r="M1695" s="11">
        <f t="shared" si="26"/>
        <v>8.9999999999999982</v>
      </c>
      <c r="N1695" s="224" t="s">
        <v>0</v>
      </c>
      <c r="P1695" s="4"/>
      <c r="Q1695" s="4"/>
      <c r="R1695" s="4"/>
      <c r="S1695" s="4"/>
      <c r="T1695" s="4"/>
      <c r="U1695" s="4"/>
      <c r="V1695" s="4"/>
      <c r="W1695" s="4"/>
    </row>
    <row r="1696" spans="1:23" s="32" customFormat="1" hidden="1" x14ac:dyDescent="0.3">
      <c r="A1696" s="22" t="s">
        <v>20</v>
      </c>
      <c r="B1696" s="21">
        <v>46052</v>
      </c>
      <c r="C1696" s="69" t="s">
        <v>33</v>
      </c>
      <c r="D1696" s="215"/>
      <c r="E1696" s="215"/>
      <c r="F1696" s="215"/>
      <c r="G1696" s="267"/>
      <c r="H1696" s="267"/>
      <c r="I1696" s="41"/>
      <c r="J1696" s="36"/>
      <c r="K1696" s="47">
        <v>0.35416666666666669</v>
      </c>
      <c r="L1696" s="48">
        <v>0.72916666666666663</v>
      </c>
      <c r="M1696" s="11">
        <f t="shared" si="26"/>
        <v>8.9999999999999982</v>
      </c>
      <c r="N1696" s="228"/>
      <c r="P1696" s="4"/>
      <c r="Q1696" s="4"/>
      <c r="R1696" s="4"/>
      <c r="S1696" s="4"/>
      <c r="T1696" s="4"/>
      <c r="U1696" s="4"/>
      <c r="V1696" s="4"/>
      <c r="W1696" s="4"/>
    </row>
    <row r="1697" spans="1:23" s="32" customFormat="1" hidden="1" x14ac:dyDescent="0.3">
      <c r="A1697" s="22" t="s">
        <v>20</v>
      </c>
      <c r="B1697" s="21">
        <v>46052</v>
      </c>
      <c r="C1697" s="22" t="s">
        <v>167</v>
      </c>
      <c r="D1697" s="13" t="s">
        <v>65</v>
      </c>
      <c r="E1697" s="13" t="s">
        <v>158</v>
      </c>
      <c r="F1697" s="26" t="s">
        <v>1076</v>
      </c>
      <c r="G1697" s="41">
        <v>46052</v>
      </c>
      <c r="H1697" s="41">
        <v>46052</v>
      </c>
      <c r="I1697" s="41"/>
      <c r="J1697" s="41"/>
      <c r="K1697" s="45">
        <v>0.27083333333333331</v>
      </c>
      <c r="L1697" s="47">
        <v>0.39583333333333331</v>
      </c>
      <c r="M1697" s="11">
        <f t="shared" si="26"/>
        <v>3</v>
      </c>
      <c r="N1697" s="42" t="s">
        <v>0</v>
      </c>
      <c r="P1697" s="4"/>
      <c r="Q1697" s="4"/>
      <c r="R1697" s="4"/>
      <c r="S1697" s="4"/>
      <c r="T1697" s="4"/>
      <c r="U1697" s="4"/>
      <c r="V1697" s="4"/>
      <c r="W1697" s="4"/>
    </row>
    <row r="1698" spans="1:23" s="32" customFormat="1" hidden="1" x14ac:dyDescent="0.3">
      <c r="A1698" s="22" t="s">
        <v>20</v>
      </c>
      <c r="B1698" s="21">
        <v>46052</v>
      </c>
      <c r="C1698" s="22" t="s">
        <v>1023</v>
      </c>
      <c r="D1698" s="216" t="s">
        <v>65</v>
      </c>
      <c r="E1698" s="216" t="s">
        <v>1069</v>
      </c>
      <c r="F1698" s="243" t="s">
        <v>1077</v>
      </c>
      <c r="G1698" s="266">
        <v>46046</v>
      </c>
      <c r="H1698" s="266">
        <v>46052</v>
      </c>
      <c r="I1698" s="266"/>
      <c r="J1698" s="36"/>
      <c r="K1698" s="45">
        <v>0.27083333333333331</v>
      </c>
      <c r="L1698" s="48">
        <v>0.64583333333333337</v>
      </c>
      <c r="M1698" s="11">
        <f t="shared" si="26"/>
        <v>9.0000000000000018</v>
      </c>
      <c r="N1698" s="231" t="s">
        <v>0</v>
      </c>
      <c r="P1698" s="4"/>
      <c r="Q1698" s="4"/>
      <c r="R1698" s="4"/>
      <c r="S1698" s="4"/>
      <c r="T1698" s="4"/>
      <c r="U1698" s="4"/>
      <c r="V1698" s="4"/>
      <c r="W1698" s="4"/>
    </row>
    <row r="1699" spans="1:23" s="32" customFormat="1" hidden="1" x14ac:dyDescent="0.3">
      <c r="A1699" s="22" t="s">
        <v>20</v>
      </c>
      <c r="B1699" s="21">
        <v>46052</v>
      </c>
      <c r="C1699" s="69" t="s">
        <v>47</v>
      </c>
      <c r="D1699" s="217"/>
      <c r="E1699" s="217"/>
      <c r="F1699" s="244"/>
      <c r="G1699" s="267"/>
      <c r="H1699" s="267"/>
      <c r="I1699" s="267"/>
      <c r="J1699" s="15"/>
      <c r="K1699" s="47">
        <v>0.35416666666666669</v>
      </c>
      <c r="L1699" s="48">
        <v>0.72916666666666663</v>
      </c>
      <c r="M1699" s="11">
        <f t="shared" si="26"/>
        <v>8.9999999999999982</v>
      </c>
      <c r="N1699" s="228"/>
      <c r="P1699" s="4"/>
      <c r="Q1699" s="4"/>
      <c r="R1699" s="4"/>
      <c r="S1699" s="4"/>
      <c r="T1699" s="4"/>
      <c r="U1699" s="4"/>
      <c r="V1699" s="4"/>
      <c r="W1699" s="4"/>
    </row>
    <row r="1700" spans="1:23" s="32" customFormat="1" hidden="1" x14ac:dyDescent="0.3">
      <c r="A1700" s="22" t="s">
        <v>20</v>
      </c>
      <c r="B1700" s="21">
        <v>46052</v>
      </c>
      <c r="C1700" s="22" t="s">
        <v>17</v>
      </c>
      <c r="D1700" s="13" t="s">
        <v>65</v>
      </c>
      <c r="E1700" s="13" t="s">
        <v>988</v>
      </c>
      <c r="F1700" s="26" t="s">
        <v>162</v>
      </c>
      <c r="G1700" s="21">
        <v>46044</v>
      </c>
      <c r="H1700" s="41">
        <v>46052</v>
      </c>
      <c r="I1700" s="41"/>
      <c r="J1700" s="36"/>
      <c r="K1700" s="47">
        <v>0.27083333333333331</v>
      </c>
      <c r="L1700" s="48">
        <v>0.64583333333333337</v>
      </c>
      <c r="M1700" s="11">
        <f t="shared" si="26"/>
        <v>9.0000000000000018</v>
      </c>
      <c r="N1700" s="67" t="s">
        <v>1</v>
      </c>
      <c r="P1700" s="4"/>
      <c r="Q1700" s="4"/>
      <c r="R1700" s="4"/>
      <c r="S1700" s="4"/>
      <c r="T1700" s="4"/>
      <c r="U1700" s="4"/>
      <c r="V1700" s="4"/>
      <c r="W1700" s="4"/>
    </row>
    <row r="1701" spans="1:23" s="32" customFormat="1" ht="28.8" hidden="1" x14ac:dyDescent="0.3">
      <c r="A1701" s="22" t="s">
        <v>20</v>
      </c>
      <c r="B1701" s="21">
        <v>46052</v>
      </c>
      <c r="C1701" s="22" t="s">
        <v>167</v>
      </c>
      <c r="D1701" s="13" t="s">
        <v>65</v>
      </c>
      <c r="E1701" s="13" t="s">
        <v>1037</v>
      </c>
      <c r="F1701" s="26" t="s">
        <v>1078</v>
      </c>
      <c r="G1701" s="21">
        <v>46049</v>
      </c>
      <c r="H1701" s="41">
        <v>46052</v>
      </c>
      <c r="I1701" s="41"/>
      <c r="J1701" s="41"/>
      <c r="K1701" s="48">
        <v>0.39583333333333331</v>
      </c>
      <c r="L1701" s="48">
        <v>0.64583333333333337</v>
      </c>
      <c r="M1701" s="11">
        <f t="shared" si="26"/>
        <v>6.0000000000000018</v>
      </c>
      <c r="N1701" s="67" t="s">
        <v>1</v>
      </c>
      <c r="P1701" s="4"/>
      <c r="Q1701" s="4"/>
      <c r="R1701" s="4"/>
      <c r="S1701" s="4"/>
      <c r="T1701" s="4"/>
      <c r="U1701" s="4"/>
      <c r="V1701" s="4"/>
      <c r="W1701" s="4"/>
    </row>
    <row r="1702" spans="1:23" s="32" customFormat="1" hidden="1" x14ac:dyDescent="0.3">
      <c r="A1702" s="22" t="s">
        <v>20</v>
      </c>
      <c r="B1702" s="21">
        <v>46052</v>
      </c>
      <c r="C1702" s="22" t="s">
        <v>15</v>
      </c>
      <c r="D1702" s="216" t="s">
        <v>65</v>
      </c>
      <c r="E1702" s="216" t="s">
        <v>1089</v>
      </c>
      <c r="F1702" s="243" t="s">
        <v>1063</v>
      </c>
      <c r="G1702" s="219">
        <v>46049</v>
      </c>
      <c r="H1702" s="219">
        <v>46052</v>
      </c>
      <c r="I1702" s="219"/>
      <c r="J1702" s="17"/>
      <c r="K1702" s="47">
        <v>0.27083333333333331</v>
      </c>
      <c r="L1702" s="48">
        <v>0.64583333333333337</v>
      </c>
      <c r="M1702" s="11">
        <f t="shared" si="26"/>
        <v>9.0000000000000018</v>
      </c>
      <c r="N1702" s="231" t="s">
        <v>0</v>
      </c>
      <c r="P1702" s="4"/>
      <c r="Q1702" s="4"/>
      <c r="R1702" s="4"/>
      <c r="S1702" s="4"/>
      <c r="T1702" s="4"/>
      <c r="U1702" s="4"/>
      <c r="V1702" s="4"/>
      <c r="W1702" s="4"/>
    </row>
    <row r="1703" spans="1:23" s="32" customFormat="1" hidden="1" x14ac:dyDescent="0.3">
      <c r="A1703" s="22" t="s">
        <v>20</v>
      </c>
      <c r="B1703" s="21">
        <v>46052</v>
      </c>
      <c r="C1703" s="22" t="s">
        <v>31</v>
      </c>
      <c r="D1703" s="217"/>
      <c r="E1703" s="217"/>
      <c r="F1703" s="244"/>
      <c r="G1703" s="220"/>
      <c r="H1703" s="220"/>
      <c r="I1703" s="220"/>
      <c r="J1703" s="23"/>
      <c r="K1703" s="47">
        <v>0.54166666666666663</v>
      </c>
      <c r="L1703" s="48">
        <v>0.58333333333333337</v>
      </c>
      <c r="M1703" s="11">
        <f t="shared" si="26"/>
        <v>1.0000000000000018</v>
      </c>
      <c r="N1703" s="225"/>
      <c r="P1703" s="4"/>
      <c r="Q1703" s="4"/>
      <c r="R1703" s="4"/>
      <c r="S1703" s="4"/>
      <c r="T1703" s="4"/>
      <c r="U1703" s="4"/>
      <c r="V1703" s="4"/>
      <c r="W1703" s="4"/>
    </row>
    <row r="1704" spans="1:23" s="32" customFormat="1" hidden="1" x14ac:dyDescent="0.3">
      <c r="A1704" s="22" t="s">
        <v>20</v>
      </c>
      <c r="B1704" s="21">
        <v>46052</v>
      </c>
      <c r="C1704" s="22" t="s">
        <v>16</v>
      </c>
      <c r="D1704" s="221" t="s">
        <v>65</v>
      </c>
      <c r="E1704" s="233" t="s">
        <v>939</v>
      </c>
      <c r="F1704" s="245" t="s">
        <v>1049</v>
      </c>
      <c r="G1704" s="223">
        <v>46049</v>
      </c>
      <c r="H1704" s="223">
        <v>46052</v>
      </c>
      <c r="I1704" s="223"/>
      <c r="J1704" s="21"/>
      <c r="K1704" s="45">
        <v>0.27083333333333331</v>
      </c>
      <c r="L1704" s="48">
        <v>0.64583333333333337</v>
      </c>
      <c r="M1704" s="11">
        <f t="shared" si="26"/>
        <v>9.0000000000000018</v>
      </c>
      <c r="N1704" s="249" t="s">
        <v>0</v>
      </c>
      <c r="P1704" s="4"/>
      <c r="Q1704" s="4"/>
      <c r="R1704" s="4"/>
      <c r="S1704" s="4"/>
      <c r="T1704" s="4"/>
      <c r="U1704" s="4"/>
      <c r="V1704" s="4"/>
      <c r="W1704" s="4"/>
    </row>
    <row r="1705" spans="1:23" s="32" customFormat="1" hidden="1" x14ac:dyDescent="0.3">
      <c r="A1705" s="12" t="s">
        <v>20</v>
      </c>
      <c r="B1705" s="19">
        <v>46052</v>
      </c>
      <c r="C1705" s="12" t="s">
        <v>31</v>
      </c>
      <c r="D1705" s="217"/>
      <c r="E1705" s="215"/>
      <c r="F1705" s="244"/>
      <c r="G1705" s="220"/>
      <c r="H1705" s="220"/>
      <c r="I1705" s="220"/>
      <c r="J1705" s="19"/>
      <c r="K1705" s="46">
        <v>0.4375</v>
      </c>
      <c r="L1705" s="53">
        <v>0.5</v>
      </c>
      <c r="M1705" s="11">
        <f t="shared" si="26"/>
        <v>1.5</v>
      </c>
      <c r="N1705" s="228"/>
      <c r="P1705" s="4"/>
      <c r="Q1705" s="4"/>
      <c r="R1705" s="4"/>
      <c r="S1705" s="4"/>
      <c r="T1705" s="4"/>
      <c r="U1705" s="4"/>
      <c r="V1705" s="4"/>
      <c r="W1705" s="4"/>
    </row>
    <row r="1706" spans="1:23" s="32" customFormat="1" ht="15.6" hidden="1" x14ac:dyDescent="0.3">
      <c r="A1706" s="40" t="s">
        <v>21</v>
      </c>
      <c r="B1706" s="21">
        <v>46053</v>
      </c>
      <c r="C1706" s="40" t="s">
        <v>26</v>
      </c>
      <c r="D1706" s="40" t="s">
        <v>24</v>
      </c>
      <c r="E1706" s="40" t="s">
        <v>1012</v>
      </c>
      <c r="F1706" s="84" t="s">
        <v>1013</v>
      </c>
      <c r="G1706" s="41">
        <v>46048</v>
      </c>
      <c r="H1706" s="41">
        <v>46052</v>
      </c>
      <c r="I1706" s="85"/>
      <c r="J1706" s="85"/>
      <c r="K1706" s="51">
        <v>0.27083333333333331</v>
      </c>
      <c r="L1706" s="51">
        <v>0.64583333333333337</v>
      </c>
      <c r="M1706" s="11">
        <f t="shared" si="26"/>
        <v>9.0000000000000018</v>
      </c>
      <c r="N1706" s="67" t="s">
        <v>1</v>
      </c>
      <c r="P1706" s="4"/>
      <c r="Q1706" s="4"/>
      <c r="R1706" s="4"/>
      <c r="S1706" s="4"/>
      <c r="T1706" s="4"/>
      <c r="U1706" s="4"/>
      <c r="V1706" s="4"/>
      <c r="W1706" s="4"/>
    </row>
    <row r="1707" spans="1:23" s="32" customFormat="1" hidden="1" x14ac:dyDescent="0.3">
      <c r="A1707" s="10" t="s">
        <v>21</v>
      </c>
      <c r="B1707" s="17">
        <v>46053</v>
      </c>
      <c r="C1707" s="10" t="s">
        <v>26</v>
      </c>
      <c r="D1707" s="10" t="s">
        <v>24</v>
      </c>
      <c r="E1707" s="92" t="s">
        <v>1085</v>
      </c>
      <c r="F1707" s="13" t="s">
        <v>1084</v>
      </c>
      <c r="G1707" s="16">
        <v>46053</v>
      </c>
      <c r="H1707" s="16">
        <v>46053</v>
      </c>
      <c r="I1707" s="16"/>
      <c r="J1707" s="16"/>
      <c r="K1707" s="47">
        <v>0.27083333333333331</v>
      </c>
      <c r="L1707" s="49">
        <v>0.64583333333333337</v>
      </c>
      <c r="M1707" s="11">
        <f t="shared" si="26"/>
        <v>9.0000000000000018</v>
      </c>
      <c r="N1707" s="63" t="s">
        <v>1</v>
      </c>
      <c r="P1707" s="4"/>
      <c r="Q1707" s="4"/>
      <c r="R1707" s="4"/>
      <c r="S1707" s="4"/>
      <c r="T1707" s="4"/>
      <c r="U1707" s="4"/>
      <c r="V1707" s="4"/>
      <c r="W1707" s="4"/>
    </row>
    <row r="1708" spans="1:23" s="32" customFormat="1" hidden="1" x14ac:dyDescent="0.3">
      <c r="A1708" s="40" t="s">
        <v>21</v>
      </c>
      <c r="B1708" s="21">
        <v>46053</v>
      </c>
      <c r="C1708" s="40" t="s">
        <v>1086</v>
      </c>
      <c r="D1708" s="40" t="s">
        <v>43</v>
      </c>
      <c r="E1708" s="93" t="s">
        <v>1087</v>
      </c>
      <c r="F1708" s="40" t="s">
        <v>1088</v>
      </c>
      <c r="G1708" s="30">
        <v>46053</v>
      </c>
      <c r="H1708" s="30">
        <v>46053</v>
      </c>
      <c r="I1708" s="30"/>
      <c r="J1708" s="30"/>
      <c r="K1708" s="51">
        <v>0.27083333333333331</v>
      </c>
      <c r="L1708" s="51">
        <v>0.64583333333333337</v>
      </c>
      <c r="M1708" s="11">
        <f t="shared" si="26"/>
        <v>9.0000000000000018</v>
      </c>
      <c r="N1708" s="67" t="s">
        <v>1</v>
      </c>
      <c r="P1708" s="4"/>
      <c r="Q1708" s="4"/>
      <c r="R1708" s="4"/>
      <c r="S1708" s="4"/>
      <c r="T1708" s="4"/>
      <c r="U1708" s="4"/>
      <c r="V1708" s="4"/>
      <c r="W1708" s="4"/>
    </row>
    <row r="1709" spans="1:23" s="32" customFormat="1" ht="15.6" hidden="1" x14ac:dyDescent="0.3">
      <c r="A1709" s="40" t="s">
        <v>21</v>
      </c>
      <c r="B1709" s="21">
        <v>46053</v>
      </c>
      <c r="C1709" s="40" t="s">
        <v>50</v>
      </c>
      <c r="D1709" s="40" t="s">
        <v>24</v>
      </c>
      <c r="E1709" s="93" t="s">
        <v>829</v>
      </c>
      <c r="F1709" s="84" t="s">
        <v>947</v>
      </c>
      <c r="G1709" s="41">
        <v>46051</v>
      </c>
      <c r="H1709" s="41">
        <v>46053</v>
      </c>
      <c r="I1709" s="85"/>
      <c r="J1709" s="85"/>
      <c r="K1709" s="51">
        <v>0.35416666666666669</v>
      </c>
      <c r="L1709" s="51">
        <v>0.72916666666666663</v>
      </c>
      <c r="M1709" s="11">
        <f t="shared" si="26"/>
        <v>8.9999999999999982</v>
      </c>
      <c r="N1709" s="67" t="s">
        <v>1</v>
      </c>
      <c r="P1709" s="4"/>
      <c r="Q1709" s="4"/>
      <c r="R1709" s="4"/>
      <c r="S1709" s="4"/>
      <c r="T1709" s="4"/>
      <c r="U1709" s="4"/>
      <c r="V1709" s="4"/>
      <c r="W1709" s="4"/>
    </row>
    <row r="1710" spans="1:23" s="32" customFormat="1" ht="28.8" hidden="1" x14ac:dyDescent="0.3">
      <c r="A1710" s="40" t="s">
        <v>21</v>
      </c>
      <c r="B1710" s="21">
        <v>46053</v>
      </c>
      <c r="C1710" s="40" t="s">
        <v>37</v>
      </c>
      <c r="D1710" s="40" t="s">
        <v>24</v>
      </c>
      <c r="E1710" s="93" t="s">
        <v>948</v>
      </c>
      <c r="F1710" s="84" t="s">
        <v>1058</v>
      </c>
      <c r="G1710" s="41">
        <v>46051</v>
      </c>
      <c r="H1710" s="41">
        <v>46056</v>
      </c>
      <c r="I1710" s="41"/>
      <c r="J1710" s="41"/>
      <c r="K1710" s="51">
        <v>0.35416666666666669</v>
      </c>
      <c r="L1710" s="51">
        <v>0.72916666666666663</v>
      </c>
      <c r="M1710" s="11">
        <f t="shared" si="26"/>
        <v>8.9999999999999982</v>
      </c>
      <c r="N1710" s="67" t="s">
        <v>1</v>
      </c>
      <c r="P1710" s="4"/>
      <c r="Q1710" s="4"/>
      <c r="R1710" s="4"/>
      <c r="S1710" s="4"/>
      <c r="T1710" s="4"/>
      <c r="U1710" s="4"/>
      <c r="V1710" s="4"/>
      <c r="W1710" s="4"/>
    </row>
    <row r="1711" spans="1:23" s="32" customFormat="1" hidden="1" x14ac:dyDescent="0.3">
      <c r="A1711" s="40" t="s">
        <v>21</v>
      </c>
      <c r="B1711" s="21">
        <v>46053</v>
      </c>
      <c r="C1711" s="40" t="s">
        <v>274</v>
      </c>
      <c r="D1711" s="262" t="s">
        <v>8</v>
      </c>
      <c r="E1711" s="276" t="s">
        <v>966</v>
      </c>
      <c r="F1711" s="264" t="s">
        <v>1081</v>
      </c>
      <c r="G1711" s="266">
        <v>46052</v>
      </c>
      <c r="H1711" s="266">
        <v>46053</v>
      </c>
      <c r="I1711" s="266"/>
      <c r="J1711" s="36"/>
      <c r="K1711" s="51">
        <v>0.35416666666666669</v>
      </c>
      <c r="L1711" s="51">
        <v>0.72916666666666663</v>
      </c>
      <c r="M1711" s="11">
        <f t="shared" si="26"/>
        <v>8.9999999999999982</v>
      </c>
      <c r="N1711" s="227" t="s">
        <v>1</v>
      </c>
      <c r="P1711" s="4"/>
      <c r="Q1711" s="4"/>
      <c r="R1711" s="4"/>
      <c r="S1711" s="4"/>
      <c r="T1711" s="4"/>
      <c r="U1711" s="4"/>
      <c r="V1711" s="4"/>
      <c r="W1711" s="4"/>
    </row>
    <row r="1712" spans="1:23" s="32" customFormat="1" hidden="1" x14ac:dyDescent="0.3">
      <c r="A1712" s="40" t="s">
        <v>21</v>
      </c>
      <c r="B1712" s="21">
        <v>46053</v>
      </c>
      <c r="C1712" s="40" t="s">
        <v>18</v>
      </c>
      <c r="D1712" s="263"/>
      <c r="E1712" s="277"/>
      <c r="F1712" s="265"/>
      <c r="G1712" s="267"/>
      <c r="H1712" s="267"/>
      <c r="I1712" s="267"/>
      <c r="J1712" s="37"/>
      <c r="K1712" s="51">
        <v>0.35416666666666669</v>
      </c>
      <c r="L1712" s="51">
        <v>0.72916666666666663</v>
      </c>
      <c r="M1712" s="11">
        <f t="shared" si="26"/>
        <v>8.9999999999999982</v>
      </c>
      <c r="N1712" s="228"/>
      <c r="P1712" s="4"/>
      <c r="Q1712" s="4"/>
      <c r="R1712" s="4"/>
      <c r="S1712" s="4"/>
      <c r="T1712" s="4"/>
      <c r="U1712" s="4"/>
      <c r="V1712" s="4"/>
      <c r="W1712" s="4"/>
    </row>
    <row r="1713" spans="1:23" s="32" customFormat="1" hidden="1" x14ac:dyDescent="0.3">
      <c r="A1713" s="40" t="s">
        <v>21</v>
      </c>
      <c r="B1713" s="21">
        <v>46053</v>
      </c>
      <c r="C1713" s="8" t="s">
        <v>771</v>
      </c>
      <c r="D1713" s="7" t="s">
        <v>43</v>
      </c>
      <c r="E1713" s="94" t="s">
        <v>927</v>
      </c>
      <c r="F1713" s="88" t="s">
        <v>59</v>
      </c>
      <c r="G1713" s="15">
        <v>46051</v>
      </c>
      <c r="H1713" s="15">
        <v>46053</v>
      </c>
      <c r="I1713" s="37"/>
      <c r="J1713" s="37"/>
      <c r="K1713" s="52">
        <v>0.27083333333333331</v>
      </c>
      <c r="L1713" s="52">
        <v>0.39583333333333331</v>
      </c>
      <c r="M1713" s="11">
        <f t="shared" si="26"/>
        <v>3</v>
      </c>
      <c r="N1713" s="66" t="s">
        <v>1</v>
      </c>
      <c r="P1713" s="4"/>
      <c r="Q1713" s="4"/>
      <c r="R1713" s="4"/>
      <c r="S1713" s="4"/>
      <c r="T1713" s="4"/>
      <c r="U1713" s="4"/>
      <c r="V1713" s="4"/>
      <c r="W1713" s="4"/>
    </row>
    <row r="1714" spans="1:23" s="32" customFormat="1" hidden="1" x14ac:dyDescent="0.3">
      <c r="A1714" s="40" t="s">
        <v>21</v>
      </c>
      <c r="B1714" s="21">
        <v>46053</v>
      </c>
      <c r="C1714" s="40" t="s">
        <v>56</v>
      </c>
      <c r="D1714" s="7" t="s">
        <v>43</v>
      </c>
      <c r="E1714" s="94" t="s">
        <v>1087</v>
      </c>
      <c r="F1714" s="88" t="s">
        <v>884</v>
      </c>
      <c r="G1714" s="36">
        <v>46052</v>
      </c>
      <c r="H1714" s="15">
        <v>46053</v>
      </c>
      <c r="I1714" s="15">
        <v>46053</v>
      </c>
      <c r="J1714" s="15"/>
      <c r="K1714" s="51">
        <v>0.27083333333333331</v>
      </c>
      <c r="L1714" s="51">
        <v>0.64583333333333337</v>
      </c>
      <c r="M1714" s="11">
        <f t="shared" si="26"/>
        <v>9.0000000000000018</v>
      </c>
      <c r="N1714" s="42" t="s">
        <v>0</v>
      </c>
      <c r="P1714" s="4"/>
      <c r="Q1714" s="4"/>
      <c r="R1714" s="4"/>
      <c r="S1714" s="4"/>
      <c r="T1714" s="4"/>
      <c r="U1714" s="4"/>
      <c r="V1714" s="4"/>
      <c r="W1714" s="4"/>
    </row>
    <row r="1715" spans="1:23" s="32" customFormat="1" hidden="1" x14ac:dyDescent="0.3">
      <c r="A1715" s="40" t="s">
        <v>21</v>
      </c>
      <c r="B1715" s="21">
        <v>46053</v>
      </c>
      <c r="C1715" s="40" t="s">
        <v>34</v>
      </c>
      <c r="D1715" s="272"/>
      <c r="E1715" s="280" t="s">
        <v>688</v>
      </c>
      <c r="F1715" s="272" t="s">
        <v>1100</v>
      </c>
      <c r="G1715" s="268">
        <v>46053</v>
      </c>
      <c r="H1715" s="268">
        <v>46053</v>
      </c>
      <c r="I1715" s="268">
        <v>46053</v>
      </c>
      <c r="J1715" s="15"/>
      <c r="K1715" s="51">
        <v>0.35416666666666669</v>
      </c>
      <c r="L1715" s="51">
        <v>0.72916666666666663</v>
      </c>
      <c r="M1715" s="11">
        <f t="shared" si="26"/>
        <v>8.9999999999999982</v>
      </c>
      <c r="N1715" s="278" t="s">
        <v>0</v>
      </c>
      <c r="P1715" s="4"/>
      <c r="Q1715" s="4"/>
      <c r="R1715" s="4"/>
      <c r="S1715" s="4"/>
      <c r="T1715" s="4"/>
      <c r="U1715" s="4"/>
      <c r="V1715" s="4"/>
      <c r="W1715" s="4"/>
    </row>
    <row r="1716" spans="1:23" s="32" customFormat="1" hidden="1" x14ac:dyDescent="0.3">
      <c r="A1716" s="40" t="s">
        <v>21</v>
      </c>
      <c r="B1716" s="21">
        <v>46053</v>
      </c>
      <c r="C1716" s="40" t="s">
        <v>118</v>
      </c>
      <c r="D1716" s="263"/>
      <c r="E1716" s="277"/>
      <c r="F1716" s="263"/>
      <c r="G1716" s="263"/>
      <c r="H1716" s="263"/>
      <c r="I1716" s="263"/>
      <c r="J1716" s="8"/>
      <c r="K1716" s="51">
        <v>0.35416666666666669</v>
      </c>
      <c r="L1716" s="51">
        <v>0.72916666666666663</v>
      </c>
      <c r="M1716" s="11">
        <f t="shared" si="26"/>
        <v>8.9999999999999982</v>
      </c>
      <c r="N1716" s="279"/>
      <c r="P1716" s="4"/>
      <c r="Q1716" s="4"/>
      <c r="R1716" s="4"/>
      <c r="S1716" s="4"/>
      <c r="T1716" s="4"/>
      <c r="U1716" s="4"/>
      <c r="V1716" s="4"/>
      <c r="W1716" s="4"/>
    </row>
    <row r="1717" spans="1:23" s="32" customFormat="1" hidden="1" x14ac:dyDescent="0.3">
      <c r="A1717" s="40" t="s">
        <v>21</v>
      </c>
      <c r="B1717" s="21">
        <v>46053</v>
      </c>
      <c r="C1717" s="40" t="s">
        <v>25</v>
      </c>
      <c r="D1717" s="40" t="s">
        <v>43</v>
      </c>
      <c r="E1717" s="93" t="s">
        <v>1031</v>
      </c>
      <c r="F1717" s="40" t="s">
        <v>1063</v>
      </c>
      <c r="G1717" s="41">
        <v>46052</v>
      </c>
      <c r="H1717" s="41">
        <v>46053</v>
      </c>
      <c r="I1717" s="41"/>
      <c r="J1717" s="41"/>
      <c r="K1717" s="51">
        <v>0.27083333333333331</v>
      </c>
      <c r="L1717" s="51">
        <v>0.375</v>
      </c>
      <c r="M1717" s="11">
        <f t="shared" si="26"/>
        <v>2.5000000000000004</v>
      </c>
      <c r="N1717" s="67" t="s">
        <v>1</v>
      </c>
      <c r="P1717" s="4"/>
      <c r="Q1717" s="4"/>
      <c r="R1717" s="4"/>
      <c r="S1717" s="4"/>
      <c r="T1717" s="4"/>
      <c r="U1717" s="4"/>
      <c r="V1717" s="4"/>
      <c r="W1717" s="4"/>
    </row>
    <row r="1718" spans="1:23" s="32" customFormat="1" hidden="1" x14ac:dyDescent="0.3">
      <c r="A1718" s="8" t="s">
        <v>21</v>
      </c>
      <c r="B1718" s="19">
        <v>46053</v>
      </c>
      <c r="C1718" s="8" t="s">
        <v>55</v>
      </c>
      <c r="D1718" s="8" t="s">
        <v>54</v>
      </c>
      <c r="E1718" s="95" t="s">
        <v>1082</v>
      </c>
      <c r="F1718" s="8" t="s">
        <v>884</v>
      </c>
      <c r="G1718" s="37">
        <v>46052</v>
      </c>
      <c r="H1718" s="37">
        <v>46053</v>
      </c>
      <c r="I1718" s="37"/>
      <c r="J1718" s="37"/>
      <c r="K1718" s="52">
        <v>0.27083333333333331</v>
      </c>
      <c r="L1718" s="52">
        <v>0.64583333333333337</v>
      </c>
      <c r="M1718" s="11">
        <f t="shared" si="26"/>
        <v>9.0000000000000018</v>
      </c>
      <c r="N1718" s="66" t="s">
        <v>1</v>
      </c>
      <c r="P1718" s="4"/>
      <c r="Q1718" s="4"/>
      <c r="R1718" s="4"/>
      <c r="S1718" s="4"/>
      <c r="T1718" s="4"/>
      <c r="U1718" s="4"/>
      <c r="V1718" s="4"/>
      <c r="W1718" s="4"/>
    </row>
    <row r="1719" spans="1:23" s="32" customFormat="1" hidden="1" x14ac:dyDescent="0.3">
      <c r="A1719" s="22" t="s">
        <v>19</v>
      </c>
      <c r="B1719" s="21">
        <v>46053</v>
      </c>
      <c r="C1719" s="22" t="s">
        <v>7</v>
      </c>
      <c r="D1719" s="13" t="s">
        <v>8</v>
      </c>
      <c r="E1719" s="13" t="s">
        <v>876</v>
      </c>
      <c r="F1719" s="13" t="s">
        <v>115</v>
      </c>
      <c r="G1719" s="16">
        <v>46049</v>
      </c>
      <c r="H1719" s="16">
        <v>46052</v>
      </c>
      <c r="I1719" s="16"/>
      <c r="J1719" s="65"/>
      <c r="K1719" s="52">
        <v>0.35416666666666669</v>
      </c>
      <c r="L1719" s="51">
        <v>0.64583333333333337</v>
      </c>
      <c r="M1719" s="11">
        <f t="shared" si="26"/>
        <v>7</v>
      </c>
      <c r="N1719" s="67" t="s">
        <v>1</v>
      </c>
      <c r="P1719" s="4"/>
      <c r="Q1719" s="4"/>
      <c r="R1719" s="4"/>
      <c r="S1719" s="4"/>
      <c r="T1719" s="4"/>
      <c r="U1719" s="4"/>
      <c r="V1719" s="4"/>
      <c r="W1719" s="4"/>
    </row>
    <row r="1720" spans="1:23" s="32" customFormat="1" hidden="1" x14ac:dyDescent="0.3">
      <c r="A1720" s="22" t="s">
        <v>19</v>
      </c>
      <c r="B1720" s="21">
        <v>46053</v>
      </c>
      <c r="C1720" s="22" t="s">
        <v>9</v>
      </c>
      <c r="D1720" s="216" t="s">
        <v>8</v>
      </c>
      <c r="E1720" s="216" t="s">
        <v>73</v>
      </c>
      <c r="F1720" s="216" t="s">
        <v>1095</v>
      </c>
      <c r="G1720" s="218">
        <v>46053</v>
      </c>
      <c r="H1720" s="218">
        <v>46053</v>
      </c>
      <c r="I1720" s="218">
        <v>46053</v>
      </c>
      <c r="J1720" s="65"/>
      <c r="K1720" s="52">
        <v>0.27083333333333331</v>
      </c>
      <c r="L1720" s="52">
        <v>0.4375</v>
      </c>
      <c r="M1720" s="11">
        <f t="shared" si="26"/>
        <v>4</v>
      </c>
      <c r="N1720" s="224" t="s">
        <v>0</v>
      </c>
      <c r="P1720" s="4"/>
      <c r="Q1720" s="4"/>
      <c r="R1720" s="4"/>
      <c r="S1720" s="4"/>
      <c r="T1720" s="4"/>
      <c r="U1720" s="4"/>
      <c r="V1720" s="4"/>
      <c r="W1720" s="4"/>
    </row>
    <row r="1721" spans="1:23" s="32" customFormat="1" hidden="1" x14ac:dyDescent="0.3">
      <c r="A1721" s="22" t="s">
        <v>19</v>
      </c>
      <c r="B1721" s="21">
        <v>46053</v>
      </c>
      <c r="C1721" s="22" t="s">
        <v>208</v>
      </c>
      <c r="D1721" s="217"/>
      <c r="E1721" s="217"/>
      <c r="F1721" s="217"/>
      <c r="G1721" s="217"/>
      <c r="H1721" s="217"/>
      <c r="I1721" s="217"/>
      <c r="J1721" s="14"/>
      <c r="K1721" s="52">
        <v>0.35416666666666669</v>
      </c>
      <c r="L1721" s="52">
        <v>0.4375</v>
      </c>
      <c r="M1721" s="11">
        <f t="shared" si="26"/>
        <v>1.9999999999999996</v>
      </c>
      <c r="N1721" s="225"/>
      <c r="P1721" s="4"/>
      <c r="Q1721" s="4"/>
      <c r="R1721" s="4"/>
      <c r="S1721" s="4"/>
      <c r="T1721" s="4"/>
      <c r="U1721" s="4"/>
      <c r="V1721" s="4"/>
      <c r="W1721" s="4"/>
    </row>
    <row r="1722" spans="1:23" s="32" customFormat="1" hidden="1" x14ac:dyDescent="0.3">
      <c r="A1722" s="22" t="s">
        <v>19</v>
      </c>
      <c r="B1722" s="21">
        <v>46053</v>
      </c>
      <c r="C1722" s="22" t="s">
        <v>9</v>
      </c>
      <c r="D1722" s="20" t="s">
        <v>32</v>
      </c>
      <c r="E1722" s="14" t="s">
        <v>1096</v>
      </c>
      <c r="F1722" s="14" t="s">
        <v>1097</v>
      </c>
      <c r="G1722" s="37">
        <v>46053</v>
      </c>
      <c r="H1722" s="37">
        <v>46053</v>
      </c>
      <c r="I1722" s="37">
        <v>46053</v>
      </c>
      <c r="J1722" s="37"/>
      <c r="K1722" s="52">
        <v>0.4375</v>
      </c>
      <c r="L1722" s="52">
        <v>0.5625</v>
      </c>
      <c r="M1722" s="11">
        <f t="shared" si="26"/>
        <v>3</v>
      </c>
      <c r="N1722" s="34" t="s">
        <v>0</v>
      </c>
      <c r="P1722" s="4"/>
      <c r="Q1722" s="4"/>
      <c r="R1722" s="4"/>
      <c r="S1722" s="4"/>
      <c r="T1722" s="4"/>
      <c r="U1722" s="4"/>
      <c r="V1722" s="4"/>
      <c r="W1722" s="4"/>
    </row>
    <row r="1723" spans="1:23" s="32" customFormat="1" hidden="1" x14ac:dyDescent="0.3">
      <c r="A1723" s="22" t="s">
        <v>19</v>
      </c>
      <c r="B1723" s="21">
        <v>46053</v>
      </c>
      <c r="C1723" s="22" t="s">
        <v>9</v>
      </c>
      <c r="D1723" s="20" t="s">
        <v>8</v>
      </c>
      <c r="E1723" s="14" t="s">
        <v>1098</v>
      </c>
      <c r="F1723" s="14" t="s">
        <v>1099</v>
      </c>
      <c r="G1723" s="37">
        <v>46053</v>
      </c>
      <c r="H1723" s="37">
        <v>46053</v>
      </c>
      <c r="I1723" s="37">
        <v>46053</v>
      </c>
      <c r="J1723" s="37"/>
      <c r="K1723" s="52">
        <v>0.5625</v>
      </c>
      <c r="L1723" s="52">
        <v>0.64583333333333337</v>
      </c>
      <c r="M1723" s="11">
        <f t="shared" si="26"/>
        <v>2.0000000000000009</v>
      </c>
      <c r="N1723" s="34" t="s">
        <v>0</v>
      </c>
      <c r="P1723" s="4"/>
      <c r="Q1723" s="4"/>
      <c r="R1723" s="4"/>
      <c r="S1723" s="4"/>
      <c r="T1723" s="4"/>
      <c r="U1723" s="4"/>
      <c r="V1723" s="4"/>
      <c r="W1723" s="4"/>
    </row>
    <row r="1724" spans="1:23" s="32" customFormat="1" hidden="1" x14ac:dyDescent="0.3">
      <c r="A1724" s="22" t="s">
        <v>19</v>
      </c>
      <c r="B1724" s="21">
        <v>46053</v>
      </c>
      <c r="C1724" s="22" t="s">
        <v>9</v>
      </c>
      <c r="D1724" s="20" t="s">
        <v>27</v>
      </c>
      <c r="E1724" s="14" t="s">
        <v>82</v>
      </c>
      <c r="F1724" s="14" t="s">
        <v>82</v>
      </c>
      <c r="G1724" s="37">
        <v>46053</v>
      </c>
      <c r="H1724" s="37">
        <v>46053</v>
      </c>
      <c r="I1724" s="37">
        <v>46053</v>
      </c>
      <c r="J1724" s="37"/>
      <c r="K1724" s="52">
        <v>0.64583333333333337</v>
      </c>
      <c r="L1724" s="52">
        <v>0.72916666666666663</v>
      </c>
      <c r="M1724" s="11">
        <f t="shared" si="26"/>
        <v>1.9999999999999982</v>
      </c>
      <c r="N1724" s="34" t="s">
        <v>0</v>
      </c>
      <c r="P1724" s="4"/>
      <c r="Q1724" s="4"/>
      <c r="R1724" s="4"/>
      <c r="S1724" s="4"/>
      <c r="T1724" s="4"/>
      <c r="U1724" s="4"/>
      <c r="V1724" s="4"/>
      <c r="W1724" s="4"/>
    </row>
    <row r="1725" spans="1:23" s="32" customFormat="1" hidden="1" x14ac:dyDescent="0.3">
      <c r="A1725" s="22" t="s">
        <v>20</v>
      </c>
      <c r="B1725" s="21">
        <v>46053</v>
      </c>
      <c r="C1725" s="69" t="s">
        <v>1003</v>
      </c>
      <c r="D1725" s="214" t="s">
        <v>44</v>
      </c>
      <c r="E1725" s="233" t="s">
        <v>1074</v>
      </c>
      <c r="F1725" s="238" t="s">
        <v>1075</v>
      </c>
      <c r="G1725" s="266">
        <v>46052</v>
      </c>
      <c r="H1725" s="266">
        <v>46055</v>
      </c>
      <c r="I1725" s="266">
        <v>46055</v>
      </c>
      <c r="J1725" s="15"/>
      <c r="K1725" s="52">
        <v>0.27083333333333331</v>
      </c>
      <c r="L1725" s="52">
        <v>0.72916666666666663</v>
      </c>
      <c r="M1725" s="11">
        <f t="shared" si="26"/>
        <v>11</v>
      </c>
      <c r="N1725" s="224" t="s">
        <v>0</v>
      </c>
      <c r="P1725" s="4"/>
      <c r="Q1725" s="4"/>
      <c r="R1725" s="4"/>
      <c r="S1725" s="4"/>
      <c r="T1725" s="4"/>
      <c r="U1725" s="4"/>
      <c r="V1725" s="4"/>
      <c r="W1725" s="4"/>
    </row>
    <row r="1726" spans="1:23" s="32" customFormat="1" ht="15" hidden="1" customHeight="1" x14ac:dyDescent="0.3">
      <c r="A1726" s="22" t="s">
        <v>20</v>
      </c>
      <c r="B1726" s="21">
        <v>46053</v>
      </c>
      <c r="C1726" s="69" t="s">
        <v>421</v>
      </c>
      <c r="D1726" s="215"/>
      <c r="E1726" s="233"/>
      <c r="F1726" s="238"/>
      <c r="G1726" s="267"/>
      <c r="H1726" s="267"/>
      <c r="I1726" s="267"/>
      <c r="J1726" s="37"/>
      <c r="K1726" s="51">
        <v>0.27083333333333331</v>
      </c>
      <c r="L1726" s="51">
        <v>0.64583333333333337</v>
      </c>
      <c r="M1726" s="11">
        <f t="shared" si="26"/>
        <v>9.0000000000000018</v>
      </c>
      <c r="N1726" s="228"/>
      <c r="P1726" s="4"/>
      <c r="Q1726" s="4"/>
      <c r="R1726" s="4"/>
      <c r="S1726" s="4"/>
      <c r="T1726" s="4"/>
      <c r="U1726" s="4"/>
      <c r="V1726" s="4"/>
      <c r="W1726" s="4"/>
    </row>
    <row r="1727" spans="1:23" hidden="1" x14ac:dyDescent="0.3">
      <c r="A1727" s="22" t="s">
        <v>20</v>
      </c>
      <c r="B1727" s="21">
        <v>46053</v>
      </c>
      <c r="C1727" s="69" t="s">
        <v>14</v>
      </c>
      <c r="D1727" s="11" t="s">
        <v>44</v>
      </c>
      <c r="E1727" s="11" t="s">
        <v>248</v>
      </c>
      <c r="F1727" s="11" t="s">
        <v>497</v>
      </c>
      <c r="G1727" s="36">
        <v>46052</v>
      </c>
      <c r="H1727" s="36">
        <v>46054</v>
      </c>
      <c r="I1727" s="36">
        <v>46054</v>
      </c>
      <c r="J1727" s="36"/>
      <c r="K1727" s="47">
        <v>0.35416666666666669</v>
      </c>
      <c r="L1727" s="48">
        <v>0.72916666666666663</v>
      </c>
      <c r="M1727" s="11">
        <f t="shared" si="26"/>
        <v>8.9999999999999982</v>
      </c>
      <c r="N1727" s="42" t="s">
        <v>0</v>
      </c>
    </row>
    <row r="1728" spans="1:23" hidden="1" x14ac:dyDescent="0.3">
      <c r="A1728" s="22" t="s">
        <v>20</v>
      </c>
      <c r="B1728" s="21">
        <v>46053</v>
      </c>
      <c r="C1728" s="69" t="s">
        <v>33</v>
      </c>
      <c r="D1728" s="11" t="s">
        <v>44</v>
      </c>
      <c r="E1728" s="11" t="s">
        <v>1074</v>
      </c>
      <c r="F1728" s="11" t="s">
        <v>497</v>
      </c>
      <c r="G1728" s="36">
        <v>46052</v>
      </c>
      <c r="H1728" s="36">
        <v>46054</v>
      </c>
      <c r="I1728" s="36">
        <v>46054</v>
      </c>
      <c r="J1728" s="36"/>
      <c r="K1728" s="47">
        <v>0.35416666666666669</v>
      </c>
      <c r="L1728" s="48">
        <v>0.72916666666666663</v>
      </c>
      <c r="M1728" s="11">
        <f t="shared" si="26"/>
        <v>8.9999999999999982</v>
      </c>
      <c r="N1728" s="42" t="s">
        <v>0</v>
      </c>
    </row>
    <row r="1729" spans="1:23" hidden="1" x14ac:dyDescent="0.3">
      <c r="A1729" s="22" t="s">
        <v>20</v>
      </c>
      <c r="B1729" s="21">
        <v>46053</v>
      </c>
      <c r="C1729" s="69" t="s">
        <v>47</v>
      </c>
      <c r="D1729" s="14" t="s">
        <v>65</v>
      </c>
      <c r="E1729" s="14" t="s">
        <v>1090</v>
      </c>
      <c r="F1729" s="27" t="s">
        <v>396</v>
      </c>
      <c r="G1729" s="37">
        <v>46053</v>
      </c>
      <c r="H1729" s="37">
        <v>46053</v>
      </c>
      <c r="I1729" s="37">
        <v>46053</v>
      </c>
      <c r="J1729" s="15"/>
      <c r="K1729" s="47">
        <v>0.27083333333333331</v>
      </c>
      <c r="L1729" s="48">
        <v>0.64583333333333337</v>
      </c>
      <c r="M1729" s="11">
        <f t="shared" si="26"/>
        <v>9.0000000000000018</v>
      </c>
      <c r="N1729" s="43" t="s">
        <v>0</v>
      </c>
    </row>
    <row r="1730" spans="1:23" hidden="1" x14ac:dyDescent="0.3">
      <c r="A1730" s="22" t="s">
        <v>20</v>
      </c>
      <c r="B1730" s="21">
        <v>46053</v>
      </c>
      <c r="C1730" s="69" t="s">
        <v>1023</v>
      </c>
      <c r="D1730" s="14" t="s">
        <v>65</v>
      </c>
      <c r="E1730" s="20" t="s">
        <v>1091</v>
      </c>
      <c r="F1730" s="20" t="s">
        <v>1092</v>
      </c>
      <c r="G1730" s="37">
        <v>46053</v>
      </c>
      <c r="H1730" s="37">
        <v>46053</v>
      </c>
      <c r="I1730" s="37">
        <v>46053</v>
      </c>
      <c r="J1730" s="15"/>
      <c r="K1730" s="47">
        <v>0.35416666666666669</v>
      </c>
      <c r="L1730" s="45">
        <v>0.72916666666666663</v>
      </c>
      <c r="M1730" s="11">
        <f t="shared" ref="M1730:M1793" si="27">MOD(L1730-K1730,1)*24</f>
        <v>8.9999999999999982</v>
      </c>
      <c r="N1730" s="43" t="s">
        <v>0</v>
      </c>
    </row>
    <row r="1731" spans="1:23" hidden="1" x14ac:dyDescent="0.3">
      <c r="A1731" s="22" t="s">
        <v>20</v>
      </c>
      <c r="B1731" s="21">
        <v>46053</v>
      </c>
      <c r="C1731" s="22" t="s">
        <v>17</v>
      </c>
      <c r="D1731" s="13" t="s">
        <v>65</v>
      </c>
      <c r="E1731" s="13" t="s">
        <v>988</v>
      </c>
      <c r="F1731" s="13" t="s">
        <v>162</v>
      </c>
      <c r="G1731" s="21">
        <v>46044</v>
      </c>
      <c r="H1731" s="41">
        <v>46053</v>
      </c>
      <c r="I1731" s="41">
        <v>46053</v>
      </c>
      <c r="J1731" s="36"/>
      <c r="K1731" s="47">
        <v>0.27083333333333331</v>
      </c>
      <c r="L1731" s="48">
        <v>0.64583333333333337</v>
      </c>
      <c r="M1731" s="11">
        <f t="shared" si="27"/>
        <v>9.0000000000000018</v>
      </c>
      <c r="N1731" s="42" t="s">
        <v>0</v>
      </c>
    </row>
    <row r="1732" spans="1:23" hidden="1" x14ac:dyDescent="0.3">
      <c r="A1732" s="22" t="s">
        <v>20</v>
      </c>
      <c r="B1732" s="21">
        <v>46053</v>
      </c>
      <c r="C1732" s="22" t="s">
        <v>167</v>
      </c>
      <c r="D1732" s="13" t="s">
        <v>65</v>
      </c>
      <c r="E1732" s="13" t="s">
        <v>1037</v>
      </c>
      <c r="F1732" s="13" t="s">
        <v>1078</v>
      </c>
      <c r="G1732" s="21">
        <v>46049</v>
      </c>
      <c r="H1732" s="41">
        <v>46053</v>
      </c>
      <c r="I1732" s="41">
        <v>46053</v>
      </c>
      <c r="J1732" s="41"/>
      <c r="K1732" s="48">
        <v>0.39583333333333331</v>
      </c>
      <c r="L1732" s="48">
        <v>0.64583333333333337</v>
      </c>
      <c r="M1732" s="11">
        <f t="shared" si="27"/>
        <v>6.0000000000000018</v>
      </c>
      <c r="N1732" s="42" t="s">
        <v>0</v>
      </c>
    </row>
    <row r="1733" spans="1:23" hidden="1" x14ac:dyDescent="0.3">
      <c r="A1733" s="22" t="s">
        <v>20</v>
      </c>
      <c r="B1733" s="21">
        <v>46053</v>
      </c>
      <c r="C1733" s="22" t="s">
        <v>1093</v>
      </c>
      <c r="D1733" s="226" t="s">
        <v>65</v>
      </c>
      <c r="E1733" s="226" t="s">
        <v>936</v>
      </c>
      <c r="F1733" s="226" t="s">
        <v>162</v>
      </c>
      <c r="G1733" s="229">
        <v>46053</v>
      </c>
      <c r="H1733" s="229">
        <v>46053</v>
      </c>
      <c r="I1733" s="229">
        <v>46053</v>
      </c>
      <c r="J1733" s="23"/>
      <c r="K1733" s="47">
        <v>0.27083333333333331</v>
      </c>
      <c r="L1733" s="48">
        <v>0.64583333333333337</v>
      </c>
      <c r="M1733" s="11">
        <f t="shared" si="27"/>
        <v>9.0000000000000018</v>
      </c>
      <c r="N1733" s="231" t="s">
        <v>0</v>
      </c>
    </row>
    <row r="1734" spans="1:23" hidden="1" x14ac:dyDescent="0.3">
      <c r="A1734" s="22" t="s">
        <v>20</v>
      </c>
      <c r="B1734" s="21">
        <v>46053</v>
      </c>
      <c r="C1734" s="22" t="s">
        <v>31</v>
      </c>
      <c r="D1734" s="215"/>
      <c r="E1734" s="215"/>
      <c r="F1734" s="215"/>
      <c r="G1734" s="215"/>
      <c r="H1734" s="215"/>
      <c r="I1734" s="215"/>
      <c r="J1734" s="12"/>
      <c r="K1734" s="45">
        <v>0.4375</v>
      </c>
      <c r="L1734" s="48">
        <v>0.5</v>
      </c>
      <c r="M1734" s="11">
        <f t="shared" si="27"/>
        <v>1.5</v>
      </c>
      <c r="N1734" s="225"/>
    </row>
    <row r="1735" spans="1:23" hidden="1" x14ac:dyDescent="0.3">
      <c r="A1735" s="22" t="s">
        <v>20</v>
      </c>
      <c r="B1735" s="21">
        <v>46053</v>
      </c>
      <c r="C1735" s="22" t="s">
        <v>15</v>
      </c>
      <c r="D1735" s="24" t="s">
        <v>65</v>
      </c>
      <c r="E1735" s="22" t="s">
        <v>278</v>
      </c>
      <c r="F1735" s="24" t="s">
        <v>1094</v>
      </c>
      <c r="G1735" s="41">
        <v>46053</v>
      </c>
      <c r="H1735" s="41">
        <v>46053</v>
      </c>
      <c r="I1735" s="41">
        <v>46053</v>
      </c>
      <c r="J1735" s="41"/>
      <c r="K1735" s="45">
        <v>0.27083333333333331</v>
      </c>
      <c r="L1735" s="48">
        <v>0.64583333333333337</v>
      </c>
      <c r="M1735" s="11">
        <f t="shared" si="27"/>
        <v>9.0000000000000018</v>
      </c>
      <c r="N1735" s="42" t="s">
        <v>0</v>
      </c>
    </row>
    <row r="1736" spans="1:23" ht="15.6" hidden="1" x14ac:dyDescent="0.3">
      <c r="A1736" s="40" t="s">
        <v>21</v>
      </c>
      <c r="B1736" s="21">
        <v>46055</v>
      </c>
      <c r="C1736" s="40" t="s">
        <v>26</v>
      </c>
      <c r="D1736" s="40" t="s">
        <v>24</v>
      </c>
      <c r="E1736" s="40" t="s">
        <v>1101</v>
      </c>
      <c r="F1736" s="84" t="s">
        <v>349</v>
      </c>
      <c r="G1736" s="41">
        <v>46024</v>
      </c>
      <c r="H1736" s="41">
        <v>46024</v>
      </c>
      <c r="I1736" s="85"/>
      <c r="J1736" s="85"/>
      <c r="K1736" s="51">
        <v>0.27083333333333331</v>
      </c>
      <c r="L1736" s="51">
        <v>0.64583333333333337</v>
      </c>
      <c r="M1736" s="11">
        <f t="shared" si="27"/>
        <v>9.0000000000000018</v>
      </c>
      <c r="N1736" s="67" t="s">
        <v>1</v>
      </c>
    </row>
    <row r="1737" spans="1:23" hidden="1" x14ac:dyDescent="0.3">
      <c r="A1737" s="10" t="s">
        <v>21</v>
      </c>
      <c r="B1737" s="21">
        <v>46055</v>
      </c>
      <c r="C1737" s="40" t="s">
        <v>50</v>
      </c>
      <c r="D1737" s="10" t="s">
        <v>24</v>
      </c>
      <c r="E1737" s="92" t="s">
        <v>1102</v>
      </c>
      <c r="F1737" s="13" t="s">
        <v>1103</v>
      </c>
      <c r="G1737" s="41">
        <v>46024</v>
      </c>
      <c r="H1737" s="41">
        <v>46024</v>
      </c>
      <c r="I1737" s="16"/>
      <c r="J1737" s="16"/>
      <c r="K1737" s="51">
        <v>0.35416666666666669</v>
      </c>
      <c r="L1737" s="51">
        <v>0.72916666666666663</v>
      </c>
      <c r="M1737" s="11">
        <f t="shared" si="27"/>
        <v>8.9999999999999982</v>
      </c>
      <c r="N1737" s="63" t="s">
        <v>1</v>
      </c>
    </row>
    <row r="1738" spans="1:23" ht="28.8" hidden="1" x14ac:dyDescent="0.3">
      <c r="A1738" s="40" t="s">
        <v>21</v>
      </c>
      <c r="B1738" s="21">
        <v>46055</v>
      </c>
      <c r="C1738" s="40" t="s">
        <v>37</v>
      </c>
      <c r="D1738" s="40" t="s">
        <v>24</v>
      </c>
      <c r="E1738" s="93" t="s">
        <v>948</v>
      </c>
      <c r="F1738" s="84" t="s">
        <v>1058</v>
      </c>
      <c r="G1738" s="41">
        <v>46051</v>
      </c>
      <c r="H1738" s="41">
        <v>46056</v>
      </c>
      <c r="I1738" s="41"/>
      <c r="J1738" s="41"/>
      <c r="K1738" s="51">
        <v>0.35416666666666669</v>
      </c>
      <c r="L1738" s="51">
        <v>0.72916666666666663</v>
      </c>
      <c r="M1738" s="11">
        <f t="shared" si="27"/>
        <v>8.9999999999999982</v>
      </c>
      <c r="N1738" s="67" t="s">
        <v>1</v>
      </c>
    </row>
    <row r="1739" spans="1:23" hidden="1" x14ac:dyDescent="0.3">
      <c r="A1739" s="40" t="s">
        <v>21</v>
      </c>
      <c r="B1739" s="21">
        <v>46055</v>
      </c>
      <c r="C1739" s="40" t="s">
        <v>274</v>
      </c>
      <c r="D1739" s="262" t="s">
        <v>8</v>
      </c>
      <c r="E1739" s="276" t="s">
        <v>966</v>
      </c>
      <c r="F1739" s="264" t="s">
        <v>1081</v>
      </c>
      <c r="G1739" s="266">
        <v>46055</v>
      </c>
      <c r="H1739" s="266">
        <v>46055</v>
      </c>
      <c r="I1739" s="266">
        <v>46055</v>
      </c>
      <c r="J1739" s="36"/>
      <c r="K1739" s="51">
        <v>0.27083333333333331</v>
      </c>
      <c r="L1739" s="51">
        <v>0.72916666666666663</v>
      </c>
      <c r="M1739" s="11">
        <f t="shared" si="27"/>
        <v>11</v>
      </c>
      <c r="N1739" s="227" t="s">
        <v>0</v>
      </c>
    </row>
    <row r="1740" spans="1:23" hidden="1" x14ac:dyDescent="0.3">
      <c r="A1740" s="40" t="s">
        <v>21</v>
      </c>
      <c r="B1740" s="21">
        <v>46055</v>
      </c>
      <c r="C1740" s="40" t="s">
        <v>18</v>
      </c>
      <c r="D1740" s="263"/>
      <c r="E1740" s="277"/>
      <c r="F1740" s="265"/>
      <c r="G1740" s="267"/>
      <c r="H1740" s="267"/>
      <c r="I1740" s="267"/>
      <c r="J1740" s="37"/>
      <c r="K1740" s="51">
        <v>0.27083333333333331</v>
      </c>
      <c r="L1740" s="51">
        <v>0.72916666666666663</v>
      </c>
      <c r="M1740" s="11">
        <f t="shared" si="27"/>
        <v>11</v>
      </c>
      <c r="N1740" s="228"/>
    </row>
    <row r="1741" spans="1:23" hidden="1" x14ac:dyDescent="0.3">
      <c r="A1741" s="40" t="s">
        <v>21</v>
      </c>
      <c r="B1741" s="21">
        <v>46055</v>
      </c>
      <c r="C1741" s="8" t="s">
        <v>771</v>
      </c>
      <c r="D1741" s="262" t="s">
        <v>42</v>
      </c>
      <c r="E1741" s="276" t="s">
        <v>476</v>
      </c>
      <c r="F1741" s="264" t="s">
        <v>125</v>
      </c>
      <c r="G1741" s="266">
        <v>46055</v>
      </c>
      <c r="H1741" s="266">
        <v>46055</v>
      </c>
      <c r="I1741" s="266">
        <v>46055</v>
      </c>
      <c r="J1741" s="36"/>
      <c r="K1741" s="51">
        <v>0.27083333333333331</v>
      </c>
      <c r="L1741" s="51">
        <v>0.41666666666666669</v>
      </c>
      <c r="M1741" s="11">
        <f t="shared" si="27"/>
        <v>3.5000000000000009</v>
      </c>
      <c r="N1741" s="224" t="s">
        <v>0</v>
      </c>
    </row>
    <row r="1742" spans="1:23" hidden="1" x14ac:dyDescent="0.3">
      <c r="A1742" s="40" t="s">
        <v>21</v>
      </c>
      <c r="B1742" s="21">
        <v>46055</v>
      </c>
      <c r="C1742" s="8" t="s">
        <v>25</v>
      </c>
      <c r="D1742" s="272"/>
      <c r="E1742" s="277"/>
      <c r="F1742" s="265"/>
      <c r="G1742" s="267"/>
      <c r="H1742" s="267"/>
      <c r="I1742" s="267"/>
      <c r="J1742" s="37"/>
      <c r="K1742" s="51">
        <v>0.27083333333333331</v>
      </c>
      <c r="L1742" s="51">
        <v>0.41666666666666669</v>
      </c>
      <c r="M1742" s="11">
        <f t="shared" si="27"/>
        <v>3.5000000000000009</v>
      </c>
      <c r="N1742" s="225"/>
    </row>
    <row r="1743" spans="1:23" s="32" customFormat="1" hidden="1" x14ac:dyDescent="0.3">
      <c r="A1743" s="40" t="s">
        <v>21</v>
      </c>
      <c r="B1743" s="21">
        <v>46055</v>
      </c>
      <c r="C1743" s="40" t="s">
        <v>56</v>
      </c>
      <c r="D1743" s="7" t="s">
        <v>43</v>
      </c>
      <c r="E1743" s="93" t="s">
        <v>1087</v>
      </c>
      <c r="F1743" s="84" t="s">
        <v>884</v>
      </c>
      <c r="G1743" s="41">
        <v>46055</v>
      </c>
      <c r="H1743" s="41">
        <v>46056</v>
      </c>
      <c r="I1743" s="41"/>
      <c r="J1743" s="41"/>
      <c r="K1743" s="51">
        <v>0.27083333333333331</v>
      </c>
      <c r="L1743" s="51">
        <v>0.64583333333333337</v>
      </c>
      <c r="M1743" s="11">
        <f t="shared" si="27"/>
        <v>9.0000000000000018</v>
      </c>
      <c r="N1743" s="67" t="s">
        <v>1</v>
      </c>
      <c r="P1743" s="4"/>
      <c r="Q1743" s="4"/>
      <c r="R1743" s="4"/>
      <c r="S1743" s="4"/>
      <c r="T1743" s="4"/>
      <c r="U1743" s="4"/>
      <c r="V1743" s="4"/>
      <c r="W1743" s="4"/>
    </row>
    <row r="1744" spans="1:23" s="32" customFormat="1" hidden="1" x14ac:dyDescent="0.3">
      <c r="A1744" s="40" t="s">
        <v>21</v>
      </c>
      <c r="B1744" s="21">
        <v>46055</v>
      </c>
      <c r="C1744" s="40" t="s">
        <v>34</v>
      </c>
      <c r="D1744" s="272" t="s">
        <v>54</v>
      </c>
      <c r="E1744" s="280" t="s">
        <v>688</v>
      </c>
      <c r="F1744" s="272" t="s">
        <v>1104</v>
      </c>
      <c r="G1744" s="266">
        <v>46055</v>
      </c>
      <c r="H1744" s="266">
        <v>46055</v>
      </c>
      <c r="I1744" s="266">
        <v>46055</v>
      </c>
      <c r="J1744" s="15"/>
      <c r="K1744" s="52">
        <v>0.35416666666666669</v>
      </c>
      <c r="L1744" s="52">
        <v>0.72916666666666663</v>
      </c>
      <c r="M1744" s="11">
        <f t="shared" si="27"/>
        <v>8.9999999999999982</v>
      </c>
      <c r="N1744" s="278" t="s">
        <v>0</v>
      </c>
      <c r="P1744" s="4"/>
      <c r="Q1744" s="4"/>
      <c r="R1744" s="4"/>
      <c r="S1744" s="4"/>
      <c r="T1744" s="4"/>
      <c r="U1744" s="4"/>
      <c r="V1744" s="4"/>
      <c r="W1744" s="4"/>
    </row>
    <row r="1745" spans="1:23" s="32" customFormat="1" hidden="1" x14ac:dyDescent="0.3">
      <c r="A1745" s="40" t="s">
        <v>21</v>
      </c>
      <c r="B1745" s="21">
        <v>46055</v>
      </c>
      <c r="C1745" s="40" t="s">
        <v>118</v>
      </c>
      <c r="D1745" s="263"/>
      <c r="E1745" s="277"/>
      <c r="F1745" s="263"/>
      <c r="G1745" s="267"/>
      <c r="H1745" s="267"/>
      <c r="I1745" s="267"/>
      <c r="J1745" s="37"/>
      <c r="K1745" s="51">
        <v>0.35416666666666669</v>
      </c>
      <c r="L1745" s="51">
        <v>0.72916666666666663</v>
      </c>
      <c r="M1745" s="11">
        <f t="shared" si="27"/>
        <v>8.9999999999999982</v>
      </c>
      <c r="N1745" s="279"/>
      <c r="P1745" s="4"/>
      <c r="Q1745" s="4"/>
      <c r="R1745" s="4"/>
      <c r="S1745" s="4"/>
      <c r="T1745" s="4"/>
      <c r="U1745" s="4"/>
      <c r="V1745" s="4"/>
      <c r="W1745" s="4"/>
    </row>
    <row r="1746" spans="1:23" s="32" customFormat="1" hidden="1" x14ac:dyDescent="0.3">
      <c r="A1746" s="8" t="s">
        <v>21</v>
      </c>
      <c r="B1746" s="21">
        <v>46055</v>
      </c>
      <c r="C1746" s="8" t="s">
        <v>55</v>
      </c>
      <c r="D1746" s="8" t="s">
        <v>54</v>
      </c>
      <c r="E1746" s="95" t="s">
        <v>1082</v>
      </c>
      <c r="F1746" s="8" t="s">
        <v>884</v>
      </c>
      <c r="G1746" s="37">
        <v>46055</v>
      </c>
      <c r="H1746" s="37">
        <v>46055</v>
      </c>
      <c r="I1746" s="37">
        <v>46055</v>
      </c>
      <c r="J1746" s="37"/>
      <c r="K1746" s="52">
        <v>0.27083333333333331</v>
      </c>
      <c r="L1746" s="52">
        <v>0.64583333333333337</v>
      </c>
      <c r="M1746" s="11">
        <f t="shared" si="27"/>
        <v>9.0000000000000018</v>
      </c>
      <c r="N1746" s="43" t="s">
        <v>0</v>
      </c>
      <c r="P1746" s="4"/>
      <c r="Q1746" s="4"/>
      <c r="R1746" s="4"/>
      <c r="S1746" s="4"/>
      <c r="T1746" s="4"/>
      <c r="U1746" s="4"/>
      <c r="V1746" s="4"/>
      <c r="W1746" s="4"/>
    </row>
    <row r="1747" spans="1:23" s="32" customFormat="1" hidden="1" x14ac:dyDescent="0.3">
      <c r="A1747" s="22" t="s">
        <v>19</v>
      </c>
      <c r="B1747" s="21">
        <v>46055</v>
      </c>
      <c r="C1747" s="22" t="s">
        <v>7</v>
      </c>
      <c r="D1747" s="13" t="s">
        <v>8</v>
      </c>
      <c r="E1747" s="13" t="s">
        <v>876</v>
      </c>
      <c r="F1747" s="13" t="s">
        <v>115</v>
      </c>
      <c r="G1747" s="16">
        <v>46049</v>
      </c>
      <c r="H1747" s="37">
        <v>46055</v>
      </c>
      <c r="I1747" s="37">
        <v>46055</v>
      </c>
      <c r="J1747" s="37"/>
      <c r="K1747" s="52">
        <v>0.35416666666666669</v>
      </c>
      <c r="L1747" s="51">
        <v>0.64583333333333337</v>
      </c>
      <c r="M1747" s="11">
        <f t="shared" si="27"/>
        <v>7</v>
      </c>
      <c r="N1747" s="42" t="s">
        <v>0</v>
      </c>
      <c r="P1747" s="4"/>
      <c r="Q1747" s="4"/>
      <c r="R1747" s="4"/>
      <c r="S1747" s="4"/>
      <c r="T1747" s="4"/>
      <c r="U1747" s="4"/>
      <c r="V1747" s="4"/>
      <c r="W1747" s="4"/>
    </row>
    <row r="1748" spans="1:23" s="32" customFormat="1" hidden="1" x14ac:dyDescent="0.3">
      <c r="A1748" s="22" t="s">
        <v>19</v>
      </c>
      <c r="B1748" s="21">
        <v>46055</v>
      </c>
      <c r="C1748" s="22" t="s">
        <v>9</v>
      </c>
      <c r="D1748" s="216" t="s">
        <v>8</v>
      </c>
      <c r="E1748" s="216" t="s">
        <v>1112</v>
      </c>
      <c r="F1748" s="216" t="s">
        <v>1109</v>
      </c>
      <c r="G1748" s="266">
        <v>46055</v>
      </c>
      <c r="H1748" s="266">
        <v>46055</v>
      </c>
      <c r="I1748" s="218"/>
      <c r="J1748" s="65"/>
      <c r="K1748" s="52">
        <v>0.35416666666666669</v>
      </c>
      <c r="L1748" s="52">
        <v>0.72916666666666663</v>
      </c>
      <c r="M1748" s="11">
        <f t="shared" si="27"/>
        <v>8.9999999999999982</v>
      </c>
      <c r="N1748" s="246" t="s">
        <v>30</v>
      </c>
      <c r="P1748" s="4"/>
      <c r="Q1748" s="4"/>
      <c r="R1748" s="4"/>
      <c r="S1748" s="4"/>
      <c r="T1748" s="4"/>
      <c r="U1748" s="4"/>
      <c r="V1748" s="4"/>
      <c r="W1748" s="4"/>
    </row>
    <row r="1749" spans="1:23" s="32" customFormat="1" hidden="1" x14ac:dyDescent="0.3">
      <c r="A1749" s="22" t="s">
        <v>19</v>
      </c>
      <c r="B1749" s="21">
        <v>46055</v>
      </c>
      <c r="C1749" s="22" t="s">
        <v>1111</v>
      </c>
      <c r="D1749" s="217"/>
      <c r="E1749" s="217"/>
      <c r="F1749" s="217"/>
      <c r="G1749" s="267"/>
      <c r="H1749" s="267"/>
      <c r="I1749" s="217"/>
      <c r="J1749" s="14"/>
      <c r="K1749" s="52">
        <v>0.35416666666666669</v>
      </c>
      <c r="L1749" s="52">
        <v>0.72916666666666663</v>
      </c>
      <c r="M1749" s="11">
        <f t="shared" si="27"/>
        <v>8.9999999999999982</v>
      </c>
      <c r="N1749" s="247"/>
      <c r="P1749" s="4"/>
      <c r="Q1749" s="4"/>
      <c r="R1749" s="4"/>
      <c r="S1749" s="4"/>
      <c r="T1749" s="4"/>
      <c r="U1749" s="4"/>
      <c r="V1749" s="4"/>
      <c r="W1749" s="4"/>
    </row>
    <row r="1750" spans="1:23" s="32" customFormat="1" hidden="1" x14ac:dyDescent="0.3">
      <c r="A1750" s="22" t="s">
        <v>19</v>
      </c>
      <c r="B1750" s="21">
        <v>46055</v>
      </c>
      <c r="C1750" s="22" t="s">
        <v>9</v>
      </c>
      <c r="D1750" s="20" t="s">
        <v>8</v>
      </c>
      <c r="E1750" s="14" t="s">
        <v>876</v>
      </c>
      <c r="F1750" s="14" t="s">
        <v>1113</v>
      </c>
      <c r="G1750" s="37">
        <v>46055</v>
      </c>
      <c r="H1750" s="37">
        <v>46055</v>
      </c>
      <c r="I1750" s="37">
        <v>46055</v>
      </c>
      <c r="J1750" s="37"/>
      <c r="K1750" s="52">
        <v>0.1875</v>
      </c>
      <c r="L1750" s="52">
        <v>0.72916666666666663</v>
      </c>
      <c r="M1750" s="11">
        <f t="shared" si="27"/>
        <v>13</v>
      </c>
      <c r="N1750" s="42" t="s">
        <v>0</v>
      </c>
      <c r="P1750" s="4"/>
      <c r="Q1750" s="4"/>
      <c r="R1750" s="4"/>
      <c r="S1750" s="4"/>
      <c r="T1750" s="4"/>
      <c r="U1750" s="4"/>
      <c r="V1750" s="4"/>
      <c r="W1750" s="4"/>
    </row>
    <row r="1751" spans="1:23" s="32" customFormat="1" hidden="1" x14ac:dyDescent="0.3">
      <c r="A1751" s="22" t="s">
        <v>20</v>
      </c>
      <c r="B1751" s="21">
        <v>46055</v>
      </c>
      <c r="C1751" s="69" t="s">
        <v>1003</v>
      </c>
      <c r="D1751" s="214" t="s">
        <v>44</v>
      </c>
      <c r="E1751" s="233" t="s">
        <v>1074</v>
      </c>
      <c r="F1751" s="238" t="s">
        <v>1105</v>
      </c>
      <c r="G1751" s="266">
        <v>46055</v>
      </c>
      <c r="H1751" s="266">
        <v>46055</v>
      </c>
      <c r="I1751" s="266">
        <v>46055</v>
      </c>
      <c r="J1751" s="15"/>
      <c r="K1751" s="52">
        <v>0.27083333333333331</v>
      </c>
      <c r="L1751" s="51">
        <v>0.64583333333333337</v>
      </c>
      <c r="M1751" s="11">
        <f t="shared" si="27"/>
        <v>9.0000000000000018</v>
      </c>
      <c r="N1751" s="224" t="s">
        <v>0</v>
      </c>
      <c r="P1751" s="4"/>
      <c r="Q1751" s="4"/>
      <c r="R1751" s="4"/>
      <c r="S1751" s="4"/>
      <c r="T1751" s="4"/>
      <c r="U1751" s="4"/>
      <c r="V1751" s="4"/>
      <c r="W1751" s="4"/>
    </row>
    <row r="1752" spans="1:23" s="32" customFormat="1" hidden="1" x14ac:dyDescent="0.3">
      <c r="A1752" s="22" t="s">
        <v>20</v>
      </c>
      <c r="B1752" s="21">
        <v>46055</v>
      </c>
      <c r="C1752" s="69" t="s">
        <v>421</v>
      </c>
      <c r="D1752" s="215"/>
      <c r="E1752" s="233"/>
      <c r="F1752" s="238"/>
      <c r="G1752" s="267"/>
      <c r="H1752" s="267"/>
      <c r="I1752" s="267"/>
      <c r="J1752" s="37"/>
      <c r="K1752" s="51">
        <v>0.27083333333333331</v>
      </c>
      <c r="L1752" s="51">
        <v>0.64583333333333337</v>
      </c>
      <c r="M1752" s="11">
        <f t="shared" si="27"/>
        <v>9.0000000000000018</v>
      </c>
      <c r="N1752" s="225"/>
      <c r="P1752" s="4"/>
      <c r="Q1752" s="4"/>
      <c r="R1752" s="4"/>
      <c r="S1752" s="4"/>
      <c r="T1752" s="4"/>
      <c r="U1752" s="4"/>
      <c r="V1752" s="4"/>
      <c r="W1752" s="4"/>
    </row>
    <row r="1753" spans="1:23" s="32" customFormat="1" hidden="1" x14ac:dyDescent="0.3">
      <c r="A1753" s="22" t="s">
        <v>20</v>
      </c>
      <c r="B1753" s="21">
        <v>46055</v>
      </c>
      <c r="C1753" s="69" t="s">
        <v>14</v>
      </c>
      <c r="D1753" s="11" t="s">
        <v>44</v>
      </c>
      <c r="E1753" s="214" t="s">
        <v>1106</v>
      </c>
      <c r="F1753" s="214" t="s">
        <v>1107</v>
      </c>
      <c r="G1753" s="266">
        <v>46055</v>
      </c>
      <c r="H1753" s="266">
        <v>46055</v>
      </c>
      <c r="I1753" s="266">
        <v>46055</v>
      </c>
      <c r="J1753" s="36"/>
      <c r="K1753" s="47">
        <v>0.35416666666666669</v>
      </c>
      <c r="L1753" s="48">
        <v>0.72916666666666663</v>
      </c>
      <c r="M1753" s="11">
        <f t="shared" si="27"/>
        <v>8.9999999999999982</v>
      </c>
      <c r="N1753" s="224" t="s">
        <v>0</v>
      </c>
      <c r="P1753" s="4"/>
      <c r="Q1753" s="4"/>
      <c r="R1753" s="4"/>
      <c r="S1753" s="4"/>
      <c r="T1753" s="4"/>
      <c r="U1753" s="4"/>
      <c r="V1753" s="4"/>
      <c r="W1753" s="4"/>
    </row>
    <row r="1754" spans="1:23" s="32" customFormat="1" hidden="1" x14ac:dyDescent="0.3">
      <c r="A1754" s="11" t="s">
        <v>20</v>
      </c>
      <c r="B1754" s="17">
        <v>46055</v>
      </c>
      <c r="C1754" s="76" t="s">
        <v>33</v>
      </c>
      <c r="D1754" s="11" t="s">
        <v>44</v>
      </c>
      <c r="E1754" s="226"/>
      <c r="F1754" s="226"/>
      <c r="G1754" s="268"/>
      <c r="H1754" s="268"/>
      <c r="I1754" s="268"/>
      <c r="J1754" s="15"/>
      <c r="K1754" s="47">
        <v>0.35416666666666669</v>
      </c>
      <c r="L1754" s="49">
        <v>0.72916666666666663</v>
      </c>
      <c r="M1754" s="11">
        <f t="shared" si="27"/>
        <v>8.9999999999999982</v>
      </c>
      <c r="N1754" s="231"/>
      <c r="P1754" s="4"/>
      <c r="Q1754" s="4"/>
      <c r="R1754" s="4"/>
      <c r="S1754" s="4"/>
      <c r="T1754" s="4"/>
      <c r="U1754" s="4"/>
      <c r="V1754" s="4"/>
      <c r="W1754" s="4"/>
    </row>
    <row r="1755" spans="1:23" s="32" customFormat="1" hidden="1" x14ac:dyDescent="0.3">
      <c r="A1755" s="22" t="s">
        <v>20</v>
      </c>
      <c r="B1755" s="21">
        <v>46055</v>
      </c>
      <c r="C1755" s="22" t="s">
        <v>47</v>
      </c>
      <c r="D1755" s="24" t="s">
        <v>65</v>
      </c>
      <c r="E1755" s="24" t="s">
        <v>1110</v>
      </c>
      <c r="F1755" s="25" t="s">
        <v>396</v>
      </c>
      <c r="G1755" s="41">
        <v>46055</v>
      </c>
      <c r="H1755" s="41">
        <v>46055</v>
      </c>
      <c r="I1755" s="41">
        <v>46055</v>
      </c>
      <c r="J1755" s="41"/>
      <c r="K1755" s="45">
        <v>0.27083333333333331</v>
      </c>
      <c r="L1755" s="48">
        <v>0.64583333333333337</v>
      </c>
      <c r="M1755" s="11">
        <f t="shared" si="27"/>
        <v>9.0000000000000018</v>
      </c>
      <c r="N1755" s="43" t="s">
        <v>0</v>
      </c>
      <c r="P1755" s="4"/>
      <c r="Q1755" s="4"/>
      <c r="R1755" s="4"/>
      <c r="S1755" s="4"/>
      <c r="T1755" s="4"/>
      <c r="U1755" s="4"/>
      <c r="V1755" s="4"/>
      <c r="W1755" s="4"/>
    </row>
    <row r="1756" spans="1:23" s="32" customFormat="1" hidden="1" x14ac:dyDescent="0.3">
      <c r="A1756" s="22" t="s">
        <v>20</v>
      </c>
      <c r="B1756" s="21">
        <v>46055</v>
      </c>
      <c r="C1756" s="69" t="s">
        <v>1023</v>
      </c>
      <c r="D1756" s="14" t="s">
        <v>65</v>
      </c>
      <c r="E1756" s="20" t="s">
        <v>1108</v>
      </c>
      <c r="F1756" s="20" t="s">
        <v>614</v>
      </c>
      <c r="G1756" s="37">
        <v>46055</v>
      </c>
      <c r="H1756" s="37">
        <v>46055</v>
      </c>
      <c r="I1756" s="37">
        <v>46055</v>
      </c>
      <c r="J1756" s="15"/>
      <c r="K1756" s="47">
        <v>0.35416666666666669</v>
      </c>
      <c r="L1756" s="45">
        <v>0.72916666666666663</v>
      </c>
      <c r="M1756" s="11">
        <f t="shared" si="27"/>
        <v>8.9999999999999982</v>
      </c>
      <c r="N1756" s="43" t="s">
        <v>0</v>
      </c>
      <c r="P1756" s="4"/>
      <c r="Q1756" s="4"/>
      <c r="R1756" s="4"/>
      <c r="S1756" s="4"/>
      <c r="T1756" s="4"/>
      <c r="U1756" s="4"/>
      <c r="V1756" s="4"/>
      <c r="W1756" s="4"/>
    </row>
    <row r="1757" spans="1:23" s="32" customFormat="1" hidden="1" x14ac:dyDescent="0.3">
      <c r="A1757" s="22" t="s">
        <v>20</v>
      </c>
      <c r="B1757" s="21">
        <v>46055</v>
      </c>
      <c r="C1757" s="22" t="s">
        <v>17</v>
      </c>
      <c r="D1757" s="13" t="s">
        <v>65</v>
      </c>
      <c r="E1757" s="20" t="s">
        <v>1108</v>
      </c>
      <c r="F1757" s="13" t="s">
        <v>1109</v>
      </c>
      <c r="G1757" s="37">
        <v>46055</v>
      </c>
      <c r="H1757" s="37">
        <v>46055</v>
      </c>
      <c r="I1757" s="37">
        <v>46055</v>
      </c>
      <c r="J1757" s="15"/>
      <c r="K1757" s="47">
        <v>0.27083333333333331</v>
      </c>
      <c r="L1757" s="48">
        <v>0.64583333333333337</v>
      </c>
      <c r="M1757" s="11">
        <f t="shared" si="27"/>
        <v>9.0000000000000018</v>
      </c>
      <c r="N1757" s="42" t="s">
        <v>0</v>
      </c>
      <c r="P1757" s="4"/>
      <c r="Q1757" s="4"/>
      <c r="R1757" s="4"/>
      <c r="S1757" s="4"/>
      <c r="T1757" s="4"/>
      <c r="U1757" s="4"/>
      <c r="V1757" s="4"/>
      <c r="W1757" s="4"/>
    </row>
    <row r="1758" spans="1:23" s="32" customFormat="1" hidden="1" x14ac:dyDescent="0.3">
      <c r="A1758" s="22" t="s">
        <v>20</v>
      </c>
      <c r="B1758" s="21">
        <v>46055</v>
      </c>
      <c r="C1758" s="22" t="s">
        <v>167</v>
      </c>
      <c r="D1758" s="13" t="s">
        <v>65</v>
      </c>
      <c r="E1758" s="13" t="s">
        <v>1037</v>
      </c>
      <c r="F1758" s="13" t="s">
        <v>934</v>
      </c>
      <c r="G1758" s="21">
        <v>46051</v>
      </c>
      <c r="H1758" s="37">
        <v>46055</v>
      </c>
      <c r="I1758" s="37">
        <v>46055</v>
      </c>
      <c r="J1758" s="15"/>
      <c r="K1758" s="47">
        <v>0.27083333333333331</v>
      </c>
      <c r="L1758" s="48">
        <v>0.64583333333333337</v>
      </c>
      <c r="M1758" s="11">
        <f t="shared" si="27"/>
        <v>9.0000000000000018</v>
      </c>
      <c r="N1758" s="42" t="s">
        <v>0</v>
      </c>
      <c r="P1758" s="4"/>
      <c r="Q1758" s="4"/>
      <c r="R1758" s="4"/>
      <c r="S1758" s="4"/>
      <c r="T1758" s="4"/>
      <c r="U1758" s="4"/>
      <c r="V1758" s="4"/>
      <c r="W1758" s="4"/>
    </row>
    <row r="1759" spans="1:23" s="32" customFormat="1" hidden="1" x14ac:dyDescent="0.3">
      <c r="A1759" s="22" t="s">
        <v>20</v>
      </c>
      <c r="B1759" s="21">
        <v>46055</v>
      </c>
      <c r="C1759" s="22" t="s">
        <v>1093</v>
      </c>
      <c r="D1759" s="226" t="s">
        <v>65</v>
      </c>
      <c r="E1759" s="226" t="s">
        <v>936</v>
      </c>
      <c r="F1759" s="226" t="s">
        <v>162</v>
      </c>
      <c r="G1759" s="229">
        <v>46053</v>
      </c>
      <c r="H1759" s="266">
        <v>46055</v>
      </c>
      <c r="I1759" s="266">
        <v>46055</v>
      </c>
      <c r="J1759" s="36"/>
      <c r="K1759" s="47">
        <v>0.27083333333333331</v>
      </c>
      <c r="L1759" s="48">
        <v>0.64583333333333337</v>
      </c>
      <c r="M1759" s="11">
        <f t="shared" si="27"/>
        <v>9.0000000000000018</v>
      </c>
      <c r="N1759" s="231" t="s">
        <v>0</v>
      </c>
      <c r="P1759" s="4"/>
      <c r="Q1759" s="4"/>
      <c r="R1759" s="4"/>
      <c r="S1759" s="4"/>
      <c r="T1759" s="4"/>
      <c r="U1759" s="4"/>
      <c r="V1759" s="4"/>
      <c r="W1759" s="4"/>
    </row>
    <row r="1760" spans="1:23" s="32" customFormat="1" hidden="1" x14ac:dyDescent="0.3">
      <c r="A1760" s="22" t="s">
        <v>20</v>
      </c>
      <c r="B1760" s="21">
        <v>46055</v>
      </c>
      <c r="C1760" s="22" t="s">
        <v>31</v>
      </c>
      <c r="D1760" s="215"/>
      <c r="E1760" s="215"/>
      <c r="F1760" s="215"/>
      <c r="G1760" s="215"/>
      <c r="H1760" s="268"/>
      <c r="I1760" s="268"/>
      <c r="J1760" s="15"/>
      <c r="K1760" s="47">
        <v>0.27083333333333331</v>
      </c>
      <c r="L1760" s="48">
        <v>0.64583333333333337</v>
      </c>
      <c r="M1760" s="11">
        <f t="shared" si="27"/>
        <v>9.0000000000000018</v>
      </c>
      <c r="N1760" s="225"/>
      <c r="P1760" s="4"/>
      <c r="Q1760" s="4"/>
      <c r="R1760" s="4"/>
      <c r="S1760" s="4"/>
      <c r="T1760" s="4"/>
      <c r="U1760" s="4"/>
      <c r="V1760" s="4"/>
      <c r="W1760" s="4"/>
    </row>
    <row r="1761" spans="1:23" s="32" customFormat="1" hidden="1" x14ac:dyDescent="0.3">
      <c r="A1761" s="22" t="s">
        <v>20</v>
      </c>
      <c r="B1761" s="21">
        <v>46055</v>
      </c>
      <c r="C1761" s="22" t="s">
        <v>15</v>
      </c>
      <c r="D1761" s="24" t="s">
        <v>65</v>
      </c>
      <c r="E1761" s="24" t="s">
        <v>1110</v>
      </c>
      <c r="F1761" s="24" t="s">
        <v>191</v>
      </c>
      <c r="G1761" s="37">
        <v>46055</v>
      </c>
      <c r="H1761" s="37">
        <v>46055</v>
      </c>
      <c r="I1761" s="37">
        <v>46055</v>
      </c>
      <c r="J1761" s="37"/>
      <c r="K1761" s="45">
        <v>0.27083333333333331</v>
      </c>
      <c r="L1761" s="48">
        <v>0.64583333333333337</v>
      </c>
      <c r="M1761" s="11">
        <f t="shared" si="27"/>
        <v>9.0000000000000018</v>
      </c>
      <c r="N1761" s="42" t="s">
        <v>0</v>
      </c>
      <c r="P1761" s="4"/>
      <c r="Q1761" s="4"/>
      <c r="R1761" s="4"/>
      <c r="S1761" s="4"/>
      <c r="T1761" s="4"/>
      <c r="U1761" s="4"/>
      <c r="V1761" s="4"/>
      <c r="W1761" s="4"/>
    </row>
    <row r="1762" spans="1:23" s="32" customFormat="1" ht="15.6" hidden="1" x14ac:dyDescent="0.3">
      <c r="A1762" s="40" t="s">
        <v>21</v>
      </c>
      <c r="B1762" s="21">
        <v>46056</v>
      </c>
      <c r="C1762" s="40" t="s">
        <v>26</v>
      </c>
      <c r="D1762" s="40" t="s">
        <v>24</v>
      </c>
      <c r="E1762" s="40" t="s">
        <v>1114</v>
      </c>
      <c r="F1762" s="84" t="s">
        <v>947</v>
      </c>
      <c r="G1762" s="41">
        <v>46025</v>
      </c>
      <c r="H1762" s="41">
        <v>46025</v>
      </c>
      <c r="I1762" s="85"/>
      <c r="J1762" s="85"/>
      <c r="K1762" s="51">
        <v>0.27083333333333331</v>
      </c>
      <c r="L1762" s="51">
        <v>0.64583333333333337</v>
      </c>
      <c r="M1762" s="11">
        <f t="shared" si="27"/>
        <v>9.0000000000000018</v>
      </c>
      <c r="N1762" s="67" t="s">
        <v>0</v>
      </c>
      <c r="P1762" s="4"/>
      <c r="Q1762" s="4"/>
      <c r="R1762" s="4"/>
      <c r="S1762" s="4"/>
      <c r="T1762" s="4"/>
      <c r="U1762" s="4"/>
      <c r="V1762" s="4"/>
      <c r="W1762" s="4"/>
    </row>
    <row r="1763" spans="1:23" s="32" customFormat="1" hidden="1" x14ac:dyDescent="0.3">
      <c r="A1763" s="10" t="s">
        <v>21</v>
      </c>
      <c r="B1763" s="21">
        <v>46056</v>
      </c>
      <c r="C1763" s="40" t="s">
        <v>50</v>
      </c>
      <c r="D1763" s="10" t="s">
        <v>24</v>
      </c>
      <c r="E1763" s="92" t="s">
        <v>1115</v>
      </c>
      <c r="F1763" s="13" t="s">
        <v>1103</v>
      </c>
      <c r="G1763" s="41">
        <v>46025</v>
      </c>
      <c r="H1763" s="41">
        <v>46025</v>
      </c>
      <c r="I1763" s="16"/>
      <c r="J1763" s="16"/>
      <c r="K1763" s="51">
        <v>0.35416666666666669</v>
      </c>
      <c r="L1763" s="51">
        <v>0.72916666666666663</v>
      </c>
      <c r="M1763" s="11">
        <f t="shared" si="27"/>
        <v>8.9999999999999982</v>
      </c>
      <c r="N1763" s="62" t="s">
        <v>0</v>
      </c>
      <c r="P1763" s="4"/>
      <c r="Q1763" s="4"/>
      <c r="R1763" s="4"/>
      <c r="S1763" s="4"/>
      <c r="T1763" s="4"/>
      <c r="U1763" s="4"/>
      <c r="V1763" s="4"/>
      <c r="W1763" s="4"/>
    </row>
    <row r="1764" spans="1:23" s="32" customFormat="1" ht="28.8" hidden="1" x14ac:dyDescent="0.3">
      <c r="A1764" s="40" t="s">
        <v>21</v>
      </c>
      <c r="B1764" s="21">
        <v>46056</v>
      </c>
      <c r="C1764" s="40" t="s">
        <v>37</v>
      </c>
      <c r="D1764" s="40" t="s">
        <v>24</v>
      </c>
      <c r="E1764" s="93" t="s">
        <v>948</v>
      </c>
      <c r="F1764" s="84" t="s">
        <v>1058</v>
      </c>
      <c r="G1764" s="41">
        <v>46051</v>
      </c>
      <c r="H1764" s="41">
        <v>46056</v>
      </c>
      <c r="I1764" s="41"/>
      <c r="J1764" s="41"/>
      <c r="K1764" s="51">
        <v>0.35416666666666669</v>
      </c>
      <c r="L1764" s="51">
        <v>0.72916666666666663</v>
      </c>
      <c r="M1764" s="11">
        <f t="shared" si="27"/>
        <v>8.9999999999999982</v>
      </c>
      <c r="N1764" s="67" t="s">
        <v>0</v>
      </c>
      <c r="P1764" s="4"/>
      <c r="Q1764" s="4"/>
      <c r="R1764" s="4"/>
      <c r="S1764" s="4"/>
      <c r="T1764" s="4"/>
      <c r="U1764" s="4"/>
      <c r="V1764" s="4"/>
      <c r="W1764" s="4"/>
    </row>
    <row r="1765" spans="1:23" s="32" customFormat="1" hidden="1" x14ac:dyDescent="0.3">
      <c r="A1765" s="40" t="s">
        <v>21</v>
      </c>
      <c r="B1765" s="21">
        <v>46056</v>
      </c>
      <c r="C1765" s="40" t="s">
        <v>274</v>
      </c>
      <c r="D1765" s="10" t="s">
        <v>27</v>
      </c>
      <c r="E1765" s="92" t="s">
        <v>1116</v>
      </c>
      <c r="F1765" s="38" t="s">
        <v>1117</v>
      </c>
      <c r="G1765" s="36">
        <v>46056</v>
      </c>
      <c r="H1765" s="36">
        <v>46056</v>
      </c>
      <c r="I1765" s="36"/>
      <c r="J1765" s="36"/>
      <c r="K1765" s="51">
        <v>0.27083333333333331</v>
      </c>
      <c r="L1765" s="51">
        <v>0.64583333333333337</v>
      </c>
      <c r="M1765" s="11">
        <f t="shared" si="27"/>
        <v>9.0000000000000018</v>
      </c>
      <c r="N1765" s="63" t="s">
        <v>0</v>
      </c>
      <c r="P1765" s="4"/>
      <c r="Q1765" s="4"/>
      <c r="R1765" s="4"/>
      <c r="S1765" s="4"/>
      <c r="T1765" s="4"/>
      <c r="U1765" s="4"/>
      <c r="V1765" s="4"/>
      <c r="W1765" s="4"/>
    </row>
    <row r="1766" spans="1:23" s="32" customFormat="1" hidden="1" x14ac:dyDescent="0.3">
      <c r="A1766" s="40" t="s">
        <v>21</v>
      </c>
      <c r="B1766" s="21">
        <v>46056</v>
      </c>
      <c r="C1766" s="40" t="s">
        <v>18</v>
      </c>
      <c r="D1766" s="10" t="s">
        <v>27</v>
      </c>
      <c r="E1766" s="92" t="s">
        <v>1118</v>
      </c>
      <c r="F1766" s="38" t="s">
        <v>1117</v>
      </c>
      <c r="G1766" s="36">
        <v>46056</v>
      </c>
      <c r="H1766" s="36">
        <v>46056</v>
      </c>
      <c r="I1766" s="37"/>
      <c r="J1766" s="37"/>
      <c r="K1766" s="52">
        <v>0.35416666666666669</v>
      </c>
      <c r="L1766" s="51">
        <v>0.72916666666666663</v>
      </c>
      <c r="M1766" s="11">
        <f t="shared" si="27"/>
        <v>8.9999999999999982</v>
      </c>
      <c r="N1766" s="63" t="s">
        <v>0</v>
      </c>
      <c r="P1766" s="4"/>
      <c r="Q1766" s="4"/>
      <c r="R1766" s="4"/>
      <c r="S1766" s="4"/>
      <c r="T1766" s="4"/>
      <c r="U1766" s="4"/>
      <c r="V1766" s="4"/>
      <c r="W1766" s="4"/>
    </row>
    <row r="1767" spans="1:23" s="32" customFormat="1" hidden="1" x14ac:dyDescent="0.3">
      <c r="A1767" s="40" t="s">
        <v>21</v>
      </c>
      <c r="B1767" s="21">
        <v>46056</v>
      </c>
      <c r="C1767" s="8" t="s">
        <v>771</v>
      </c>
      <c r="D1767" s="262" t="s">
        <v>42</v>
      </c>
      <c r="E1767" s="276" t="s">
        <v>1119</v>
      </c>
      <c r="F1767" s="264" t="s">
        <v>125</v>
      </c>
      <c r="G1767" s="266">
        <v>46056</v>
      </c>
      <c r="H1767" s="266">
        <v>46056</v>
      </c>
      <c r="I1767" s="266"/>
      <c r="J1767" s="36"/>
      <c r="K1767" s="51">
        <v>0.27083333333333331</v>
      </c>
      <c r="L1767" s="51">
        <v>0.41666666666666669</v>
      </c>
      <c r="M1767" s="11">
        <f t="shared" si="27"/>
        <v>3.5000000000000009</v>
      </c>
      <c r="N1767" s="224" t="s">
        <v>0</v>
      </c>
      <c r="P1767" s="4"/>
      <c r="Q1767" s="4"/>
      <c r="R1767" s="4"/>
      <c r="S1767" s="4"/>
      <c r="T1767" s="4"/>
      <c r="U1767" s="4"/>
      <c r="V1767" s="4"/>
      <c r="W1767" s="4"/>
    </row>
    <row r="1768" spans="1:23" s="32" customFormat="1" hidden="1" x14ac:dyDescent="0.3">
      <c r="A1768" s="40" t="s">
        <v>21</v>
      </c>
      <c r="B1768" s="21">
        <v>46056</v>
      </c>
      <c r="C1768" s="8" t="s">
        <v>25</v>
      </c>
      <c r="D1768" s="272"/>
      <c r="E1768" s="277"/>
      <c r="F1768" s="265"/>
      <c r="G1768" s="267"/>
      <c r="H1768" s="267"/>
      <c r="I1768" s="267"/>
      <c r="J1768" s="37"/>
      <c r="K1768" s="51">
        <v>0.27083333333333331</v>
      </c>
      <c r="L1768" s="51">
        <v>0.41666666666666669</v>
      </c>
      <c r="M1768" s="11">
        <f t="shared" si="27"/>
        <v>3.5000000000000009</v>
      </c>
      <c r="N1768" s="225"/>
      <c r="P1768" s="4"/>
      <c r="Q1768" s="4"/>
      <c r="R1768" s="4"/>
      <c r="S1768" s="4"/>
      <c r="T1768" s="4"/>
      <c r="U1768" s="4"/>
      <c r="V1768" s="4"/>
      <c r="W1768" s="4"/>
    </row>
    <row r="1769" spans="1:23" s="32" customFormat="1" hidden="1" x14ac:dyDescent="0.3">
      <c r="A1769" s="40" t="s">
        <v>21</v>
      </c>
      <c r="B1769" s="21">
        <v>46056</v>
      </c>
      <c r="C1769" s="40" t="s">
        <v>34</v>
      </c>
      <c r="D1769" s="272" t="s">
        <v>54</v>
      </c>
      <c r="E1769" s="280" t="s">
        <v>688</v>
      </c>
      <c r="F1769" s="272" t="s">
        <v>1120</v>
      </c>
      <c r="G1769" s="266">
        <v>46056</v>
      </c>
      <c r="H1769" s="266">
        <v>46056</v>
      </c>
      <c r="I1769" s="266"/>
      <c r="J1769" s="15"/>
      <c r="K1769" s="52">
        <v>0.35416666666666669</v>
      </c>
      <c r="L1769" s="52">
        <v>0.72916666666666663</v>
      </c>
      <c r="M1769" s="11">
        <f t="shared" si="27"/>
        <v>8.9999999999999982</v>
      </c>
      <c r="N1769" s="278" t="s">
        <v>0</v>
      </c>
      <c r="P1769" s="4"/>
      <c r="Q1769" s="4"/>
      <c r="R1769" s="4"/>
      <c r="S1769" s="4"/>
      <c r="T1769" s="4"/>
      <c r="U1769" s="4"/>
      <c r="V1769" s="4"/>
      <c r="W1769" s="4"/>
    </row>
    <row r="1770" spans="1:23" s="32" customFormat="1" hidden="1" x14ac:dyDescent="0.3">
      <c r="A1770" s="40" t="s">
        <v>21</v>
      </c>
      <c r="B1770" s="21">
        <v>46056</v>
      </c>
      <c r="C1770" s="40" t="s">
        <v>118</v>
      </c>
      <c r="D1770" s="263"/>
      <c r="E1770" s="277"/>
      <c r="F1770" s="263"/>
      <c r="G1770" s="267"/>
      <c r="H1770" s="267"/>
      <c r="I1770" s="267"/>
      <c r="J1770" s="37"/>
      <c r="K1770" s="51">
        <v>0.35416666666666669</v>
      </c>
      <c r="L1770" s="51">
        <v>0.72916666666666663</v>
      </c>
      <c r="M1770" s="11">
        <f t="shared" si="27"/>
        <v>8.9999999999999982</v>
      </c>
      <c r="N1770" s="279"/>
      <c r="P1770" s="4"/>
      <c r="Q1770" s="4"/>
      <c r="R1770" s="4"/>
      <c r="S1770" s="4"/>
      <c r="T1770" s="4"/>
      <c r="U1770" s="4"/>
      <c r="V1770" s="4"/>
      <c r="W1770" s="4"/>
    </row>
    <row r="1771" spans="1:23" s="32" customFormat="1" hidden="1" x14ac:dyDescent="0.3">
      <c r="A1771" s="8" t="s">
        <v>21</v>
      </c>
      <c r="B1771" s="21">
        <v>46056</v>
      </c>
      <c r="C1771" s="8" t="s">
        <v>55</v>
      </c>
      <c r="D1771" s="8" t="s">
        <v>42</v>
      </c>
      <c r="E1771" s="95" t="s">
        <v>1087</v>
      </c>
      <c r="F1771" s="8" t="s">
        <v>884</v>
      </c>
      <c r="G1771" s="37">
        <v>46056</v>
      </c>
      <c r="H1771" s="37">
        <v>46057</v>
      </c>
      <c r="I1771" s="37"/>
      <c r="J1771" s="37"/>
      <c r="K1771" s="52">
        <v>0.27083333333333331</v>
      </c>
      <c r="L1771" s="52">
        <v>0.64583333333333337</v>
      </c>
      <c r="M1771" s="11">
        <f t="shared" si="27"/>
        <v>9.0000000000000018</v>
      </c>
      <c r="N1771" s="43" t="s">
        <v>0</v>
      </c>
      <c r="P1771" s="4"/>
      <c r="Q1771" s="4"/>
      <c r="R1771" s="4"/>
      <c r="S1771" s="4"/>
      <c r="T1771" s="4"/>
      <c r="U1771" s="4"/>
      <c r="V1771" s="4"/>
      <c r="W1771" s="4"/>
    </row>
    <row r="1772" spans="1:23" s="32" customFormat="1" hidden="1" x14ac:dyDescent="0.3">
      <c r="A1772" s="22" t="s">
        <v>19</v>
      </c>
      <c r="B1772" s="21">
        <v>46056</v>
      </c>
      <c r="C1772" s="22" t="s">
        <v>7</v>
      </c>
      <c r="D1772" s="216" t="s">
        <v>8</v>
      </c>
      <c r="E1772" s="216" t="s">
        <v>876</v>
      </c>
      <c r="F1772" s="216" t="s">
        <v>1128</v>
      </c>
      <c r="G1772" s="218">
        <v>46049</v>
      </c>
      <c r="H1772" s="266">
        <v>46056</v>
      </c>
      <c r="I1772" s="37"/>
      <c r="J1772" s="37"/>
      <c r="K1772" s="52">
        <v>0.27083333333333331</v>
      </c>
      <c r="L1772" s="52">
        <v>0.64583333333333337</v>
      </c>
      <c r="M1772" s="11">
        <f t="shared" si="27"/>
        <v>9.0000000000000018</v>
      </c>
      <c r="N1772" s="246" t="s">
        <v>30</v>
      </c>
      <c r="P1772" s="4"/>
      <c r="Q1772" s="4"/>
      <c r="R1772" s="4"/>
      <c r="S1772" s="4"/>
      <c r="T1772" s="4"/>
      <c r="U1772" s="4"/>
      <c r="V1772" s="4"/>
      <c r="W1772" s="4"/>
    </row>
    <row r="1773" spans="1:23" s="32" customFormat="1" hidden="1" x14ac:dyDescent="0.3">
      <c r="A1773" s="22" t="s">
        <v>19</v>
      </c>
      <c r="B1773" s="21">
        <v>46056</v>
      </c>
      <c r="C1773" s="22" t="s">
        <v>208</v>
      </c>
      <c r="D1773" s="217"/>
      <c r="E1773" s="217"/>
      <c r="F1773" s="217"/>
      <c r="G1773" s="232"/>
      <c r="H1773" s="267"/>
      <c r="I1773" s="15"/>
      <c r="J1773" s="15"/>
      <c r="K1773" s="52">
        <v>0.27083333333333331</v>
      </c>
      <c r="L1773" s="52">
        <v>0.41666666666666669</v>
      </c>
      <c r="M1773" s="11">
        <f t="shared" si="27"/>
        <v>3.5000000000000009</v>
      </c>
      <c r="N1773" s="247"/>
      <c r="P1773" s="4"/>
      <c r="Q1773" s="4"/>
      <c r="R1773" s="4"/>
      <c r="S1773" s="4"/>
      <c r="T1773" s="4"/>
      <c r="U1773" s="4"/>
      <c r="V1773" s="4"/>
      <c r="W1773" s="4"/>
    </row>
    <row r="1774" spans="1:23" s="32" customFormat="1" hidden="1" x14ac:dyDescent="0.3">
      <c r="A1774" s="22" t="s">
        <v>19</v>
      </c>
      <c r="B1774" s="21">
        <v>46056</v>
      </c>
      <c r="C1774" s="22" t="s">
        <v>9</v>
      </c>
      <c r="D1774" s="216" t="s">
        <v>44</v>
      </c>
      <c r="E1774" s="216" t="s">
        <v>1129</v>
      </c>
      <c r="F1774" s="216" t="s">
        <v>985</v>
      </c>
      <c r="G1774" s="266">
        <v>46055</v>
      </c>
      <c r="H1774" s="266">
        <v>46056</v>
      </c>
      <c r="I1774" s="37"/>
      <c r="J1774" s="15"/>
      <c r="K1774" s="47">
        <v>0.35416666666666669</v>
      </c>
      <c r="L1774" s="52">
        <v>0.72916666666666663</v>
      </c>
      <c r="M1774" s="11">
        <f t="shared" si="27"/>
        <v>8.9999999999999982</v>
      </c>
      <c r="N1774" s="224" t="s">
        <v>0</v>
      </c>
      <c r="P1774" s="4"/>
      <c r="Q1774" s="4"/>
      <c r="R1774" s="4"/>
      <c r="S1774" s="4"/>
      <c r="T1774" s="4"/>
      <c r="U1774" s="4"/>
      <c r="V1774" s="4"/>
      <c r="W1774" s="4"/>
    </row>
    <row r="1775" spans="1:23" s="32" customFormat="1" hidden="1" x14ac:dyDescent="0.3">
      <c r="A1775" s="22" t="s">
        <v>19</v>
      </c>
      <c r="B1775" s="21">
        <v>46056</v>
      </c>
      <c r="C1775" s="22" t="s">
        <v>208</v>
      </c>
      <c r="D1775" s="217"/>
      <c r="E1775" s="217"/>
      <c r="F1775" s="217"/>
      <c r="G1775" s="267"/>
      <c r="H1775" s="267"/>
      <c r="I1775" s="15"/>
      <c r="J1775" s="15"/>
      <c r="K1775" s="52">
        <v>0.41666666666666669</v>
      </c>
      <c r="L1775" s="52">
        <v>0.64583333333333337</v>
      </c>
      <c r="M1775" s="11">
        <f t="shared" si="27"/>
        <v>5.5</v>
      </c>
      <c r="N1775" s="225"/>
      <c r="P1775" s="4"/>
      <c r="Q1775" s="4"/>
      <c r="R1775" s="4"/>
      <c r="S1775" s="4"/>
      <c r="T1775" s="4"/>
      <c r="U1775" s="4"/>
      <c r="V1775" s="4"/>
      <c r="W1775" s="4"/>
    </row>
    <row r="1776" spans="1:23" s="32" customFormat="1" hidden="1" x14ac:dyDescent="0.3">
      <c r="A1776" s="22" t="s">
        <v>20</v>
      </c>
      <c r="B1776" s="21">
        <v>46056</v>
      </c>
      <c r="C1776" s="69" t="s">
        <v>1003</v>
      </c>
      <c r="D1776" s="11" t="s">
        <v>44</v>
      </c>
      <c r="E1776" s="22" t="s">
        <v>1121</v>
      </c>
      <c r="F1776" s="31" t="s">
        <v>1122</v>
      </c>
      <c r="G1776" s="36">
        <v>46056</v>
      </c>
      <c r="H1776" s="36">
        <v>46060</v>
      </c>
      <c r="I1776" s="36"/>
      <c r="J1776" s="15"/>
      <c r="K1776" s="52">
        <v>0.27083333333333331</v>
      </c>
      <c r="L1776" s="51">
        <v>0.64583333333333337</v>
      </c>
      <c r="M1776" s="11">
        <f t="shared" si="27"/>
        <v>9.0000000000000018</v>
      </c>
      <c r="N1776" s="62" t="s">
        <v>0</v>
      </c>
      <c r="P1776" s="4"/>
      <c r="Q1776" s="4"/>
      <c r="R1776" s="4"/>
      <c r="S1776" s="4"/>
      <c r="T1776" s="4"/>
      <c r="U1776" s="4"/>
      <c r="V1776" s="4"/>
      <c r="W1776" s="4"/>
    </row>
    <row r="1777" spans="1:23" s="32" customFormat="1" hidden="1" x14ac:dyDescent="0.3">
      <c r="A1777" s="22" t="s">
        <v>20</v>
      </c>
      <c r="B1777" s="21">
        <v>46056</v>
      </c>
      <c r="C1777" s="69" t="s">
        <v>421</v>
      </c>
      <c r="D1777" s="11" t="s">
        <v>44</v>
      </c>
      <c r="E1777" s="22" t="s">
        <v>1123</v>
      </c>
      <c r="F1777" s="31" t="s">
        <v>1124</v>
      </c>
      <c r="G1777" s="36">
        <v>46056</v>
      </c>
      <c r="H1777" s="36">
        <v>46056</v>
      </c>
      <c r="I1777" s="37"/>
      <c r="J1777" s="37"/>
      <c r="K1777" s="51">
        <v>0.27083333333333331</v>
      </c>
      <c r="L1777" s="51">
        <v>0.64583333333333337</v>
      </c>
      <c r="M1777" s="11">
        <f t="shared" si="27"/>
        <v>9.0000000000000018</v>
      </c>
      <c r="N1777" s="62" t="s">
        <v>0</v>
      </c>
      <c r="P1777" s="4"/>
      <c r="Q1777" s="4"/>
      <c r="R1777" s="4"/>
      <c r="S1777" s="4"/>
      <c r="T1777" s="4"/>
      <c r="U1777" s="4"/>
      <c r="V1777" s="4"/>
      <c r="W1777" s="4"/>
    </row>
    <row r="1778" spans="1:23" s="32" customFormat="1" hidden="1" x14ac:dyDescent="0.3">
      <c r="A1778" s="22" t="s">
        <v>20</v>
      </c>
      <c r="B1778" s="21">
        <v>46056</v>
      </c>
      <c r="C1778" s="69" t="s">
        <v>14</v>
      </c>
      <c r="D1778" s="11" t="s">
        <v>44</v>
      </c>
      <c r="E1778" s="11" t="s">
        <v>1106</v>
      </c>
      <c r="F1778" s="11" t="s">
        <v>1107</v>
      </c>
      <c r="G1778" s="36">
        <v>46056</v>
      </c>
      <c r="H1778" s="36">
        <v>46056</v>
      </c>
      <c r="I1778" s="41"/>
      <c r="J1778" s="36"/>
      <c r="K1778" s="47">
        <v>0.35416666666666669</v>
      </c>
      <c r="L1778" s="48">
        <v>0.72916666666666663</v>
      </c>
      <c r="M1778" s="11">
        <f t="shared" si="27"/>
        <v>8.9999999999999982</v>
      </c>
      <c r="N1778" s="62" t="s">
        <v>0</v>
      </c>
      <c r="P1778" s="4"/>
      <c r="Q1778" s="4"/>
      <c r="R1778" s="4"/>
      <c r="S1778" s="4"/>
      <c r="T1778" s="4"/>
      <c r="U1778" s="4"/>
      <c r="V1778" s="4"/>
      <c r="W1778" s="4"/>
    </row>
    <row r="1779" spans="1:23" s="32" customFormat="1" hidden="1" x14ac:dyDescent="0.3">
      <c r="A1779" s="11" t="s">
        <v>20</v>
      </c>
      <c r="B1779" s="21">
        <v>46056</v>
      </c>
      <c r="C1779" s="22" t="s">
        <v>33</v>
      </c>
      <c r="D1779" s="22" t="s">
        <v>44</v>
      </c>
      <c r="E1779" s="22" t="s">
        <v>1125</v>
      </c>
      <c r="F1779" s="22" t="s">
        <v>1107</v>
      </c>
      <c r="G1779" s="41">
        <v>46056</v>
      </c>
      <c r="H1779" s="41">
        <v>46056</v>
      </c>
      <c r="I1779" s="41"/>
      <c r="J1779" s="41"/>
      <c r="K1779" s="45">
        <v>0.35416666666666669</v>
      </c>
      <c r="L1779" s="48">
        <v>0.72916666666666663</v>
      </c>
      <c r="M1779" s="11">
        <f t="shared" si="27"/>
        <v>8.9999999999999982</v>
      </c>
      <c r="N1779" s="42" t="s">
        <v>0</v>
      </c>
      <c r="P1779" s="4"/>
      <c r="Q1779" s="4"/>
      <c r="R1779" s="4"/>
      <c r="S1779" s="4"/>
      <c r="T1779" s="4"/>
      <c r="U1779" s="4"/>
      <c r="V1779" s="4"/>
      <c r="W1779" s="4"/>
    </row>
    <row r="1780" spans="1:23" s="32" customFormat="1" hidden="1" x14ac:dyDescent="0.3">
      <c r="A1780" s="22" t="s">
        <v>20</v>
      </c>
      <c r="B1780" s="21">
        <v>46056</v>
      </c>
      <c r="C1780" s="22" t="s">
        <v>47</v>
      </c>
      <c r="D1780" s="24" t="s">
        <v>65</v>
      </c>
      <c r="E1780" s="24" t="s">
        <v>1110</v>
      </c>
      <c r="F1780" s="25" t="s">
        <v>1126</v>
      </c>
      <c r="G1780" s="41">
        <v>46055</v>
      </c>
      <c r="H1780" s="41">
        <v>46056</v>
      </c>
      <c r="I1780" s="41"/>
      <c r="J1780" s="41"/>
      <c r="K1780" s="45">
        <v>0.27083333333333331</v>
      </c>
      <c r="L1780" s="48">
        <v>0.64583333333333337</v>
      </c>
      <c r="M1780" s="11">
        <f t="shared" si="27"/>
        <v>9.0000000000000018</v>
      </c>
      <c r="N1780" s="42" t="s">
        <v>0</v>
      </c>
      <c r="P1780" s="4"/>
      <c r="Q1780" s="4"/>
      <c r="R1780" s="4"/>
      <c r="S1780" s="4"/>
      <c r="T1780" s="4"/>
      <c r="U1780" s="4"/>
      <c r="V1780" s="4"/>
      <c r="W1780" s="4"/>
    </row>
    <row r="1781" spans="1:23" s="32" customFormat="1" hidden="1" x14ac:dyDescent="0.3">
      <c r="A1781" s="22" t="s">
        <v>20</v>
      </c>
      <c r="B1781" s="21">
        <v>46056</v>
      </c>
      <c r="C1781" s="22" t="s">
        <v>1023</v>
      </c>
      <c r="D1781" s="24" t="s">
        <v>65</v>
      </c>
      <c r="E1781" s="24" t="s">
        <v>1108</v>
      </c>
      <c r="F1781" s="24" t="s">
        <v>380</v>
      </c>
      <c r="G1781" s="41">
        <v>46055</v>
      </c>
      <c r="H1781" s="41">
        <v>46056</v>
      </c>
      <c r="I1781" s="41"/>
      <c r="J1781" s="41"/>
      <c r="K1781" s="45">
        <v>0.35416666666666669</v>
      </c>
      <c r="L1781" s="45">
        <v>0.72916666666666663</v>
      </c>
      <c r="M1781" s="11">
        <f t="shared" si="27"/>
        <v>8.9999999999999982</v>
      </c>
      <c r="N1781" s="42" t="s">
        <v>0</v>
      </c>
      <c r="P1781" s="4"/>
      <c r="Q1781" s="4"/>
      <c r="R1781" s="4"/>
      <c r="S1781" s="4"/>
      <c r="T1781" s="4"/>
      <c r="U1781" s="4"/>
      <c r="V1781" s="4"/>
      <c r="W1781" s="4"/>
    </row>
    <row r="1782" spans="1:23" s="32" customFormat="1" hidden="1" x14ac:dyDescent="0.3">
      <c r="A1782" s="22" t="s">
        <v>20</v>
      </c>
      <c r="B1782" s="21">
        <v>46056</v>
      </c>
      <c r="C1782" s="22" t="s">
        <v>17</v>
      </c>
      <c r="D1782" s="24" t="s">
        <v>65</v>
      </c>
      <c r="E1782" s="24" t="s">
        <v>1108</v>
      </c>
      <c r="F1782" s="24" t="s">
        <v>612</v>
      </c>
      <c r="G1782" s="41">
        <v>46055</v>
      </c>
      <c r="H1782" s="41">
        <v>46056</v>
      </c>
      <c r="I1782" s="41"/>
      <c r="J1782" s="41"/>
      <c r="K1782" s="45">
        <v>0.27083333333333331</v>
      </c>
      <c r="L1782" s="48">
        <v>0.64583333333333337</v>
      </c>
      <c r="M1782" s="11">
        <f t="shared" si="27"/>
        <v>9.0000000000000018</v>
      </c>
      <c r="N1782" s="42" t="s">
        <v>0</v>
      </c>
      <c r="P1782" s="4"/>
      <c r="Q1782" s="4"/>
      <c r="R1782" s="4"/>
      <c r="S1782" s="4"/>
      <c r="T1782" s="4"/>
      <c r="U1782" s="4"/>
      <c r="V1782" s="4"/>
      <c r="W1782" s="4"/>
    </row>
    <row r="1783" spans="1:23" s="32" customFormat="1" hidden="1" x14ac:dyDescent="0.3">
      <c r="A1783" s="22" t="s">
        <v>20</v>
      </c>
      <c r="B1783" s="21">
        <v>46056</v>
      </c>
      <c r="C1783" s="22" t="s">
        <v>167</v>
      </c>
      <c r="D1783" s="24" t="s">
        <v>65</v>
      </c>
      <c r="E1783" s="24" t="s">
        <v>1037</v>
      </c>
      <c r="F1783" s="24" t="s">
        <v>162</v>
      </c>
      <c r="G1783" s="21">
        <v>46051</v>
      </c>
      <c r="H1783" s="41">
        <v>46056</v>
      </c>
      <c r="I1783" s="41"/>
      <c r="J1783" s="41"/>
      <c r="K1783" s="45">
        <v>0.39583333333333331</v>
      </c>
      <c r="L1783" s="48">
        <v>0.64583333333333337</v>
      </c>
      <c r="M1783" s="11">
        <f t="shared" si="27"/>
        <v>6.0000000000000018</v>
      </c>
      <c r="N1783" s="42" t="s">
        <v>0</v>
      </c>
      <c r="P1783" s="4"/>
      <c r="Q1783" s="4"/>
      <c r="R1783" s="4"/>
      <c r="S1783" s="4"/>
      <c r="T1783" s="4"/>
      <c r="U1783" s="4"/>
      <c r="V1783" s="4"/>
      <c r="W1783" s="4"/>
    </row>
    <row r="1784" spans="1:23" s="32" customFormat="1" hidden="1" x14ac:dyDescent="0.3">
      <c r="A1784" s="22" t="s">
        <v>20</v>
      </c>
      <c r="B1784" s="21">
        <v>46056</v>
      </c>
      <c r="C1784" s="22" t="s">
        <v>167</v>
      </c>
      <c r="D1784" s="24" t="s">
        <v>65</v>
      </c>
      <c r="E1784" s="24" t="s">
        <v>1035</v>
      </c>
      <c r="F1784" s="24" t="s">
        <v>1127</v>
      </c>
      <c r="G1784" s="41">
        <v>46056</v>
      </c>
      <c r="H1784" s="41">
        <v>46056</v>
      </c>
      <c r="I1784" s="41"/>
      <c r="J1784" s="41"/>
      <c r="K1784" s="45">
        <v>0.27083333333333331</v>
      </c>
      <c r="L1784" s="45">
        <v>0.33333333333333331</v>
      </c>
      <c r="M1784" s="11">
        <f t="shared" si="27"/>
        <v>1.5</v>
      </c>
      <c r="N1784" s="42" t="s">
        <v>0</v>
      </c>
      <c r="P1784" s="4"/>
      <c r="Q1784" s="4"/>
      <c r="R1784" s="4"/>
      <c r="S1784" s="4"/>
      <c r="T1784" s="4"/>
      <c r="U1784" s="4"/>
      <c r="V1784" s="4"/>
      <c r="W1784" s="4"/>
    </row>
    <row r="1785" spans="1:23" s="32" customFormat="1" hidden="1" x14ac:dyDescent="0.3">
      <c r="A1785" s="22" t="s">
        <v>20</v>
      </c>
      <c r="B1785" s="21">
        <v>46056</v>
      </c>
      <c r="C1785" s="22" t="s">
        <v>167</v>
      </c>
      <c r="D1785" s="24" t="s">
        <v>65</v>
      </c>
      <c r="E1785" s="24" t="s">
        <v>742</v>
      </c>
      <c r="F1785" s="24" t="s">
        <v>1127</v>
      </c>
      <c r="G1785" s="41">
        <v>46056</v>
      </c>
      <c r="H1785" s="41">
        <v>46056</v>
      </c>
      <c r="I1785" s="41"/>
      <c r="J1785" s="41"/>
      <c r="K1785" s="45">
        <v>0.33333333333333331</v>
      </c>
      <c r="L1785" s="45">
        <v>0.39583333333333331</v>
      </c>
      <c r="M1785" s="11">
        <f t="shared" si="27"/>
        <v>1.5</v>
      </c>
      <c r="N1785" s="42" t="s">
        <v>0</v>
      </c>
      <c r="P1785" s="4"/>
      <c r="Q1785" s="4"/>
      <c r="R1785" s="4"/>
      <c r="S1785" s="4"/>
      <c r="T1785" s="4"/>
      <c r="U1785" s="4"/>
      <c r="V1785" s="4"/>
      <c r="W1785" s="4"/>
    </row>
    <row r="1786" spans="1:23" s="32" customFormat="1" hidden="1" x14ac:dyDescent="0.3">
      <c r="A1786" s="22" t="s">
        <v>20</v>
      </c>
      <c r="B1786" s="21">
        <v>46056</v>
      </c>
      <c r="C1786" s="22" t="s">
        <v>1093</v>
      </c>
      <c r="D1786" s="233" t="s">
        <v>65</v>
      </c>
      <c r="E1786" s="233" t="s">
        <v>936</v>
      </c>
      <c r="F1786" s="233" t="s">
        <v>162</v>
      </c>
      <c r="G1786" s="223">
        <v>46053</v>
      </c>
      <c r="H1786" s="259">
        <v>46056</v>
      </c>
      <c r="I1786" s="259"/>
      <c r="J1786" s="41"/>
      <c r="K1786" s="45">
        <v>0.27083333333333331</v>
      </c>
      <c r="L1786" s="48">
        <v>0.64583333333333337</v>
      </c>
      <c r="M1786" s="11">
        <f t="shared" si="27"/>
        <v>9.0000000000000018</v>
      </c>
      <c r="N1786" s="249" t="s">
        <v>0</v>
      </c>
      <c r="P1786" s="4"/>
      <c r="Q1786" s="4"/>
      <c r="R1786" s="4"/>
      <c r="S1786" s="4"/>
      <c r="T1786" s="4"/>
      <c r="U1786" s="4"/>
      <c r="V1786" s="4"/>
      <c r="W1786" s="4"/>
    </row>
    <row r="1787" spans="1:23" s="32" customFormat="1" hidden="1" x14ac:dyDescent="0.3">
      <c r="A1787" s="22" t="s">
        <v>20</v>
      </c>
      <c r="B1787" s="21">
        <v>46056</v>
      </c>
      <c r="C1787" s="22" t="s">
        <v>31</v>
      </c>
      <c r="D1787" s="233"/>
      <c r="E1787" s="233"/>
      <c r="F1787" s="233"/>
      <c r="G1787" s="233"/>
      <c r="H1787" s="259"/>
      <c r="I1787" s="259"/>
      <c r="J1787" s="41"/>
      <c r="K1787" s="45">
        <v>0.27083333333333331</v>
      </c>
      <c r="L1787" s="48">
        <v>0.64583333333333337</v>
      </c>
      <c r="M1787" s="11">
        <f t="shared" si="27"/>
        <v>9.0000000000000018</v>
      </c>
      <c r="N1787" s="249"/>
      <c r="P1787" s="4"/>
      <c r="Q1787" s="4"/>
      <c r="R1787" s="4"/>
      <c r="S1787" s="4"/>
      <c r="T1787" s="4"/>
      <c r="U1787" s="4"/>
      <c r="V1787" s="4"/>
      <c r="W1787" s="4"/>
    </row>
    <row r="1788" spans="1:23" s="32" customFormat="1" hidden="1" x14ac:dyDescent="0.3">
      <c r="A1788" s="22" t="s">
        <v>20</v>
      </c>
      <c r="B1788" s="21">
        <v>46056</v>
      </c>
      <c r="C1788" s="22" t="s">
        <v>15</v>
      </c>
      <c r="D1788" s="24" t="s">
        <v>65</v>
      </c>
      <c r="E1788" s="24" t="s">
        <v>1110</v>
      </c>
      <c r="F1788" s="24" t="s">
        <v>380</v>
      </c>
      <c r="G1788" s="41">
        <v>46055</v>
      </c>
      <c r="H1788" s="41">
        <v>46056</v>
      </c>
      <c r="I1788" s="41"/>
      <c r="J1788" s="41"/>
      <c r="K1788" s="45">
        <v>0.27083333333333331</v>
      </c>
      <c r="L1788" s="48">
        <v>0.64583333333333337</v>
      </c>
      <c r="M1788" s="11">
        <f t="shared" si="27"/>
        <v>9.0000000000000018</v>
      </c>
      <c r="N1788" s="42" t="s">
        <v>0</v>
      </c>
      <c r="P1788" s="4"/>
      <c r="Q1788" s="4"/>
      <c r="R1788" s="4"/>
      <c r="S1788" s="4"/>
      <c r="T1788" s="4"/>
      <c r="U1788" s="4"/>
      <c r="V1788" s="4"/>
      <c r="W1788" s="4"/>
    </row>
    <row r="1789" spans="1:23" s="32" customFormat="1" hidden="1" x14ac:dyDescent="0.3">
      <c r="A1789" s="40" t="s">
        <v>21</v>
      </c>
      <c r="B1789" s="21">
        <v>46057</v>
      </c>
      <c r="C1789" s="40" t="s">
        <v>26</v>
      </c>
      <c r="D1789" s="40" t="s">
        <v>24</v>
      </c>
      <c r="E1789" s="40" t="s">
        <v>1130</v>
      </c>
      <c r="F1789" s="84" t="s">
        <v>947</v>
      </c>
      <c r="G1789" s="41">
        <v>46026</v>
      </c>
      <c r="H1789" s="41">
        <v>46026</v>
      </c>
      <c r="I1789" s="41">
        <v>46026</v>
      </c>
      <c r="J1789" s="41"/>
      <c r="K1789" s="51">
        <v>0.27083333333333331</v>
      </c>
      <c r="L1789" s="51">
        <v>0.64583333333333337</v>
      </c>
      <c r="M1789" s="11">
        <f t="shared" si="27"/>
        <v>9.0000000000000018</v>
      </c>
      <c r="N1789" s="67" t="s">
        <v>0</v>
      </c>
      <c r="P1789" s="4"/>
      <c r="Q1789" s="4"/>
      <c r="R1789" s="4"/>
      <c r="S1789" s="4"/>
      <c r="T1789" s="4"/>
      <c r="U1789" s="4"/>
      <c r="V1789" s="4"/>
      <c r="W1789" s="4"/>
    </row>
    <row r="1790" spans="1:23" s="32" customFormat="1" hidden="1" x14ac:dyDescent="0.3">
      <c r="A1790" s="10" t="s">
        <v>21</v>
      </c>
      <c r="B1790" s="21">
        <v>46057</v>
      </c>
      <c r="C1790" s="40" t="s">
        <v>23</v>
      </c>
      <c r="D1790" s="10" t="s">
        <v>24</v>
      </c>
      <c r="E1790" s="92" t="s">
        <v>1131</v>
      </c>
      <c r="F1790" s="84" t="s">
        <v>947</v>
      </c>
      <c r="G1790" s="41">
        <v>46026</v>
      </c>
      <c r="H1790" s="41">
        <v>46026</v>
      </c>
      <c r="I1790" s="41">
        <v>46026</v>
      </c>
      <c r="J1790" s="41"/>
      <c r="K1790" s="51">
        <v>0.35416666666666669</v>
      </c>
      <c r="L1790" s="51">
        <v>0.72916666666666663</v>
      </c>
      <c r="M1790" s="11">
        <f t="shared" si="27"/>
        <v>8.9999999999999982</v>
      </c>
      <c r="N1790" s="62" t="s">
        <v>0</v>
      </c>
      <c r="P1790" s="4"/>
      <c r="Q1790" s="4"/>
      <c r="R1790" s="4"/>
      <c r="S1790" s="4"/>
      <c r="T1790" s="4"/>
      <c r="U1790" s="4"/>
      <c r="V1790" s="4"/>
      <c r="W1790" s="4"/>
    </row>
    <row r="1791" spans="1:23" s="32" customFormat="1" hidden="1" x14ac:dyDescent="0.3">
      <c r="A1791" s="40" t="s">
        <v>21</v>
      </c>
      <c r="B1791" s="21">
        <v>46057</v>
      </c>
      <c r="C1791" s="40" t="s">
        <v>37</v>
      </c>
      <c r="D1791" s="40" t="s">
        <v>24</v>
      </c>
      <c r="E1791" s="93" t="s">
        <v>1132</v>
      </c>
      <c r="F1791" s="84" t="s">
        <v>947</v>
      </c>
      <c r="G1791" s="41">
        <v>46026</v>
      </c>
      <c r="H1791" s="41">
        <v>46026</v>
      </c>
      <c r="I1791" s="41">
        <v>46026</v>
      </c>
      <c r="J1791" s="41"/>
      <c r="K1791" s="51">
        <v>0.27083333333333331</v>
      </c>
      <c r="L1791" s="51">
        <v>0.64583333333333337</v>
      </c>
      <c r="M1791" s="11">
        <f t="shared" si="27"/>
        <v>9.0000000000000018</v>
      </c>
      <c r="N1791" s="67" t="s">
        <v>0</v>
      </c>
      <c r="P1791" s="4"/>
      <c r="Q1791" s="4"/>
      <c r="R1791" s="4"/>
      <c r="S1791" s="4"/>
      <c r="T1791" s="4"/>
      <c r="U1791" s="4"/>
      <c r="V1791" s="4"/>
      <c r="W1791" s="4"/>
    </row>
    <row r="1792" spans="1:23" s="32" customFormat="1" hidden="1" x14ac:dyDescent="0.3">
      <c r="A1792" s="40" t="s">
        <v>21</v>
      </c>
      <c r="B1792" s="21">
        <v>46057</v>
      </c>
      <c r="C1792" s="40" t="s">
        <v>274</v>
      </c>
      <c r="D1792" s="262" t="s">
        <v>27</v>
      </c>
      <c r="E1792" s="276" t="s">
        <v>1140</v>
      </c>
      <c r="F1792" s="264" t="s">
        <v>1141</v>
      </c>
      <c r="G1792" s="266">
        <v>46056</v>
      </c>
      <c r="H1792" s="266">
        <v>46057</v>
      </c>
      <c r="I1792" s="36"/>
      <c r="J1792" s="15"/>
      <c r="K1792" s="52">
        <v>0.35416666666666669</v>
      </c>
      <c r="L1792" s="51">
        <v>0.72916666666666663</v>
      </c>
      <c r="M1792" s="11">
        <f t="shared" si="27"/>
        <v>8.9999999999999982</v>
      </c>
      <c r="N1792" s="281" t="s">
        <v>1</v>
      </c>
      <c r="P1792" s="4"/>
      <c r="Q1792" s="4"/>
      <c r="R1792" s="4"/>
      <c r="S1792" s="4"/>
      <c r="T1792" s="4"/>
      <c r="U1792" s="4"/>
      <c r="V1792" s="4"/>
      <c r="W1792" s="4"/>
    </row>
    <row r="1793" spans="1:23" s="32" customFormat="1" hidden="1" x14ac:dyDescent="0.3">
      <c r="A1793" s="40" t="s">
        <v>21</v>
      </c>
      <c r="B1793" s="21">
        <v>46057</v>
      </c>
      <c r="C1793" s="40" t="s">
        <v>18</v>
      </c>
      <c r="D1793" s="263"/>
      <c r="E1793" s="277"/>
      <c r="F1793" s="265"/>
      <c r="G1793" s="267"/>
      <c r="H1793" s="267"/>
      <c r="I1793" s="37"/>
      <c r="J1793" s="37"/>
      <c r="K1793" s="52">
        <v>0.35416666666666669</v>
      </c>
      <c r="L1793" s="51">
        <v>0.72916666666666663</v>
      </c>
      <c r="M1793" s="11">
        <f t="shared" si="27"/>
        <v>8.9999999999999982</v>
      </c>
      <c r="N1793" s="282"/>
      <c r="P1793" s="4"/>
      <c r="Q1793" s="4"/>
      <c r="R1793" s="4"/>
      <c r="S1793" s="4"/>
      <c r="T1793" s="4"/>
      <c r="U1793" s="4"/>
      <c r="V1793" s="4"/>
      <c r="W1793" s="4"/>
    </row>
    <row r="1794" spans="1:23" s="32" customFormat="1" hidden="1" x14ac:dyDescent="0.3">
      <c r="A1794" s="40" t="s">
        <v>21</v>
      </c>
      <c r="B1794" s="21">
        <v>46057</v>
      </c>
      <c r="C1794" s="40" t="s">
        <v>56</v>
      </c>
      <c r="D1794" s="7" t="s">
        <v>43</v>
      </c>
      <c r="E1794" s="94" t="s">
        <v>620</v>
      </c>
      <c r="F1794" s="88" t="s">
        <v>884</v>
      </c>
      <c r="G1794" s="41">
        <v>46026</v>
      </c>
      <c r="H1794" s="41">
        <v>46026</v>
      </c>
      <c r="I1794" s="15"/>
      <c r="J1794" s="15"/>
      <c r="K1794" s="51">
        <v>0.27083333333333331</v>
      </c>
      <c r="L1794" s="51">
        <v>0.64583333333333337</v>
      </c>
      <c r="M1794" s="11">
        <f t="shared" ref="M1794:M1856" si="28">MOD(L1794-K1794,1)*24</f>
        <v>9.0000000000000018</v>
      </c>
      <c r="N1794" s="67" t="s">
        <v>1</v>
      </c>
      <c r="P1794" s="4"/>
      <c r="Q1794" s="4"/>
      <c r="R1794" s="4"/>
      <c r="S1794" s="4"/>
      <c r="T1794" s="4"/>
      <c r="U1794" s="4"/>
      <c r="V1794" s="4"/>
      <c r="W1794" s="4"/>
    </row>
    <row r="1795" spans="1:23" s="32" customFormat="1" hidden="1" x14ac:dyDescent="0.3">
      <c r="A1795" s="40" t="s">
        <v>21</v>
      </c>
      <c r="B1795" s="21">
        <v>46057</v>
      </c>
      <c r="C1795" s="8" t="s">
        <v>771</v>
      </c>
      <c r="D1795" s="10" t="s">
        <v>42</v>
      </c>
      <c r="E1795" s="92" t="s">
        <v>1142</v>
      </c>
      <c r="F1795" s="38" t="s">
        <v>764</v>
      </c>
      <c r="G1795" s="36">
        <v>46026</v>
      </c>
      <c r="H1795" s="36">
        <v>46026</v>
      </c>
      <c r="I1795" s="36">
        <v>46026</v>
      </c>
      <c r="J1795" s="36"/>
      <c r="K1795" s="54">
        <v>0.27083333333333331</v>
      </c>
      <c r="L1795" s="54">
        <v>0.64583333333333337</v>
      </c>
      <c r="M1795" s="11">
        <f t="shared" si="28"/>
        <v>9.0000000000000018</v>
      </c>
      <c r="N1795" s="62" t="s">
        <v>0</v>
      </c>
      <c r="P1795" s="4"/>
      <c r="Q1795" s="4"/>
      <c r="R1795" s="4"/>
      <c r="S1795" s="4"/>
      <c r="T1795" s="4"/>
      <c r="U1795" s="4"/>
      <c r="V1795" s="4"/>
      <c r="W1795" s="4"/>
    </row>
    <row r="1796" spans="1:23" s="32" customFormat="1" hidden="1" x14ac:dyDescent="0.3">
      <c r="A1796" s="40" t="s">
        <v>21</v>
      </c>
      <c r="B1796" s="21">
        <v>46057</v>
      </c>
      <c r="C1796" s="8" t="s">
        <v>25</v>
      </c>
      <c r="D1796" s="10" t="s">
        <v>54</v>
      </c>
      <c r="E1796" s="95" t="s">
        <v>1031</v>
      </c>
      <c r="F1796" s="84" t="s">
        <v>1143</v>
      </c>
      <c r="G1796" s="41">
        <v>46026</v>
      </c>
      <c r="H1796" s="41">
        <v>46026</v>
      </c>
      <c r="I1796" s="41"/>
      <c r="J1796" s="41"/>
      <c r="K1796" s="51">
        <v>0.27083333333333331</v>
      </c>
      <c r="L1796" s="51">
        <v>0.64583333333333337</v>
      </c>
      <c r="M1796" s="11">
        <f t="shared" si="28"/>
        <v>9.0000000000000018</v>
      </c>
      <c r="N1796" s="67" t="s">
        <v>1</v>
      </c>
      <c r="P1796" s="4"/>
      <c r="Q1796" s="4"/>
      <c r="R1796" s="4"/>
      <c r="S1796" s="4"/>
      <c r="T1796" s="4"/>
      <c r="U1796" s="4"/>
      <c r="V1796" s="4"/>
      <c r="W1796" s="4"/>
    </row>
    <row r="1797" spans="1:23" s="32" customFormat="1" hidden="1" x14ac:dyDescent="0.3">
      <c r="A1797" s="40" t="s">
        <v>21</v>
      </c>
      <c r="B1797" s="21">
        <v>46057</v>
      </c>
      <c r="C1797" s="40" t="s">
        <v>34</v>
      </c>
      <c r="D1797" s="272" t="s">
        <v>54</v>
      </c>
      <c r="E1797" s="280" t="s">
        <v>688</v>
      </c>
      <c r="F1797" s="272" t="s">
        <v>1144</v>
      </c>
      <c r="G1797" s="266">
        <v>46057</v>
      </c>
      <c r="H1797" s="266">
        <v>46057</v>
      </c>
      <c r="I1797" s="266">
        <v>46057</v>
      </c>
      <c r="J1797" s="15"/>
      <c r="K1797" s="52">
        <v>0.35416666666666669</v>
      </c>
      <c r="L1797" s="52">
        <v>0.72916666666666663</v>
      </c>
      <c r="M1797" s="11">
        <f t="shared" si="28"/>
        <v>8.9999999999999982</v>
      </c>
      <c r="N1797" s="278" t="s">
        <v>0</v>
      </c>
      <c r="P1797" s="4"/>
      <c r="Q1797" s="4"/>
      <c r="R1797" s="4"/>
      <c r="S1797" s="4"/>
      <c r="T1797" s="4"/>
      <c r="U1797" s="4"/>
      <c r="V1797" s="4"/>
      <c r="W1797" s="4"/>
    </row>
    <row r="1798" spans="1:23" s="32" customFormat="1" hidden="1" x14ac:dyDescent="0.3">
      <c r="A1798" s="40" t="s">
        <v>21</v>
      </c>
      <c r="B1798" s="21">
        <v>46057</v>
      </c>
      <c r="C1798" s="40" t="s">
        <v>118</v>
      </c>
      <c r="D1798" s="263"/>
      <c r="E1798" s="277"/>
      <c r="F1798" s="263"/>
      <c r="G1798" s="267"/>
      <c r="H1798" s="267"/>
      <c r="I1798" s="267"/>
      <c r="J1798" s="37"/>
      <c r="K1798" s="51">
        <v>0.35416666666666669</v>
      </c>
      <c r="L1798" s="51">
        <v>0.72916666666666663</v>
      </c>
      <c r="M1798" s="11">
        <f t="shared" si="28"/>
        <v>8.9999999999999982</v>
      </c>
      <c r="N1798" s="279"/>
      <c r="P1798" s="4"/>
      <c r="Q1798" s="4"/>
      <c r="R1798" s="4"/>
      <c r="S1798" s="4"/>
      <c r="T1798" s="4"/>
      <c r="U1798" s="4"/>
      <c r="V1798" s="4"/>
      <c r="W1798" s="4"/>
    </row>
    <row r="1799" spans="1:23" s="32" customFormat="1" hidden="1" x14ac:dyDescent="0.3">
      <c r="A1799" s="8" t="s">
        <v>21</v>
      </c>
      <c r="B1799" s="21">
        <v>46057</v>
      </c>
      <c r="C1799" s="8" t="s">
        <v>55</v>
      </c>
      <c r="D1799" s="8" t="s">
        <v>43</v>
      </c>
      <c r="E1799" s="95" t="s">
        <v>120</v>
      </c>
      <c r="F1799" s="8" t="s">
        <v>884</v>
      </c>
      <c r="G1799" s="37">
        <v>46057</v>
      </c>
      <c r="H1799" s="37">
        <v>46060</v>
      </c>
      <c r="I1799" s="37"/>
      <c r="J1799" s="37"/>
      <c r="K1799" s="52">
        <v>0.27083333333333331</v>
      </c>
      <c r="L1799" s="52">
        <v>0.64583333333333337</v>
      </c>
      <c r="M1799" s="11">
        <f t="shared" si="28"/>
        <v>9.0000000000000018</v>
      </c>
      <c r="N1799" s="66" t="s">
        <v>1</v>
      </c>
      <c r="P1799" s="4"/>
      <c r="Q1799" s="4"/>
      <c r="R1799" s="4"/>
      <c r="S1799" s="4"/>
      <c r="T1799" s="4"/>
      <c r="U1799" s="4"/>
      <c r="V1799" s="4"/>
      <c r="W1799" s="4"/>
    </row>
    <row r="1800" spans="1:23" s="32" customFormat="1" hidden="1" x14ac:dyDescent="0.3">
      <c r="A1800" s="22" t="s">
        <v>19</v>
      </c>
      <c r="B1800" s="21">
        <v>46057</v>
      </c>
      <c r="C1800" s="22" t="s">
        <v>7</v>
      </c>
      <c r="D1800" s="13" t="s">
        <v>8</v>
      </c>
      <c r="E1800" s="13" t="s">
        <v>876</v>
      </c>
      <c r="F1800" s="13" t="s">
        <v>1145</v>
      </c>
      <c r="G1800" s="16">
        <v>46049</v>
      </c>
      <c r="H1800" s="41">
        <v>46026</v>
      </c>
      <c r="I1800" s="41">
        <v>46026</v>
      </c>
      <c r="J1800" s="37"/>
      <c r="K1800" s="52">
        <v>0.27083333333333331</v>
      </c>
      <c r="L1800" s="52">
        <v>0.64583333333333337</v>
      </c>
      <c r="M1800" s="11">
        <f t="shared" si="28"/>
        <v>9.0000000000000018</v>
      </c>
      <c r="N1800" s="62" t="s">
        <v>0</v>
      </c>
      <c r="P1800" s="4"/>
      <c r="Q1800" s="4"/>
      <c r="R1800" s="4"/>
      <c r="S1800" s="4"/>
      <c r="T1800" s="4"/>
      <c r="U1800" s="4"/>
      <c r="V1800" s="4"/>
      <c r="W1800" s="4"/>
    </row>
    <row r="1801" spans="1:23" s="32" customFormat="1" hidden="1" x14ac:dyDescent="0.3">
      <c r="A1801" s="22" t="s">
        <v>19</v>
      </c>
      <c r="B1801" s="21">
        <v>46057</v>
      </c>
      <c r="C1801" s="22" t="s">
        <v>9</v>
      </c>
      <c r="D1801" s="216" t="s">
        <v>8</v>
      </c>
      <c r="E1801" s="216" t="s">
        <v>1146</v>
      </c>
      <c r="F1801" s="216" t="s">
        <v>1147</v>
      </c>
      <c r="G1801" s="266">
        <v>46057</v>
      </c>
      <c r="H1801" s="266">
        <v>46057</v>
      </c>
      <c r="I1801" s="266">
        <v>46057</v>
      </c>
      <c r="J1801" s="36"/>
      <c r="K1801" s="47">
        <v>0.35416666666666669</v>
      </c>
      <c r="L1801" s="52">
        <v>0.72916666666666663</v>
      </c>
      <c r="M1801" s="11">
        <f t="shared" si="28"/>
        <v>8.9999999999999982</v>
      </c>
      <c r="N1801" s="224" t="s">
        <v>0</v>
      </c>
      <c r="P1801" s="4"/>
      <c r="Q1801" s="4"/>
      <c r="R1801" s="4"/>
      <c r="S1801" s="4"/>
      <c r="T1801" s="4"/>
      <c r="U1801" s="4"/>
      <c r="V1801" s="4"/>
      <c r="W1801" s="4"/>
    </row>
    <row r="1802" spans="1:23" s="32" customFormat="1" hidden="1" x14ac:dyDescent="0.3">
      <c r="A1802" s="22" t="s">
        <v>19</v>
      </c>
      <c r="B1802" s="21">
        <v>46057</v>
      </c>
      <c r="C1802" s="22" t="s">
        <v>208</v>
      </c>
      <c r="D1802" s="217"/>
      <c r="E1802" s="217"/>
      <c r="F1802" s="217"/>
      <c r="G1802" s="267"/>
      <c r="H1802" s="267"/>
      <c r="I1802" s="267"/>
      <c r="J1802" s="37"/>
      <c r="K1802" s="52">
        <v>0.27083333333333331</v>
      </c>
      <c r="L1802" s="52">
        <v>0.64583333333333337</v>
      </c>
      <c r="M1802" s="11">
        <f t="shared" si="28"/>
        <v>9.0000000000000018</v>
      </c>
      <c r="N1802" s="225"/>
      <c r="P1802" s="4"/>
      <c r="Q1802" s="4"/>
      <c r="R1802" s="4"/>
      <c r="S1802" s="4"/>
      <c r="T1802" s="4"/>
      <c r="U1802" s="4"/>
      <c r="V1802" s="4"/>
      <c r="W1802" s="4"/>
    </row>
    <row r="1803" spans="1:23" s="32" customFormat="1" hidden="1" x14ac:dyDescent="0.3">
      <c r="A1803" s="22" t="s">
        <v>19</v>
      </c>
      <c r="B1803" s="21">
        <v>46057</v>
      </c>
      <c r="C1803" s="22" t="s">
        <v>9</v>
      </c>
      <c r="D1803" s="24" t="s">
        <v>8</v>
      </c>
      <c r="E1803" s="14" t="s">
        <v>416</v>
      </c>
      <c r="F1803" s="14" t="s">
        <v>244</v>
      </c>
      <c r="G1803" s="37">
        <v>46057</v>
      </c>
      <c r="H1803" s="37">
        <v>46057</v>
      </c>
      <c r="I1803" s="37">
        <v>46057</v>
      </c>
      <c r="J1803" s="37"/>
      <c r="K1803" s="52">
        <v>0.64583333333333337</v>
      </c>
      <c r="L1803" s="48">
        <v>0.72916666666666663</v>
      </c>
      <c r="M1803" s="11">
        <f t="shared" si="28"/>
        <v>1.9999999999999982</v>
      </c>
      <c r="N1803" s="62" t="s">
        <v>0</v>
      </c>
      <c r="P1803" s="4"/>
      <c r="Q1803" s="4"/>
      <c r="R1803" s="4"/>
      <c r="S1803" s="4"/>
      <c r="T1803" s="4"/>
      <c r="U1803" s="4"/>
      <c r="V1803" s="4"/>
      <c r="W1803" s="4"/>
    </row>
    <row r="1804" spans="1:23" s="32" customFormat="1" hidden="1" x14ac:dyDescent="0.3">
      <c r="A1804" s="22" t="s">
        <v>20</v>
      </c>
      <c r="B1804" s="21">
        <v>46057</v>
      </c>
      <c r="C1804" s="69" t="s">
        <v>1003</v>
      </c>
      <c r="D1804" s="11" t="s">
        <v>44</v>
      </c>
      <c r="E1804" s="22" t="s">
        <v>1121</v>
      </c>
      <c r="F1804" s="31" t="s">
        <v>1133</v>
      </c>
      <c r="G1804" s="36">
        <v>46057</v>
      </c>
      <c r="H1804" s="36">
        <v>46060</v>
      </c>
      <c r="I1804" s="36">
        <v>46060</v>
      </c>
      <c r="J1804" s="15"/>
      <c r="K1804" s="52">
        <v>0.27083333333333331</v>
      </c>
      <c r="L1804" s="51">
        <v>0.64583333333333337</v>
      </c>
      <c r="M1804" s="11">
        <f t="shared" si="28"/>
        <v>9.0000000000000018</v>
      </c>
      <c r="N1804" s="62" t="s">
        <v>0</v>
      </c>
      <c r="P1804" s="4"/>
      <c r="Q1804" s="4"/>
      <c r="R1804" s="4"/>
      <c r="S1804" s="4"/>
      <c r="T1804" s="4"/>
      <c r="U1804" s="4"/>
      <c r="V1804" s="4"/>
      <c r="W1804" s="4"/>
    </row>
    <row r="1805" spans="1:23" s="32" customFormat="1" hidden="1" x14ac:dyDescent="0.3">
      <c r="A1805" s="22" t="s">
        <v>20</v>
      </c>
      <c r="B1805" s="21">
        <v>46057</v>
      </c>
      <c r="C1805" s="69" t="s">
        <v>421</v>
      </c>
      <c r="D1805" s="11" t="s">
        <v>44</v>
      </c>
      <c r="E1805" s="22" t="s">
        <v>1135</v>
      </c>
      <c r="F1805" s="31" t="s">
        <v>1136</v>
      </c>
      <c r="G1805" s="36">
        <v>46057</v>
      </c>
      <c r="H1805" s="36">
        <v>46061</v>
      </c>
      <c r="I1805" s="36">
        <v>46061</v>
      </c>
      <c r="J1805" s="36"/>
      <c r="K1805" s="51">
        <v>0.27083333333333331</v>
      </c>
      <c r="L1805" s="51">
        <v>0.64583333333333337</v>
      </c>
      <c r="M1805" s="11">
        <f t="shared" si="28"/>
        <v>9.0000000000000018</v>
      </c>
      <c r="N1805" s="62" t="s">
        <v>0</v>
      </c>
      <c r="P1805" s="4"/>
      <c r="Q1805" s="4"/>
      <c r="R1805" s="4"/>
      <c r="S1805" s="4"/>
      <c r="T1805" s="4"/>
      <c r="U1805" s="4"/>
      <c r="V1805" s="4"/>
      <c r="W1805" s="4"/>
    </row>
    <row r="1806" spans="1:23" s="32" customFormat="1" hidden="1" x14ac:dyDescent="0.3">
      <c r="A1806" s="11" t="s">
        <v>20</v>
      </c>
      <c r="B1806" s="21">
        <v>46057</v>
      </c>
      <c r="C1806" s="22" t="s">
        <v>33</v>
      </c>
      <c r="D1806" s="22" t="s">
        <v>44</v>
      </c>
      <c r="E1806" s="22" t="s">
        <v>1125</v>
      </c>
      <c r="F1806" s="22" t="s">
        <v>1134</v>
      </c>
      <c r="G1806" s="36">
        <v>46057</v>
      </c>
      <c r="H1806" s="36">
        <v>46059</v>
      </c>
      <c r="I1806" s="36">
        <v>46059</v>
      </c>
      <c r="J1806" s="36"/>
      <c r="K1806" s="45">
        <v>0.35416666666666669</v>
      </c>
      <c r="L1806" s="48">
        <v>0.72916666666666663</v>
      </c>
      <c r="M1806" s="11">
        <f t="shared" si="28"/>
        <v>8.9999999999999982</v>
      </c>
      <c r="N1806" s="42" t="s">
        <v>0</v>
      </c>
      <c r="P1806" s="4"/>
      <c r="Q1806" s="4"/>
      <c r="R1806" s="4"/>
      <c r="S1806" s="4"/>
      <c r="T1806" s="4"/>
      <c r="U1806" s="4"/>
      <c r="V1806" s="4"/>
      <c r="W1806" s="4"/>
    </row>
    <row r="1807" spans="1:23" s="32" customFormat="1" hidden="1" x14ac:dyDescent="0.3">
      <c r="A1807" s="22" t="s">
        <v>20</v>
      </c>
      <c r="B1807" s="21">
        <v>46057</v>
      </c>
      <c r="C1807" s="22" t="s">
        <v>47</v>
      </c>
      <c r="D1807" s="24" t="s">
        <v>65</v>
      </c>
      <c r="E1807" s="24" t="s">
        <v>1110</v>
      </c>
      <c r="F1807" s="25" t="s">
        <v>1126</v>
      </c>
      <c r="G1807" s="41">
        <v>46055</v>
      </c>
      <c r="H1807" s="41">
        <v>46057</v>
      </c>
      <c r="I1807" s="41">
        <v>46057</v>
      </c>
      <c r="J1807" s="41"/>
      <c r="K1807" s="45">
        <v>0.27083333333333331</v>
      </c>
      <c r="L1807" s="48">
        <v>0.4375</v>
      </c>
      <c r="M1807" s="11">
        <f t="shared" si="28"/>
        <v>4</v>
      </c>
      <c r="N1807" s="42" t="s">
        <v>0</v>
      </c>
      <c r="P1807" s="4"/>
      <c r="Q1807" s="4"/>
      <c r="R1807" s="4"/>
      <c r="S1807" s="4"/>
      <c r="T1807" s="4"/>
      <c r="U1807" s="4"/>
      <c r="V1807" s="4"/>
      <c r="W1807" s="4"/>
    </row>
    <row r="1808" spans="1:23" s="32" customFormat="1" hidden="1" x14ac:dyDescent="0.3">
      <c r="A1808" s="22" t="s">
        <v>20</v>
      </c>
      <c r="B1808" s="21">
        <v>46057</v>
      </c>
      <c r="C1808" s="22" t="s">
        <v>1023</v>
      </c>
      <c r="D1808" s="24" t="s">
        <v>65</v>
      </c>
      <c r="E1808" s="24" t="s">
        <v>1108</v>
      </c>
      <c r="F1808" s="24" t="s">
        <v>380</v>
      </c>
      <c r="G1808" s="41">
        <v>46055</v>
      </c>
      <c r="H1808" s="41">
        <v>46056</v>
      </c>
      <c r="I1808" s="41">
        <v>46056</v>
      </c>
      <c r="J1808" s="41"/>
      <c r="K1808" s="45">
        <v>0.35416666666666669</v>
      </c>
      <c r="L1808" s="45">
        <v>0.72916666666666663</v>
      </c>
      <c r="M1808" s="11">
        <f t="shared" si="28"/>
        <v>8.9999999999999982</v>
      </c>
      <c r="N1808" s="42" t="s">
        <v>0</v>
      </c>
      <c r="P1808" s="4"/>
      <c r="Q1808" s="4"/>
      <c r="R1808" s="4"/>
      <c r="S1808" s="4"/>
      <c r="T1808" s="4"/>
      <c r="U1808" s="4"/>
      <c r="V1808" s="4"/>
      <c r="W1808" s="4"/>
    </row>
    <row r="1809" spans="1:23" s="32" customFormat="1" hidden="1" x14ac:dyDescent="0.3">
      <c r="A1809" s="22" t="s">
        <v>20</v>
      </c>
      <c r="B1809" s="21">
        <v>46057</v>
      </c>
      <c r="C1809" s="22" t="s">
        <v>17</v>
      </c>
      <c r="D1809" s="24" t="s">
        <v>65</v>
      </c>
      <c r="E1809" s="24" t="s">
        <v>1108</v>
      </c>
      <c r="F1809" s="24" t="s">
        <v>115</v>
      </c>
      <c r="G1809" s="41">
        <v>46055</v>
      </c>
      <c r="H1809" s="41">
        <v>46057</v>
      </c>
      <c r="I1809" s="41">
        <v>46057</v>
      </c>
      <c r="J1809" s="41"/>
      <c r="K1809" s="45">
        <v>0.27083333333333331</v>
      </c>
      <c r="L1809" s="48">
        <v>0.64583333333333337</v>
      </c>
      <c r="M1809" s="11">
        <f t="shared" si="28"/>
        <v>9.0000000000000018</v>
      </c>
      <c r="N1809" s="42" t="s">
        <v>0</v>
      </c>
      <c r="P1809" s="4"/>
      <c r="Q1809" s="4"/>
      <c r="R1809" s="4"/>
      <c r="S1809" s="4"/>
      <c r="T1809" s="4"/>
      <c r="U1809" s="4"/>
      <c r="V1809" s="4"/>
      <c r="W1809" s="4"/>
    </row>
    <row r="1810" spans="1:23" s="32" customFormat="1" hidden="1" x14ac:dyDescent="0.3">
      <c r="A1810" s="22" t="s">
        <v>20</v>
      </c>
      <c r="B1810" s="21">
        <v>46057</v>
      </c>
      <c r="C1810" s="22" t="s">
        <v>1023</v>
      </c>
      <c r="D1810" s="24" t="s">
        <v>65</v>
      </c>
      <c r="E1810" s="13" t="s">
        <v>1150</v>
      </c>
      <c r="F1810" s="13" t="s">
        <v>1151</v>
      </c>
      <c r="G1810" s="41">
        <v>46057</v>
      </c>
      <c r="H1810" s="41">
        <v>46057</v>
      </c>
      <c r="I1810" s="41">
        <v>46057</v>
      </c>
      <c r="J1810" s="41"/>
      <c r="K1810" s="45">
        <v>0.35416666666666669</v>
      </c>
      <c r="L1810" s="45">
        <v>0.72916666666666663</v>
      </c>
      <c r="M1810" s="11">
        <f t="shared" si="28"/>
        <v>8.9999999999999982</v>
      </c>
      <c r="N1810" s="42" t="s">
        <v>0</v>
      </c>
      <c r="P1810" s="4"/>
      <c r="Q1810" s="4"/>
      <c r="R1810" s="4"/>
      <c r="S1810" s="4"/>
      <c r="T1810" s="4"/>
      <c r="U1810" s="4"/>
      <c r="V1810" s="4"/>
      <c r="W1810" s="4"/>
    </row>
    <row r="1811" spans="1:23" s="32" customFormat="1" hidden="1" x14ac:dyDescent="0.3">
      <c r="A1811" s="22" t="s">
        <v>20</v>
      </c>
      <c r="B1811" s="21">
        <v>46057</v>
      </c>
      <c r="C1811" s="22" t="s">
        <v>167</v>
      </c>
      <c r="D1811" s="216" t="s">
        <v>65</v>
      </c>
      <c r="E1811" s="216" t="s">
        <v>1037</v>
      </c>
      <c r="F1811" s="216" t="s">
        <v>1137</v>
      </c>
      <c r="G1811" s="219">
        <v>46051</v>
      </c>
      <c r="H1811" s="266">
        <v>46057</v>
      </c>
      <c r="I1811" s="266">
        <v>46057</v>
      </c>
      <c r="J1811" s="36"/>
      <c r="K1811" s="45">
        <v>0.27083333333333331</v>
      </c>
      <c r="L1811" s="48">
        <v>0.52083333333333337</v>
      </c>
      <c r="M1811" s="11">
        <f t="shared" si="28"/>
        <v>6.0000000000000018</v>
      </c>
      <c r="N1811" s="224" t="s">
        <v>0</v>
      </c>
      <c r="P1811" s="4"/>
      <c r="Q1811" s="4"/>
      <c r="R1811" s="4"/>
      <c r="S1811" s="4"/>
      <c r="T1811" s="4"/>
      <c r="U1811" s="4"/>
      <c r="V1811" s="4"/>
      <c r="W1811" s="4"/>
    </row>
    <row r="1812" spans="1:23" s="32" customFormat="1" hidden="1" x14ac:dyDescent="0.3">
      <c r="A1812" s="22" t="s">
        <v>20</v>
      </c>
      <c r="B1812" s="21">
        <v>46057</v>
      </c>
      <c r="C1812" s="22" t="s">
        <v>47</v>
      </c>
      <c r="D1812" s="217"/>
      <c r="E1812" s="217"/>
      <c r="F1812" s="217"/>
      <c r="G1812" s="220"/>
      <c r="H1812" s="267"/>
      <c r="I1812" s="267"/>
      <c r="J1812" s="37"/>
      <c r="K1812" s="45">
        <v>0.4375</v>
      </c>
      <c r="L1812" s="48">
        <v>0.52083333333333337</v>
      </c>
      <c r="M1812" s="11">
        <f t="shared" si="28"/>
        <v>2.0000000000000009</v>
      </c>
      <c r="N1812" s="225"/>
      <c r="P1812" s="4"/>
      <c r="Q1812" s="4"/>
      <c r="R1812" s="4"/>
      <c r="S1812" s="4"/>
      <c r="T1812" s="4"/>
      <c r="U1812" s="4"/>
      <c r="V1812" s="4"/>
      <c r="W1812" s="4"/>
    </row>
    <row r="1813" spans="1:23" s="32" customFormat="1" hidden="1" x14ac:dyDescent="0.3">
      <c r="A1813" s="22" t="s">
        <v>20</v>
      </c>
      <c r="B1813" s="21">
        <v>46057</v>
      </c>
      <c r="C1813" s="22" t="s">
        <v>167</v>
      </c>
      <c r="D1813" s="24" t="s">
        <v>65</v>
      </c>
      <c r="E1813" s="14" t="s">
        <v>1152</v>
      </c>
      <c r="F1813" s="14" t="s">
        <v>1151</v>
      </c>
      <c r="G1813" s="41">
        <v>46057</v>
      </c>
      <c r="H1813" s="41">
        <v>46057</v>
      </c>
      <c r="I1813" s="41">
        <v>46057</v>
      </c>
      <c r="J1813" s="41"/>
      <c r="K1813" s="45">
        <v>0.52083333333333337</v>
      </c>
      <c r="L1813" s="48">
        <v>0.64583333333333337</v>
      </c>
      <c r="M1813" s="11">
        <f t="shared" si="28"/>
        <v>3</v>
      </c>
      <c r="N1813" s="42" t="s">
        <v>0</v>
      </c>
      <c r="P1813" s="4"/>
      <c r="Q1813" s="4"/>
      <c r="R1813" s="4"/>
      <c r="S1813" s="4"/>
      <c r="T1813" s="4"/>
      <c r="U1813" s="4"/>
      <c r="V1813" s="4"/>
      <c r="W1813" s="4"/>
    </row>
    <row r="1814" spans="1:23" s="32" customFormat="1" hidden="1" x14ac:dyDescent="0.3">
      <c r="A1814" s="22" t="s">
        <v>20</v>
      </c>
      <c r="B1814" s="21">
        <v>46057</v>
      </c>
      <c r="C1814" s="22" t="s">
        <v>47</v>
      </c>
      <c r="D1814" s="24" t="s">
        <v>27</v>
      </c>
      <c r="E1814" s="14" t="s">
        <v>1138</v>
      </c>
      <c r="F1814" s="14" t="s">
        <v>1139</v>
      </c>
      <c r="G1814" s="41">
        <v>46057</v>
      </c>
      <c r="H1814" s="41">
        <v>46057</v>
      </c>
      <c r="I1814" s="41">
        <v>46057</v>
      </c>
      <c r="J1814" s="41"/>
      <c r="K1814" s="45">
        <v>0.5625</v>
      </c>
      <c r="L1814" s="48">
        <v>0.58333333333333337</v>
      </c>
      <c r="M1814" s="11">
        <f t="shared" si="28"/>
        <v>0.50000000000000089</v>
      </c>
      <c r="N1814" s="42" t="s">
        <v>0</v>
      </c>
      <c r="P1814" s="4"/>
      <c r="Q1814" s="4"/>
      <c r="R1814" s="4"/>
      <c r="S1814" s="4"/>
      <c r="T1814" s="4"/>
      <c r="U1814" s="4"/>
      <c r="V1814" s="4"/>
      <c r="W1814" s="4"/>
    </row>
    <row r="1815" spans="1:23" s="32" customFormat="1" hidden="1" x14ac:dyDescent="0.3">
      <c r="A1815" s="22" t="s">
        <v>20</v>
      </c>
      <c r="B1815" s="21">
        <v>46057</v>
      </c>
      <c r="C1815" s="22" t="s">
        <v>1093</v>
      </c>
      <c r="D1815" s="233" t="s">
        <v>65</v>
      </c>
      <c r="E1815" s="233" t="s">
        <v>936</v>
      </c>
      <c r="F1815" s="233" t="s">
        <v>162</v>
      </c>
      <c r="G1815" s="223">
        <v>46053</v>
      </c>
      <c r="H1815" s="266">
        <v>46057</v>
      </c>
      <c r="I1815" s="266">
        <v>46057</v>
      </c>
      <c r="J1815" s="36"/>
      <c r="K1815" s="45">
        <v>0.27083333333333331</v>
      </c>
      <c r="L1815" s="48">
        <v>0.64583333333333337</v>
      </c>
      <c r="M1815" s="11">
        <f t="shared" si="28"/>
        <v>9.0000000000000018</v>
      </c>
      <c r="N1815" s="249" t="s">
        <v>0</v>
      </c>
      <c r="P1815" s="4"/>
      <c r="Q1815" s="4"/>
      <c r="R1815" s="4"/>
      <c r="S1815" s="4"/>
      <c r="T1815" s="4"/>
      <c r="U1815" s="4"/>
      <c r="V1815" s="4"/>
      <c r="W1815" s="4"/>
    </row>
    <row r="1816" spans="1:23" s="32" customFormat="1" hidden="1" x14ac:dyDescent="0.3">
      <c r="A1816" s="22" t="s">
        <v>20</v>
      </c>
      <c r="B1816" s="21">
        <v>46057</v>
      </c>
      <c r="C1816" s="22" t="s">
        <v>31</v>
      </c>
      <c r="D1816" s="233"/>
      <c r="E1816" s="233"/>
      <c r="F1816" s="233"/>
      <c r="G1816" s="233"/>
      <c r="H1816" s="267"/>
      <c r="I1816" s="267"/>
      <c r="J1816" s="37"/>
      <c r="K1816" s="45">
        <v>0.27083333333333331</v>
      </c>
      <c r="L1816" s="48">
        <v>0.64583333333333337</v>
      </c>
      <c r="M1816" s="11">
        <f t="shared" si="28"/>
        <v>9.0000000000000018</v>
      </c>
      <c r="N1816" s="249"/>
      <c r="P1816" s="4"/>
      <c r="Q1816" s="4"/>
      <c r="R1816" s="4"/>
      <c r="S1816" s="4"/>
      <c r="T1816" s="4"/>
      <c r="U1816" s="4"/>
      <c r="V1816" s="4"/>
      <c r="W1816" s="4"/>
    </row>
    <row r="1817" spans="1:23" s="32" customFormat="1" hidden="1" x14ac:dyDescent="0.3">
      <c r="A1817" s="22" t="s">
        <v>20</v>
      </c>
      <c r="B1817" s="21">
        <v>46057</v>
      </c>
      <c r="C1817" s="22" t="s">
        <v>1093</v>
      </c>
      <c r="D1817" s="233" t="s">
        <v>65</v>
      </c>
      <c r="E1817" s="214" t="s">
        <v>1148</v>
      </c>
      <c r="F1817" s="214" t="s">
        <v>1149</v>
      </c>
      <c r="G1817" s="219">
        <v>46055</v>
      </c>
      <c r="H1817" s="266">
        <v>46057</v>
      </c>
      <c r="I1817" s="266">
        <v>46057</v>
      </c>
      <c r="J1817" s="36"/>
      <c r="K1817" s="45">
        <v>0.58333333333333337</v>
      </c>
      <c r="L1817" s="48">
        <v>0.72916666666666663</v>
      </c>
      <c r="M1817" s="11">
        <f t="shared" si="28"/>
        <v>3.4999999999999982</v>
      </c>
      <c r="N1817" s="249" t="s">
        <v>0</v>
      </c>
      <c r="P1817" s="4"/>
      <c r="Q1817" s="4"/>
      <c r="R1817" s="4"/>
      <c r="S1817" s="4"/>
      <c r="T1817" s="4"/>
      <c r="U1817" s="4"/>
      <c r="V1817" s="4"/>
      <c r="W1817" s="4"/>
    </row>
    <row r="1818" spans="1:23" s="32" customFormat="1" hidden="1" x14ac:dyDescent="0.3">
      <c r="A1818" s="22" t="s">
        <v>20</v>
      </c>
      <c r="B1818" s="21">
        <v>46057</v>
      </c>
      <c r="C1818" s="22" t="s">
        <v>47</v>
      </c>
      <c r="D1818" s="233"/>
      <c r="E1818" s="215"/>
      <c r="F1818" s="215"/>
      <c r="G1818" s="215"/>
      <c r="H1818" s="267"/>
      <c r="I1818" s="267"/>
      <c r="J1818" s="37"/>
      <c r="K1818" s="45">
        <v>0.52083333333333337</v>
      </c>
      <c r="L1818" s="48">
        <v>0.64583333333333337</v>
      </c>
      <c r="M1818" s="11">
        <f t="shared" si="28"/>
        <v>3</v>
      </c>
      <c r="N1818" s="249"/>
      <c r="P1818" s="4"/>
      <c r="Q1818" s="4"/>
      <c r="R1818" s="4"/>
      <c r="S1818" s="4"/>
      <c r="T1818" s="4"/>
      <c r="U1818" s="4"/>
      <c r="V1818" s="4"/>
      <c r="W1818" s="4"/>
    </row>
    <row r="1819" spans="1:23" s="32" customFormat="1" hidden="1" x14ac:dyDescent="0.3">
      <c r="A1819" s="22" t="s">
        <v>20</v>
      </c>
      <c r="B1819" s="21">
        <v>46057</v>
      </c>
      <c r="C1819" s="22" t="s">
        <v>15</v>
      </c>
      <c r="D1819" s="24" t="s">
        <v>65</v>
      </c>
      <c r="E1819" s="24" t="s">
        <v>1110</v>
      </c>
      <c r="F1819" s="24" t="s">
        <v>59</v>
      </c>
      <c r="G1819" s="41">
        <v>46055</v>
      </c>
      <c r="H1819" s="41">
        <v>46057</v>
      </c>
      <c r="I1819" s="41">
        <v>46057</v>
      </c>
      <c r="J1819" s="41"/>
      <c r="K1819" s="45">
        <v>0.27083333333333331</v>
      </c>
      <c r="L1819" s="48">
        <v>0.64583333333333337</v>
      </c>
      <c r="M1819" s="11">
        <f t="shared" si="28"/>
        <v>9.0000000000000018</v>
      </c>
      <c r="N1819" s="42" t="s">
        <v>0</v>
      </c>
      <c r="P1819" s="4"/>
      <c r="Q1819" s="4"/>
      <c r="R1819" s="4"/>
      <c r="S1819" s="4"/>
      <c r="T1819" s="4"/>
      <c r="U1819" s="4"/>
      <c r="V1819" s="4"/>
      <c r="W1819" s="4"/>
    </row>
    <row r="1820" spans="1:23" s="32" customFormat="1" hidden="1" x14ac:dyDescent="0.3">
      <c r="A1820" s="40" t="s">
        <v>21</v>
      </c>
      <c r="B1820" s="21">
        <v>46058</v>
      </c>
      <c r="C1820" s="40" t="s">
        <v>26</v>
      </c>
      <c r="D1820" s="40" t="s">
        <v>24</v>
      </c>
      <c r="E1820" s="40" t="s">
        <v>1153</v>
      </c>
      <c r="F1820" s="84" t="s">
        <v>947</v>
      </c>
      <c r="G1820" s="41">
        <v>46027</v>
      </c>
      <c r="H1820" s="41">
        <v>46027</v>
      </c>
      <c r="I1820" s="41">
        <v>46027</v>
      </c>
      <c r="J1820" s="41"/>
      <c r="K1820" s="51">
        <v>0.27083333333333331</v>
      </c>
      <c r="L1820" s="51">
        <v>0.64583333333333337</v>
      </c>
      <c r="M1820" s="11">
        <f t="shared" si="28"/>
        <v>9.0000000000000018</v>
      </c>
      <c r="N1820" s="67" t="s">
        <v>0</v>
      </c>
      <c r="P1820" s="4"/>
      <c r="Q1820" s="4"/>
      <c r="R1820" s="4"/>
      <c r="S1820" s="4"/>
      <c r="T1820" s="4"/>
      <c r="U1820" s="4"/>
      <c r="V1820" s="4"/>
      <c r="W1820" s="4"/>
    </row>
    <row r="1821" spans="1:23" s="32" customFormat="1" hidden="1" x14ac:dyDescent="0.3">
      <c r="A1821" s="10" t="s">
        <v>21</v>
      </c>
      <c r="B1821" s="21">
        <v>46058</v>
      </c>
      <c r="C1821" s="40" t="s">
        <v>23</v>
      </c>
      <c r="D1821" s="10" t="s">
        <v>24</v>
      </c>
      <c r="E1821" s="92" t="s">
        <v>1154</v>
      </c>
      <c r="F1821" s="84" t="s">
        <v>947</v>
      </c>
      <c r="G1821" s="41">
        <v>46027</v>
      </c>
      <c r="H1821" s="41">
        <v>46027</v>
      </c>
      <c r="I1821" s="41">
        <v>46027</v>
      </c>
      <c r="J1821" s="41"/>
      <c r="K1821" s="51">
        <v>0.35416666666666669</v>
      </c>
      <c r="L1821" s="51">
        <v>0.72916666666666663</v>
      </c>
      <c r="M1821" s="11">
        <f t="shared" si="28"/>
        <v>8.9999999999999982</v>
      </c>
      <c r="N1821" s="62" t="s">
        <v>0</v>
      </c>
      <c r="P1821" s="4"/>
      <c r="Q1821" s="4"/>
      <c r="R1821" s="4"/>
      <c r="S1821" s="4"/>
      <c r="T1821" s="4"/>
      <c r="U1821" s="4"/>
      <c r="V1821" s="4"/>
      <c r="W1821" s="4"/>
    </row>
    <row r="1822" spans="1:23" s="32" customFormat="1" hidden="1" x14ac:dyDescent="0.3">
      <c r="A1822" s="40" t="s">
        <v>21</v>
      </c>
      <c r="B1822" s="21">
        <v>46058</v>
      </c>
      <c r="C1822" s="40" t="s">
        <v>37</v>
      </c>
      <c r="D1822" s="40" t="s">
        <v>24</v>
      </c>
      <c r="E1822" s="40" t="s">
        <v>744</v>
      </c>
      <c r="F1822" s="84" t="s">
        <v>947</v>
      </c>
      <c r="G1822" s="41">
        <v>46027</v>
      </c>
      <c r="H1822" s="41">
        <v>46027</v>
      </c>
      <c r="I1822" s="41">
        <v>46027</v>
      </c>
      <c r="J1822" s="41"/>
      <c r="K1822" s="51">
        <v>0.27083333333333331</v>
      </c>
      <c r="L1822" s="51">
        <v>0.64583333333333337</v>
      </c>
      <c r="M1822" s="11">
        <f t="shared" si="28"/>
        <v>9.0000000000000018</v>
      </c>
      <c r="N1822" s="67" t="s">
        <v>0</v>
      </c>
      <c r="P1822" s="4"/>
      <c r="Q1822" s="4"/>
      <c r="R1822" s="4"/>
      <c r="S1822" s="4"/>
      <c r="T1822" s="4"/>
      <c r="U1822" s="4"/>
      <c r="V1822" s="4"/>
      <c r="W1822" s="4"/>
    </row>
    <row r="1823" spans="1:23" s="32" customFormat="1" hidden="1" x14ac:dyDescent="0.3">
      <c r="A1823" s="40" t="s">
        <v>21</v>
      </c>
      <c r="B1823" s="21">
        <v>46058</v>
      </c>
      <c r="C1823" s="40" t="s">
        <v>274</v>
      </c>
      <c r="D1823" s="262" t="s">
        <v>27</v>
      </c>
      <c r="E1823" s="276" t="s">
        <v>1140</v>
      </c>
      <c r="F1823" s="264" t="s">
        <v>589</v>
      </c>
      <c r="G1823" s="266">
        <v>46058</v>
      </c>
      <c r="H1823" s="266">
        <v>46058</v>
      </c>
      <c r="I1823" s="36"/>
      <c r="J1823" s="15"/>
      <c r="K1823" s="52">
        <v>0.35416666666666669</v>
      </c>
      <c r="L1823" s="51">
        <v>0.5</v>
      </c>
      <c r="M1823" s="11">
        <f t="shared" si="28"/>
        <v>3.4999999999999996</v>
      </c>
      <c r="N1823" s="281" t="s">
        <v>1</v>
      </c>
      <c r="P1823" s="4"/>
      <c r="Q1823" s="4"/>
      <c r="R1823" s="4"/>
      <c r="S1823" s="4"/>
      <c r="T1823" s="4"/>
      <c r="U1823" s="4"/>
      <c r="V1823" s="4"/>
      <c r="W1823" s="4"/>
    </row>
    <row r="1824" spans="1:23" s="32" customFormat="1" hidden="1" x14ac:dyDescent="0.3">
      <c r="A1824" s="40" t="s">
        <v>21</v>
      </c>
      <c r="B1824" s="21">
        <v>46058</v>
      </c>
      <c r="C1824" s="40" t="s">
        <v>18</v>
      </c>
      <c r="D1824" s="263"/>
      <c r="E1824" s="277"/>
      <c r="F1824" s="265"/>
      <c r="G1824" s="267"/>
      <c r="H1824" s="267"/>
      <c r="I1824" s="37"/>
      <c r="J1824" s="37"/>
      <c r="K1824" s="52">
        <v>0.35416666666666669</v>
      </c>
      <c r="L1824" s="51">
        <v>0.5</v>
      </c>
      <c r="M1824" s="11">
        <f t="shared" si="28"/>
        <v>3.4999999999999996</v>
      </c>
      <c r="N1824" s="282"/>
      <c r="P1824" s="4"/>
      <c r="Q1824" s="4"/>
      <c r="R1824" s="4"/>
      <c r="S1824" s="4"/>
      <c r="T1824" s="4"/>
      <c r="U1824" s="4"/>
      <c r="V1824" s="4"/>
      <c r="W1824" s="4"/>
    </row>
    <row r="1825" spans="1:23" s="32" customFormat="1" hidden="1" x14ac:dyDescent="0.3">
      <c r="A1825" s="40" t="s">
        <v>21</v>
      </c>
      <c r="B1825" s="21">
        <v>46058</v>
      </c>
      <c r="C1825" s="40" t="s">
        <v>274</v>
      </c>
      <c r="D1825" s="262" t="s">
        <v>8</v>
      </c>
      <c r="E1825" s="276" t="s">
        <v>966</v>
      </c>
      <c r="F1825" s="264" t="s">
        <v>1155</v>
      </c>
      <c r="G1825" s="266">
        <v>46058</v>
      </c>
      <c r="H1825" s="266">
        <v>46058</v>
      </c>
      <c r="I1825" s="15"/>
      <c r="J1825" s="15"/>
      <c r="K1825" s="51">
        <v>0.5</v>
      </c>
      <c r="L1825" s="51">
        <v>0.72916666666666663</v>
      </c>
      <c r="M1825" s="11">
        <f t="shared" si="28"/>
        <v>5.4999999999999991</v>
      </c>
      <c r="N1825" s="281" t="s">
        <v>1</v>
      </c>
      <c r="P1825" s="4"/>
      <c r="Q1825" s="4"/>
      <c r="R1825" s="4"/>
      <c r="S1825" s="4"/>
      <c r="T1825" s="4"/>
      <c r="U1825" s="4"/>
      <c r="V1825" s="4"/>
      <c r="W1825" s="4"/>
    </row>
    <row r="1826" spans="1:23" s="32" customFormat="1" hidden="1" x14ac:dyDescent="0.3">
      <c r="A1826" s="40" t="s">
        <v>21</v>
      </c>
      <c r="B1826" s="21">
        <v>46058</v>
      </c>
      <c r="C1826" s="40" t="s">
        <v>18</v>
      </c>
      <c r="D1826" s="263"/>
      <c r="E1826" s="280"/>
      <c r="F1826" s="273"/>
      <c r="G1826" s="268"/>
      <c r="H1826" s="268"/>
      <c r="I1826" s="15"/>
      <c r="J1826" s="15"/>
      <c r="K1826" s="54">
        <v>0.5</v>
      </c>
      <c r="L1826" s="54">
        <v>0.72916666666666663</v>
      </c>
      <c r="M1826" s="11">
        <f t="shared" si="28"/>
        <v>5.4999999999999991</v>
      </c>
      <c r="N1826" s="283"/>
      <c r="P1826" s="4"/>
      <c r="Q1826" s="4"/>
      <c r="R1826" s="4"/>
      <c r="S1826" s="4"/>
      <c r="T1826" s="4"/>
      <c r="U1826" s="4"/>
      <c r="V1826" s="4"/>
      <c r="W1826" s="4"/>
    </row>
    <row r="1827" spans="1:23" s="32" customFormat="1" hidden="1" x14ac:dyDescent="0.3">
      <c r="A1827" s="40" t="s">
        <v>21</v>
      </c>
      <c r="B1827" s="21">
        <v>46058</v>
      </c>
      <c r="C1827" s="40" t="s">
        <v>56</v>
      </c>
      <c r="D1827" s="40" t="s">
        <v>8</v>
      </c>
      <c r="E1827" s="92" t="s">
        <v>1169</v>
      </c>
      <c r="F1827" s="38" t="s">
        <v>1156</v>
      </c>
      <c r="G1827" s="41">
        <v>46027</v>
      </c>
      <c r="H1827" s="41">
        <v>46027</v>
      </c>
      <c r="I1827" s="41">
        <v>46027</v>
      </c>
      <c r="J1827" s="41"/>
      <c r="K1827" s="51">
        <v>0.27083333333333331</v>
      </c>
      <c r="L1827" s="52">
        <v>0.64583333333333337</v>
      </c>
      <c r="M1827" s="11">
        <f t="shared" si="28"/>
        <v>9.0000000000000018</v>
      </c>
      <c r="N1827" s="62" t="s">
        <v>0</v>
      </c>
      <c r="P1827" s="4"/>
      <c r="Q1827" s="4"/>
      <c r="R1827" s="4"/>
      <c r="S1827" s="4"/>
      <c r="T1827" s="4"/>
      <c r="U1827" s="4"/>
      <c r="V1827" s="4"/>
      <c r="W1827" s="4"/>
    </row>
    <row r="1828" spans="1:23" s="32" customFormat="1" hidden="1" x14ac:dyDescent="0.3">
      <c r="A1828" s="40" t="s">
        <v>21</v>
      </c>
      <c r="B1828" s="21">
        <v>46058</v>
      </c>
      <c r="C1828" s="8" t="s">
        <v>771</v>
      </c>
      <c r="D1828" s="10" t="s">
        <v>42</v>
      </c>
      <c r="E1828" s="92" t="s">
        <v>1157</v>
      </c>
      <c r="F1828" s="38" t="s">
        <v>764</v>
      </c>
      <c r="G1828" s="36">
        <v>46026</v>
      </c>
      <c r="H1828" s="41">
        <v>46027</v>
      </c>
      <c r="I1828" s="41">
        <v>46027</v>
      </c>
      <c r="J1828" s="36"/>
      <c r="K1828" s="54">
        <v>0.27083333333333331</v>
      </c>
      <c r="L1828" s="54">
        <v>0.64583333333333337</v>
      </c>
      <c r="M1828" s="11">
        <f t="shared" si="28"/>
        <v>9.0000000000000018</v>
      </c>
      <c r="N1828" s="62" t="s">
        <v>0</v>
      </c>
      <c r="P1828" s="4"/>
      <c r="Q1828" s="4"/>
      <c r="R1828" s="4"/>
      <c r="S1828" s="4"/>
      <c r="T1828" s="4"/>
      <c r="U1828" s="4"/>
      <c r="V1828" s="4"/>
      <c r="W1828" s="4"/>
    </row>
    <row r="1829" spans="1:23" s="32" customFormat="1" hidden="1" x14ac:dyDescent="0.3">
      <c r="A1829" s="40" t="s">
        <v>21</v>
      </c>
      <c r="B1829" s="21">
        <v>46058</v>
      </c>
      <c r="C1829" s="8" t="s">
        <v>25</v>
      </c>
      <c r="D1829" s="10" t="s">
        <v>42</v>
      </c>
      <c r="E1829" s="95" t="s">
        <v>1159</v>
      </c>
      <c r="F1829" s="84" t="s">
        <v>1143</v>
      </c>
      <c r="G1829" s="41">
        <v>46026</v>
      </c>
      <c r="H1829" s="41">
        <v>46027</v>
      </c>
      <c r="I1829" s="41">
        <v>46027</v>
      </c>
      <c r="J1829" s="41"/>
      <c r="K1829" s="51">
        <v>0.27083333333333331</v>
      </c>
      <c r="L1829" s="51">
        <v>0.5</v>
      </c>
      <c r="M1829" s="11">
        <f t="shared" si="28"/>
        <v>5.5</v>
      </c>
      <c r="N1829" s="62" t="s">
        <v>0</v>
      </c>
      <c r="P1829" s="4"/>
      <c r="Q1829" s="4"/>
      <c r="R1829" s="4"/>
      <c r="S1829" s="4"/>
      <c r="T1829" s="4"/>
      <c r="U1829" s="4"/>
      <c r="V1829" s="4"/>
      <c r="W1829" s="4"/>
    </row>
    <row r="1830" spans="1:23" s="32" customFormat="1" hidden="1" x14ac:dyDescent="0.3">
      <c r="A1830" s="40" t="s">
        <v>21</v>
      </c>
      <c r="B1830" s="21">
        <v>46058</v>
      </c>
      <c r="C1830" s="8" t="s">
        <v>25</v>
      </c>
      <c r="D1830" s="10" t="s">
        <v>42</v>
      </c>
      <c r="E1830" s="95" t="s">
        <v>1170</v>
      </c>
      <c r="F1830" s="39" t="s">
        <v>593</v>
      </c>
      <c r="G1830" s="41">
        <v>46027</v>
      </c>
      <c r="H1830" s="41">
        <v>46027</v>
      </c>
      <c r="I1830" s="41">
        <v>46027</v>
      </c>
      <c r="J1830" s="41"/>
      <c r="K1830" s="51">
        <v>0.5</v>
      </c>
      <c r="L1830" s="52">
        <v>0.64583333333333337</v>
      </c>
      <c r="M1830" s="11">
        <f t="shared" si="28"/>
        <v>3.5000000000000009</v>
      </c>
      <c r="N1830" s="62" t="s">
        <v>0</v>
      </c>
      <c r="P1830" s="4"/>
      <c r="Q1830" s="4"/>
      <c r="R1830" s="4"/>
      <c r="S1830" s="4"/>
      <c r="T1830" s="4"/>
      <c r="U1830" s="4"/>
      <c r="V1830" s="4"/>
      <c r="W1830" s="4"/>
    </row>
    <row r="1831" spans="1:23" s="32" customFormat="1" hidden="1" x14ac:dyDescent="0.3">
      <c r="A1831" s="40" t="s">
        <v>21</v>
      </c>
      <c r="B1831" s="21">
        <v>46058</v>
      </c>
      <c r="C1831" s="40" t="s">
        <v>118</v>
      </c>
      <c r="D1831" s="8" t="s">
        <v>54</v>
      </c>
      <c r="E1831" s="95" t="s">
        <v>688</v>
      </c>
      <c r="F1831" s="8" t="s">
        <v>1158</v>
      </c>
      <c r="G1831" s="41">
        <v>46027</v>
      </c>
      <c r="H1831" s="41">
        <v>46027</v>
      </c>
      <c r="I1831" s="41">
        <v>46027</v>
      </c>
      <c r="J1831" s="41"/>
      <c r="K1831" s="51">
        <v>0.35416666666666669</v>
      </c>
      <c r="L1831" s="51">
        <v>0.72916666666666663</v>
      </c>
      <c r="M1831" s="11">
        <f t="shared" si="28"/>
        <v>8.9999999999999982</v>
      </c>
      <c r="N1831" s="42" t="s">
        <v>0</v>
      </c>
      <c r="P1831" s="4"/>
      <c r="Q1831" s="4"/>
      <c r="R1831" s="4"/>
      <c r="S1831" s="4"/>
      <c r="T1831" s="4"/>
      <c r="U1831" s="4"/>
      <c r="V1831" s="4"/>
      <c r="W1831" s="4"/>
    </row>
    <row r="1832" spans="1:23" s="32" customFormat="1" hidden="1" x14ac:dyDescent="0.3">
      <c r="A1832" s="8" t="s">
        <v>21</v>
      </c>
      <c r="B1832" s="21">
        <v>46058</v>
      </c>
      <c r="C1832" s="8" t="s">
        <v>55</v>
      </c>
      <c r="D1832" s="8" t="s">
        <v>43</v>
      </c>
      <c r="E1832" s="95" t="s">
        <v>373</v>
      </c>
      <c r="F1832" s="8" t="s">
        <v>884</v>
      </c>
      <c r="G1832" s="37">
        <v>46057</v>
      </c>
      <c r="H1832" s="41">
        <v>46027</v>
      </c>
      <c r="I1832" s="37"/>
      <c r="J1832" s="37"/>
      <c r="K1832" s="52">
        <v>0.27083333333333331</v>
      </c>
      <c r="L1832" s="52">
        <v>0.64583333333333337</v>
      </c>
      <c r="M1832" s="11">
        <f t="shared" si="28"/>
        <v>9.0000000000000018</v>
      </c>
      <c r="N1832" s="66" t="s">
        <v>1</v>
      </c>
      <c r="P1832" s="4"/>
      <c r="Q1832" s="4"/>
      <c r="R1832" s="4"/>
      <c r="S1832" s="4"/>
      <c r="T1832" s="4"/>
      <c r="U1832" s="4"/>
      <c r="V1832" s="4"/>
      <c r="W1832" s="4"/>
    </row>
    <row r="1833" spans="1:23" s="32" customFormat="1" hidden="1" x14ac:dyDescent="0.3">
      <c r="A1833" s="22" t="s">
        <v>19</v>
      </c>
      <c r="B1833" s="21">
        <v>46058</v>
      </c>
      <c r="C1833" s="22" t="s">
        <v>9</v>
      </c>
      <c r="D1833" s="216" t="s">
        <v>8</v>
      </c>
      <c r="E1833" s="216" t="s">
        <v>1160</v>
      </c>
      <c r="F1833" s="216" t="s">
        <v>1161</v>
      </c>
      <c r="G1833" s="266">
        <v>46058</v>
      </c>
      <c r="H1833" s="266">
        <v>46058</v>
      </c>
      <c r="I1833" s="266"/>
      <c r="J1833" s="36"/>
      <c r="K1833" s="47">
        <v>0.35416666666666669</v>
      </c>
      <c r="L1833" s="52">
        <v>0.47916666666666669</v>
      </c>
      <c r="M1833" s="11">
        <f t="shared" si="28"/>
        <v>3</v>
      </c>
      <c r="N1833" s="227" t="s">
        <v>1</v>
      </c>
      <c r="P1833" s="4"/>
      <c r="Q1833" s="4"/>
      <c r="R1833" s="4"/>
      <c r="S1833" s="4"/>
      <c r="T1833" s="4"/>
      <c r="U1833" s="4"/>
      <c r="V1833" s="4"/>
      <c r="W1833" s="4"/>
    </row>
    <row r="1834" spans="1:23" s="32" customFormat="1" hidden="1" x14ac:dyDescent="0.3">
      <c r="A1834" s="22" t="s">
        <v>19</v>
      </c>
      <c r="B1834" s="21">
        <v>46058</v>
      </c>
      <c r="C1834" s="22" t="s">
        <v>208</v>
      </c>
      <c r="D1834" s="217"/>
      <c r="E1834" s="217"/>
      <c r="F1834" s="217"/>
      <c r="G1834" s="267"/>
      <c r="H1834" s="267"/>
      <c r="I1834" s="267"/>
      <c r="J1834" s="15"/>
      <c r="K1834" s="47">
        <v>0.35416666666666669</v>
      </c>
      <c r="L1834" s="52">
        <v>0.47916666666666669</v>
      </c>
      <c r="M1834" s="11">
        <f t="shared" si="28"/>
        <v>3</v>
      </c>
      <c r="N1834" s="228"/>
      <c r="P1834" s="4"/>
      <c r="Q1834" s="4"/>
      <c r="R1834" s="4"/>
      <c r="S1834" s="4"/>
      <c r="T1834" s="4"/>
      <c r="U1834" s="4"/>
      <c r="V1834" s="4"/>
      <c r="W1834" s="4"/>
    </row>
    <row r="1835" spans="1:23" s="32" customFormat="1" hidden="1" x14ac:dyDescent="0.3">
      <c r="A1835" s="22" t="s">
        <v>19</v>
      </c>
      <c r="B1835" s="21">
        <v>46058</v>
      </c>
      <c r="C1835" s="22" t="s">
        <v>9</v>
      </c>
      <c r="D1835" s="24" t="s">
        <v>8</v>
      </c>
      <c r="E1835" s="14" t="s">
        <v>1172</v>
      </c>
      <c r="F1835" s="14" t="s">
        <v>244</v>
      </c>
      <c r="G1835" s="41">
        <v>46027</v>
      </c>
      <c r="H1835" s="41">
        <v>46027</v>
      </c>
      <c r="I1835" s="41">
        <v>46027</v>
      </c>
      <c r="J1835" s="37"/>
      <c r="K1835" s="52">
        <v>0.64583333333333337</v>
      </c>
      <c r="L1835" s="52">
        <v>0.6875</v>
      </c>
      <c r="M1835" s="11">
        <f t="shared" si="28"/>
        <v>0.99999999999999911</v>
      </c>
      <c r="N1835" s="62" t="s">
        <v>0</v>
      </c>
      <c r="P1835" s="4"/>
      <c r="Q1835" s="4"/>
      <c r="R1835" s="4"/>
      <c r="S1835" s="4"/>
      <c r="T1835" s="4"/>
      <c r="U1835" s="4"/>
      <c r="V1835" s="4"/>
      <c r="W1835" s="4"/>
    </row>
    <row r="1836" spans="1:23" s="32" customFormat="1" hidden="1" x14ac:dyDescent="0.3">
      <c r="A1836" s="22" t="s">
        <v>19</v>
      </c>
      <c r="B1836" s="21">
        <v>46058</v>
      </c>
      <c r="C1836" s="22" t="s">
        <v>9</v>
      </c>
      <c r="D1836" s="13" t="s">
        <v>27</v>
      </c>
      <c r="E1836" s="14" t="s">
        <v>82</v>
      </c>
      <c r="F1836" s="14" t="s">
        <v>82</v>
      </c>
      <c r="G1836" s="41">
        <v>46027</v>
      </c>
      <c r="H1836" s="41">
        <v>46027</v>
      </c>
      <c r="I1836" s="41">
        <v>46027</v>
      </c>
      <c r="J1836" s="37"/>
      <c r="K1836" s="52">
        <v>0.6875</v>
      </c>
      <c r="L1836" s="52">
        <v>0.72916666666666663</v>
      </c>
      <c r="M1836" s="11">
        <f t="shared" si="28"/>
        <v>0.99999999999999911</v>
      </c>
      <c r="N1836" s="62" t="s">
        <v>0</v>
      </c>
      <c r="P1836" s="4"/>
      <c r="Q1836" s="4"/>
      <c r="R1836" s="4"/>
      <c r="S1836" s="4"/>
      <c r="T1836" s="4"/>
      <c r="U1836" s="4"/>
      <c r="V1836" s="4"/>
      <c r="W1836" s="4"/>
    </row>
    <row r="1837" spans="1:23" s="32" customFormat="1" hidden="1" x14ac:dyDescent="0.3">
      <c r="A1837" s="22" t="s">
        <v>19</v>
      </c>
      <c r="B1837" s="21">
        <v>46058</v>
      </c>
      <c r="C1837" s="22" t="s">
        <v>208</v>
      </c>
      <c r="D1837" s="24" t="s">
        <v>8</v>
      </c>
      <c r="E1837" s="14" t="s">
        <v>643</v>
      </c>
      <c r="F1837" s="14" t="s">
        <v>1171</v>
      </c>
      <c r="G1837" s="41">
        <v>46027</v>
      </c>
      <c r="H1837" s="41">
        <v>46027</v>
      </c>
      <c r="I1837" s="41">
        <v>46027</v>
      </c>
      <c r="J1837" s="37"/>
      <c r="K1837" s="52">
        <v>0.47916666666666669</v>
      </c>
      <c r="L1837" s="52">
        <v>0.64583333333333337</v>
      </c>
      <c r="M1837" s="11">
        <f t="shared" si="28"/>
        <v>4</v>
      </c>
      <c r="N1837" s="62" t="s">
        <v>0</v>
      </c>
      <c r="P1837" s="4"/>
      <c r="Q1837" s="4"/>
      <c r="R1837" s="4"/>
      <c r="S1837" s="4"/>
      <c r="T1837" s="4"/>
      <c r="U1837" s="4"/>
      <c r="V1837" s="4"/>
      <c r="W1837" s="4"/>
    </row>
    <row r="1838" spans="1:23" s="32" customFormat="1" hidden="1" x14ac:dyDescent="0.3">
      <c r="A1838" s="22" t="s">
        <v>19</v>
      </c>
      <c r="B1838" s="21">
        <v>46058</v>
      </c>
      <c r="C1838" s="22" t="s">
        <v>1111</v>
      </c>
      <c r="D1838" s="216" t="s">
        <v>44</v>
      </c>
      <c r="E1838" s="216" t="s">
        <v>1121</v>
      </c>
      <c r="F1838" s="216" t="s">
        <v>1162</v>
      </c>
      <c r="G1838" s="266">
        <v>46058</v>
      </c>
      <c r="H1838" s="266">
        <v>46060</v>
      </c>
      <c r="I1838" s="266">
        <v>46060</v>
      </c>
      <c r="J1838" s="15"/>
      <c r="K1838" s="52">
        <v>0.27083333333333331</v>
      </c>
      <c r="L1838" s="52">
        <v>0.64583333333333337</v>
      </c>
      <c r="M1838" s="11">
        <f t="shared" si="28"/>
        <v>9.0000000000000018</v>
      </c>
      <c r="N1838" s="224" t="s">
        <v>0</v>
      </c>
      <c r="P1838" s="4"/>
      <c r="Q1838" s="4"/>
      <c r="R1838" s="4"/>
      <c r="S1838" s="4"/>
      <c r="T1838" s="4"/>
      <c r="U1838" s="4"/>
      <c r="V1838" s="4"/>
      <c r="W1838" s="4"/>
    </row>
    <row r="1839" spans="1:23" s="32" customFormat="1" hidden="1" x14ac:dyDescent="0.3">
      <c r="A1839" s="22" t="s">
        <v>19</v>
      </c>
      <c r="B1839" s="21">
        <v>46058</v>
      </c>
      <c r="C1839" s="22" t="s">
        <v>208</v>
      </c>
      <c r="D1839" s="217"/>
      <c r="E1839" s="217"/>
      <c r="F1839" s="217"/>
      <c r="G1839" s="267"/>
      <c r="H1839" s="267"/>
      <c r="I1839" s="267"/>
      <c r="J1839" s="15"/>
      <c r="K1839" s="47">
        <v>0.35416666666666669</v>
      </c>
      <c r="L1839" s="48">
        <v>0.72916666666666663</v>
      </c>
      <c r="M1839" s="11">
        <f t="shared" si="28"/>
        <v>8.9999999999999982</v>
      </c>
      <c r="N1839" s="225"/>
      <c r="P1839" s="4"/>
      <c r="Q1839" s="4"/>
      <c r="R1839" s="4"/>
      <c r="S1839" s="4"/>
      <c r="T1839" s="4"/>
      <c r="U1839" s="4"/>
      <c r="V1839" s="4"/>
      <c r="W1839" s="4"/>
    </row>
    <row r="1840" spans="1:23" s="32" customFormat="1" hidden="1" x14ac:dyDescent="0.3">
      <c r="A1840" s="22" t="s">
        <v>20</v>
      </c>
      <c r="B1840" s="21">
        <v>46058</v>
      </c>
      <c r="C1840" s="69" t="s">
        <v>1003</v>
      </c>
      <c r="D1840" s="214" t="s">
        <v>44</v>
      </c>
      <c r="E1840" s="214" t="s">
        <v>1125</v>
      </c>
      <c r="F1840" s="241" t="s">
        <v>59</v>
      </c>
      <c r="G1840" s="266">
        <v>46058</v>
      </c>
      <c r="H1840" s="266">
        <v>46059</v>
      </c>
      <c r="I1840" s="266">
        <v>46059</v>
      </c>
      <c r="J1840" s="36"/>
      <c r="K1840" s="47">
        <v>0.35416666666666669</v>
      </c>
      <c r="L1840" s="48">
        <v>0.72916666666666663</v>
      </c>
      <c r="M1840" s="11">
        <f t="shared" si="28"/>
        <v>8.9999999999999982</v>
      </c>
      <c r="N1840" s="224" t="s">
        <v>0</v>
      </c>
      <c r="P1840" s="4"/>
      <c r="Q1840" s="4"/>
      <c r="R1840" s="4"/>
      <c r="S1840" s="4"/>
      <c r="T1840" s="4"/>
      <c r="U1840" s="4"/>
      <c r="V1840" s="4"/>
      <c r="W1840" s="4"/>
    </row>
    <row r="1841" spans="1:23" s="32" customFormat="1" hidden="1" x14ac:dyDescent="0.3">
      <c r="A1841" s="22" t="s">
        <v>20</v>
      </c>
      <c r="B1841" s="21">
        <v>46058</v>
      </c>
      <c r="C1841" s="69" t="s">
        <v>33</v>
      </c>
      <c r="D1841" s="215"/>
      <c r="E1841" s="215"/>
      <c r="F1841" s="248"/>
      <c r="G1841" s="267"/>
      <c r="H1841" s="267"/>
      <c r="I1841" s="267"/>
      <c r="J1841" s="37"/>
      <c r="K1841" s="51">
        <v>0.27083333333333331</v>
      </c>
      <c r="L1841" s="51">
        <v>0.64583333333333337</v>
      </c>
      <c r="M1841" s="11">
        <f t="shared" si="28"/>
        <v>9.0000000000000018</v>
      </c>
      <c r="N1841" s="225"/>
      <c r="P1841" s="4"/>
      <c r="Q1841" s="4"/>
      <c r="R1841" s="4"/>
      <c r="S1841" s="4"/>
      <c r="T1841" s="4"/>
      <c r="U1841" s="4"/>
      <c r="V1841" s="4"/>
      <c r="W1841" s="4"/>
    </row>
    <row r="1842" spans="1:23" s="32" customFormat="1" hidden="1" x14ac:dyDescent="0.3">
      <c r="A1842" s="11" t="s">
        <v>20</v>
      </c>
      <c r="B1842" s="21">
        <v>46058</v>
      </c>
      <c r="C1842" s="22" t="s">
        <v>421</v>
      </c>
      <c r="D1842" s="22" t="s">
        <v>44</v>
      </c>
      <c r="E1842" s="22" t="s">
        <v>1163</v>
      </c>
      <c r="F1842" s="22" t="s">
        <v>1164</v>
      </c>
      <c r="G1842" s="36">
        <v>46058</v>
      </c>
      <c r="H1842" s="36">
        <v>46059</v>
      </c>
      <c r="I1842" s="36">
        <v>46059</v>
      </c>
      <c r="J1842" s="36"/>
      <c r="K1842" s="51">
        <v>0.27083333333333331</v>
      </c>
      <c r="L1842" s="51">
        <v>0.64583333333333337</v>
      </c>
      <c r="M1842" s="11">
        <f t="shared" si="28"/>
        <v>9.0000000000000018</v>
      </c>
      <c r="N1842" s="42" t="s">
        <v>0</v>
      </c>
      <c r="P1842" s="4"/>
      <c r="Q1842" s="4"/>
      <c r="R1842" s="4"/>
      <c r="S1842" s="4"/>
      <c r="T1842" s="4"/>
      <c r="U1842" s="4"/>
      <c r="V1842" s="4"/>
      <c r="W1842" s="4"/>
    </row>
    <row r="1843" spans="1:23" s="32" customFormat="1" hidden="1" x14ac:dyDescent="0.3">
      <c r="A1843" s="11" t="s">
        <v>20</v>
      </c>
      <c r="B1843" s="21">
        <v>46058</v>
      </c>
      <c r="C1843" s="22" t="s">
        <v>14</v>
      </c>
      <c r="D1843" s="22" t="s">
        <v>44</v>
      </c>
      <c r="E1843" s="22" t="s">
        <v>1135</v>
      </c>
      <c r="F1843" s="22" t="s">
        <v>1165</v>
      </c>
      <c r="G1843" s="36">
        <v>46058</v>
      </c>
      <c r="H1843" s="36">
        <v>46061</v>
      </c>
      <c r="I1843" s="36">
        <v>46061</v>
      </c>
      <c r="J1843" s="36"/>
      <c r="K1843" s="51">
        <v>0.27083333333333331</v>
      </c>
      <c r="L1843" s="51">
        <v>0.64583333333333337</v>
      </c>
      <c r="M1843" s="11">
        <f t="shared" si="28"/>
        <v>9.0000000000000018</v>
      </c>
      <c r="N1843" s="42" t="s">
        <v>0</v>
      </c>
      <c r="P1843" s="4"/>
      <c r="Q1843" s="4"/>
      <c r="R1843" s="4"/>
      <c r="S1843" s="4"/>
      <c r="T1843" s="4"/>
      <c r="U1843" s="4"/>
      <c r="V1843" s="4"/>
      <c r="W1843" s="4"/>
    </row>
    <row r="1844" spans="1:23" s="32" customFormat="1" hidden="1" x14ac:dyDescent="0.3">
      <c r="A1844" s="22" t="s">
        <v>20</v>
      </c>
      <c r="B1844" s="21">
        <v>46058</v>
      </c>
      <c r="C1844" s="22" t="s">
        <v>47</v>
      </c>
      <c r="D1844" s="24" t="s">
        <v>65</v>
      </c>
      <c r="E1844" s="24" t="s">
        <v>1148</v>
      </c>
      <c r="F1844" s="25" t="s">
        <v>1149</v>
      </c>
      <c r="G1844" s="41">
        <v>46055</v>
      </c>
      <c r="H1844" s="41">
        <v>46058</v>
      </c>
      <c r="I1844" s="41">
        <v>46058</v>
      </c>
      <c r="J1844" s="41"/>
      <c r="K1844" s="45">
        <v>0.60416666666666663</v>
      </c>
      <c r="L1844" s="45">
        <v>0.72916666666666663</v>
      </c>
      <c r="M1844" s="11">
        <f t="shared" si="28"/>
        <v>3</v>
      </c>
      <c r="N1844" s="42" t="s">
        <v>0</v>
      </c>
      <c r="P1844" s="4"/>
      <c r="Q1844" s="4"/>
      <c r="R1844" s="4"/>
      <c r="S1844" s="4"/>
      <c r="T1844" s="4"/>
      <c r="U1844" s="4"/>
      <c r="V1844" s="4"/>
      <c r="W1844" s="4"/>
    </row>
    <row r="1845" spans="1:23" s="32" customFormat="1" hidden="1" x14ac:dyDescent="0.3">
      <c r="A1845" s="22" t="s">
        <v>20</v>
      </c>
      <c r="B1845" s="21">
        <v>46058</v>
      </c>
      <c r="C1845" s="22" t="s">
        <v>1023</v>
      </c>
      <c r="D1845" s="24" t="s">
        <v>65</v>
      </c>
      <c r="E1845" s="24" t="s">
        <v>1168</v>
      </c>
      <c r="F1845" s="24" t="s">
        <v>1151</v>
      </c>
      <c r="G1845" s="41">
        <v>46058</v>
      </c>
      <c r="H1845" s="41">
        <v>46058</v>
      </c>
      <c r="I1845" s="41">
        <v>46058</v>
      </c>
      <c r="J1845" s="41"/>
      <c r="K1845" s="45">
        <v>0.35416666666666669</v>
      </c>
      <c r="L1845" s="45">
        <v>0.72916666666666663</v>
      </c>
      <c r="M1845" s="11">
        <f t="shared" si="28"/>
        <v>8.9999999999999982</v>
      </c>
      <c r="N1845" s="42" t="s">
        <v>0</v>
      </c>
      <c r="P1845" s="4"/>
      <c r="Q1845" s="4"/>
      <c r="R1845" s="4"/>
      <c r="S1845" s="4"/>
      <c r="T1845" s="4"/>
      <c r="U1845" s="4"/>
      <c r="V1845" s="4"/>
      <c r="W1845" s="4"/>
    </row>
    <row r="1846" spans="1:23" s="32" customFormat="1" hidden="1" x14ac:dyDescent="0.3">
      <c r="A1846" s="22" t="s">
        <v>20</v>
      </c>
      <c r="B1846" s="21">
        <v>46058</v>
      </c>
      <c r="C1846" s="22" t="s">
        <v>17</v>
      </c>
      <c r="D1846" s="24" t="s">
        <v>65</v>
      </c>
      <c r="E1846" s="24" t="s">
        <v>1108</v>
      </c>
      <c r="F1846" s="24" t="s">
        <v>115</v>
      </c>
      <c r="G1846" s="41">
        <v>46055</v>
      </c>
      <c r="H1846" s="41">
        <v>46058</v>
      </c>
      <c r="I1846" s="41">
        <v>46058</v>
      </c>
      <c r="J1846" s="41"/>
      <c r="K1846" s="45">
        <v>0.27083333333333331</v>
      </c>
      <c r="L1846" s="48">
        <v>0.64583333333333337</v>
      </c>
      <c r="M1846" s="11">
        <f t="shared" si="28"/>
        <v>9.0000000000000018</v>
      </c>
      <c r="N1846" s="42" t="s">
        <v>0</v>
      </c>
      <c r="P1846" s="4"/>
      <c r="Q1846" s="4"/>
      <c r="R1846" s="4"/>
      <c r="S1846" s="4"/>
      <c r="T1846" s="4"/>
      <c r="U1846" s="4"/>
      <c r="V1846" s="4"/>
      <c r="W1846" s="4"/>
    </row>
    <row r="1847" spans="1:23" s="32" customFormat="1" hidden="1" x14ac:dyDescent="0.3">
      <c r="A1847" s="22" t="s">
        <v>20</v>
      </c>
      <c r="B1847" s="21">
        <v>46058</v>
      </c>
      <c r="C1847" s="22" t="s">
        <v>1023</v>
      </c>
      <c r="D1847" s="24" t="s">
        <v>65</v>
      </c>
      <c r="E1847" s="13" t="s">
        <v>1150</v>
      </c>
      <c r="F1847" s="13" t="s">
        <v>1151</v>
      </c>
      <c r="G1847" s="41">
        <v>46057</v>
      </c>
      <c r="H1847" s="41">
        <v>46057</v>
      </c>
      <c r="I1847" s="41">
        <v>46057</v>
      </c>
      <c r="J1847" s="41"/>
      <c r="K1847" s="45">
        <v>0.35416666666666669</v>
      </c>
      <c r="L1847" s="45">
        <v>0.72916666666666663</v>
      </c>
      <c r="M1847" s="11">
        <f t="shared" si="28"/>
        <v>8.9999999999999982</v>
      </c>
      <c r="N1847" s="42" t="s">
        <v>0</v>
      </c>
      <c r="P1847" s="4"/>
      <c r="Q1847" s="4"/>
      <c r="R1847" s="4"/>
      <c r="S1847" s="4"/>
      <c r="T1847" s="4"/>
      <c r="U1847" s="4"/>
      <c r="V1847" s="4"/>
      <c r="W1847" s="4"/>
    </row>
    <row r="1848" spans="1:23" s="32" customFormat="1" hidden="1" x14ac:dyDescent="0.3">
      <c r="A1848" s="22" t="s">
        <v>20</v>
      </c>
      <c r="B1848" s="21">
        <v>46058</v>
      </c>
      <c r="C1848" s="22" t="s">
        <v>167</v>
      </c>
      <c r="D1848" s="13" t="s">
        <v>65</v>
      </c>
      <c r="E1848" s="24" t="s">
        <v>1166</v>
      </c>
      <c r="F1848" s="24" t="s">
        <v>191</v>
      </c>
      <c r="G1848" s="41">
        <v>46058</v>
      </c>
      <c r="H1848" s="41">
        <v>46058</v>
      </c>
      <c r="I1848" s="41">
        <v>46058</v>
      </c>
      <c r="J1848" s="41"/>
      <c r="K1848" s="45">
        <v>0.35416666666666669</v>
      </c>
      <c r="L1848" s="48">
        <v>0.64583333333333337</v>
      </c>
      <c r="M1848" s="11">
        <f t="shared" si="28"/>
        <v>7</v>
      </c>
      <c r="N1848" s="42" t="s">
        <v>0</v>
      </c>
      <c r="P1848" s="4"/>
      <c r="Q1848" s="4"/>
      <c r="R1848" s="4"/>
      <c r="S1848" s="4"/>
      <c r="T1848" s="4"/>
      <c r="U1848" s="4"/>
      <c r="V1848" s="4"/>
      <c r="W1848" s="4"/>
    </row>
    <row r="1849" spans="1:23" s="32" customFormat="1" hidden="1" x14ac:dyDescent="0.3">
      <c r="A1849" s="22" t="s">
        <v>20</v>
      </c>
      <c r="B1849" s="21">
        <v>46058</v>
      </c>
      <c r="C1849" s="22" t="s">
        <v>167</v>
      </c>
      <c r="D1849" s="13" t="s">
        <v>65</v>
      </c>
      <c r="E1849" s="14" t="s">
        <v>979</v>
      </c>
      <c r="F1849" s="14" t="s">
        <v>1167</v>
      </c>
      <c r="G1849" s="41">
        <v>46058</v>
      </c>
      <c r="H1849" s="41">
        <v>46058</v>
      </c>
      <c r="I1849" s="41">
        <v>46058</v>
      </c>
      <c r="J1849" s="41"/>
      <c r="K1849" s="45">
        <v>0.27083333333333331</v>
      </c>
      <c r="L1849" s="53">
        <v>0.35416666666666669</v>
      </c>
      <c r="M1849" s="11">
        <f t="shared" si="28"/>
        <v>2.0000000000000009</v>
      </c>
      <c r="N1849" s="42" t="s">
        <v>0</v>
      </c>
      <c r="P1849" s="4"/>
      <c r="Q1849" s="4"/>
      <c r="R1849" s="4"/>
      <c r="S1849" s="4"/>
      <c r="T1849" s="4"/>
      <c r="U1849" s="4"/>
      <c r="V1849" s="4"/>
      <c r="W1849" s="4"/>
    </row>
    <row r="1850" spans="1:23" s="32" customFormat="1" hidden="1" x14ac:dyDescent="0.3">
      <c r="A1850" s="22" t="s">
        <v>20</v>
      </c>
      <c r="B1850" s="21">
        <v>46058</v>
      </c>
      <c r="C1850" s="22" t="s">
        <v>167</v>
      </c>
      <c r="D1850" s="24" t="s">
        <v>65</v>
      </c>
      <c r="E1850" s="14" t="s">
        <v>1152</v>
      </c>
      <c r="F1850" s="14" t="s">
        <v>1151</v>
      </c>
      <c r="G1850" s="41">
        <v>46057</v>
      </c>
      <c r="H1850" s="41">
        <v>46057</v>
      </c>
      <c r="I1850" s="41">
        <v>46057</v>
      </c>
      <c r="J1850" s="41"/>
      <c r="K1850" s="45">
        <v>0.52083333333333337</v>
      </c>
      <c r="L1850" s="48">
        <v>0.64583333333333337</v>
      </c>
      <c r="M1850" s="11">
        <f t="shared" si="28"/>
        <v>3</v>
      </c>
      <c r="N1850" s="42" t="s">
        <v>0</v>
      </c>
      <c r="P1850" s="4"/>
      <c r="Q1850" s="4"/>
      <c r="R1850" s="4"/>
      <c r="S1850" s="4"/>
      <c r="T1850" s="4"/>
      <c r="U1850" s="4"/>
      <c r="V1850" s="4"/>
      <c r="W1850" s="4"/>
    </row>
    <row r="1851" spans="1:23" s="32" customFormat="1" hidden="1" x14ac:dyDescent="0.3">
      <c r="A1851" s="22" t="s">
        <v>20</v>
      </c>
      <c r="B1851" s="21">
        <v>46058</v>
      </c>
      <c r="C1851" s="22" t="s">
        <v>1093</v>
      </c>
      <c r="D1851" s="233" t="s">
        <v>65</v>
      </c>
      <c r="E1851" s="233" t="s">
        <v>936</v>
      </c>
      <c r="F1851" s="233" t="s">
        <v>279</v>
      </c>
      <c r="G1851" s="223">
        <v>46053</v>
      </c>
      <c r="H1851" s="266">
        <v>46058</v>
      </c>
      <c r="I1851" s="266">
        <v>46058</v>
      </c>
      <c r="J1851" s="36"/>
      <c r="K1851" s="45">
        <v>0.27083333333333331</v>
      </c>
      <c r="L1851" s="48">
        <v>0.52083333333333337</v>
      </c>
      <c r="M1851" s="11">
        <f t="shared" si="28"/>
        <v>6.0000000000000018</v>
      </c>
      <c r="N1851" s="249" t="s">
        <v>0</v>
      </c>
      <c r="P1851" s="4"/>
      <c r="Q1851" s="4"/>
      <c r="R1851" s="4"/>
      <c r="S1851" s="4"/>
      <c r="T1851" s="4"/>
      <c r="U1851" s="4"/>
      <c r="V1851" s="4"/>
      <c r="W1851" s="4"/>
    </row>
    <row r="1852" spans="1:23" s="32" customFormat="1" hidden="1" x14ac:dyDescent="0.3">
      <c r="A1852" s="22" t="s">
        <v>20</v>
      </c>
      <c r="B1852" s="21">
        <v>46058</v>
      </c>
      <c r="C1852" s="22" t="s">
        <v>31</v>
      </c>
      <c r="D1852" s="233"/>
      <c r="E1852" s="233"/>
      <c r="F1852" s="233"/>
      <c r="G1852" s="233"/>
      <c r="H1852" s="267"/>
      <c r="I1852" s="267"/>
      <c r="J1852" s="37"/>
      <c r="K1852" s="45">
        <v>0.27083333333333331</v>
      </c>
      <c r="L1852" s="48">
        <v>0.64583333333333337</v>
      </c>
      <c r="M1852" s="11">
        <f t="shared" si="28"/>
        <v>9.0000000000000018</v>
      </c>
      <c r="N1852" s="249"/>
      <c r="P1852" s="4"/>
      <c r="Q1852" s="4"/>
      <c r="R1852" s="4"/>
      <c r="S1852" s="4"/>
      <c r="T1852" s="4"/>
      <c r="U1852" s="4"/>
      <c r="V1852" s="4"/>
      <c r="W1852" s="4"/>
    </row>
    <row r="1853" spans="1:23" s="32" customFormat="1" ht="13.8" hidden="1" customHeight="1" x14ac:dyDescent="0.3">
      <c r="A1853" s="22" t="s">
        <v>20</v>
      </c>
      <c r="B1853" s="21">
        <v>46058</v>
      </c>
      <c r="C1853" s="22" t="s">
        <v>15</v>
      </c>
      <c r="D1853" s="24" t="s">
        <v>65</v>
      </c>
      <c r="E1853" s="24" t="s">
        <v>1110</v>
      </c>
      <c r="F1853" s="24" t="s">
        <v>162</v>
      </c>
      <c r="G1853" s="41">
        <v>46055</v>
      </c>
      <c r="H1853" s="41">
        <v>46058</v>
      </c>
      <c r="I1853" s="41">
        <v>46058</v>
      </c>
      <c r="J1853" s="37"/>
      <c r="K1853" s="45">
        <v>0.27083333333333331</v>
      </c>
      <c r="L1853" s="48">
        <v>0.64583333333333337</v>
      </c>
      <c r="M1853" s="11">
        <f t="shared" si="28"/>
        <v>9.0000000000000018</v>
      </c>
      <c r="N1853" s="42" t="s">
        <v>0</v>
      </c>
      <c r="P1853" s="4"/>
      <c r="Q1853" s="4"/>
      <c r="R1853" s="4"/>
      <c r="S1853" s="4"/>
      <c r="T1853" s="4"/>
      <c r="U1853" s="4"/>
      <c r="V1853" s="4"/>
      <c r="W1853" s="4"/>
    </row>
    <row r="1854" spans="1:23" hidden="1" x14ac:dyDescent="0.3">
      <c r="A1854" s="107" t="s">
        <v>21</v>
      </c>
      <c r="B1854" s="108">
        <v>46059</v>
      </c>
      <c r="C1854" s="107" t="s">
        <v>26</v>
      </c>
      <c r="D1854" s="109" t="s">
        <v>24</v>
      </c>
      <c r="E1854" s="110" t="s">
        <v>1173</v>
      </c>
      <c r="F1854" s="111" t="s">
        <v>947</v>
      </c>
      <c r="G1854" s="166">
        <v>46028</v>
      </c>
      <c r="H1854" s="166">
        <v>46028</v>
      </c>
      <c r="I1854" s="166"/>
      <c r="J1854" s="37"/>
      <c r="K1854" s="167">
        <v>0.27083333333333331</v>
      </c>
      <c r="L1854" s="167">
        <v>0.64583333333333337</v>
      </c>
      <c r="M1854" s="11">
        <f t="shared" si="28"/>
        <v>9.0000000000000018</v>
      </c>
      <c r="N1854" s="168" t="s">
        <v>0</v>
      </c>
    </row>
    <row r="1855" spans="1:23" hidden="1" x14ac:dyDescent="0.3">
      <c r="A1855" s="112" t="s">
        <v>21</v>
      </c>
      <c r="B1855" s="108">
        <v>46059</v>
      </c>
      <c r="C1855" s="107" t="s">
        <v>23</v>
      </c>
      <c r="D1855" s="113" t="s">
        <v>24</v>
      </c>
      <c r="E1855" s="114" t="s">
        <v>1174</v>
      </c>
      <c r="F1855" s="111" t="s">
        <v>947</v>
      </c>
      <c r="G1855" s="166">
        <v>46028</v>
      </c>
      <c r="H1855" s="166">
        <v>46028</v>
      </c>
      <c r="I1855" s="166"/>
      <c r="J1855" s="37"/>
      <c r="K1855" s="167">
        <v>0.35416666666666669</v>
      </c>
      <c r="L1855" s="167">
        <v>0.72916666666666663</v>
      </c>
      <c r="M1855" s="11">
        <f t="shared" si="28"/>
        <v>8.9999999999999982</v>
      </c>
      <c r="N1855" s="169" t="s">
        <v>1</v>
      </c>
    </row>
    <row r="1856" spans="1:23" hidden="1" x14ac:dyDescent="0.3">
      <c r="A1856" s="107" t="s">
        <v>21</v>
      </c>
      <c r="B1856" s="108">
        <v>46059</v>
      </c>
      <c r="C1856" s="107" t="s">
        <v>37</v>
      </c>
      <c r="D1856" s="109" t="s">
        <v>24</v>
      </c>
      <c r="E1856" s="110" t="s">
        <v>183</v>
      </c>
      <c r="F1856" s="111" t="s">
        <v>947</v>
      </c>
      <c r="G1856" s="166">
        <v>46028</v>
      </c>
      <c r="H1856" s="166">
        <v>46028</v>
      </c>
      <c r="I1856" s="166"/>
      <c r="J1856" s="37"/>
      <c r="K1856" s="167">
        <v>0.27083333333333331</v>
      </c>
      <c r="L1856" s="167">
        <v>0.64583333333333337</v>
      </c>
      <c r="M1856" s="11">
        <f t="shared" si="28"/>
        <v>9.0000000000000018</v>
      </c>
      <c r="N1856" s="168" t="s">
        <v>0</v>
      </c>
    </row>
    <row r="1857" spans="1:14" hidden="1" x14ac:dyDescent="0.3">
      <c r="A1857" s="107" t="s">
        <v>21</v>
      </c>
      <c r="B1857" s="108">
        <v>46059</v>
      </c>
      <c r="C1857" s="107" t="s">
        <v>274</v>
      </c>
      <c r="D1857" s="287" t="s">
        <v>8</v>
      </c>
      <c r="E1857" s="289" t="s">
        <v>966</v>
      </c>
      <c r="F1857" s="291" t="s">
        <v>1155</v>
      </c>
      <c r="G1857" s="286">
        <v>46058</v>
      </c>
      <c r="H1857" s="286">
        <v>46059</v>
      </c>
      <c r="I1857" s="170"/>
      <c r="J1857" s="37"/>
      <c r="K1857" s="167">
        <v>0.27083333333333331</v>
      </c>
      <c r="L1857" s="167">
        <v>0.72916666666666663</v>
      </c>
      <c r="M1857" s="11">
        <f t="shared" ref="M1857:M1920" si="29">MOD(L1857-K1857,1)*24</f>
        <v>11</v>
      </c>
      <c r="N1857" s="198" t="s">
        <v>1</v>
      </c>
    </row>
    <row r="1858" spans="1:14" hidden="1" x14ac:dyDescent="0.3">
      <c r="A1858" s="107" t="s">
        <v>21</v>
      </c>
      <c r="B1858" s="108">
        <v>46059</v>
      </c>
      <c r="C1858" s="107" t="s">
        <v>18</v>
      </c>
      <c r="D1858" s="288"/>
      <c r="E1858" s="290"/>
      <c r="F1858" s="292"/>
      <c r="G1858" s="293"/>
      <c r="H1858" s="293"/>
      <c r="I1858" s="170"/>
      <c r="J1858" s="37"/>
      <c r="K1858" s="167">
        <v>0.27083333333333331</v>
      </c>
      <c r="L1858" s="171">
        <v>0.72916666666666663</v>
      </c>
      <c r="M1858" s="11">
        <f t="shared" si="29"/>
        <v>11</v>
      </c>
      <c r="N1858" s="199"/>
    </row>
    <row r="1859" spans="1:14" hidden="1" x14ac:dyDescent="0.3">
      <c r="A1859" s="107" t="s">
        <v>21</v>
      </c>
      <c r="B1859" s="108">
        <v>46059</v>
      </c>
      <c r="C1859" s="107" t="s">
        <v>56</v>
      </c>
      <c r="D1859" s="115" t="s">
        <v>43</v>
      </c>
      <c r="E1859" s="114" t="s">
        <v>564</v>
      </c>
      <c r="F1859" s="116" t="s">
        <v>1175</v>
      </c>
      <c r="G1859" s="166">
        <v>46026</v>
      </c>
      <c r="H1859" s="166">
        <v>46028</v>
      </c>
      <c r="I1859" s="172"/>
      <c r="J1859" s="37"/>
      <c r="K1859" s="167">
        <v>0.27083333333333331</v>
      </c>
      <c r="L1859" s="173">
        <v>0.64583333333333337</v>
      </c>
      <c r="M1859" s="11">
        <f t="shared" si="29"/>
        <v>9.0000000000000018</v>
      </c>
      <c r="N1859" s="174" t="s">
        <v>1</v>
      </c>
    </row>
    <row r="1860" spans="1:14" hidden="1" x14ac:dyDescent="0.3">
      <c r="A1860" s="107" t="s">
        <v>21</v>
      </c>
      <c r="B1860" s="108">
        <v>46059</v>
      </c>
      <c r="C1860" s="117" t="s">
        <v>771</v>
      </c>
      <c r="D1860" s="112" t="s">
        <v>43</v>
      </c>
      <c r="E1860" s="118" t="s">
        <v>1157</v>
      </c>
      <c r="F1860" s="119" t="s">
        <v>1194</v>
      </c>
      <c r="G1860" s="166">
        <v>46027</v>
      </c>
      <c r="H1860" s="166">
        <v>46060</v>
      </c>
      <c r="I1860" s="175"/>
      <c r="J1860" s="37"/>
      <c r="K1860" s="171">
        <v>0.27083333333333331</v>
      </c>
      <c r="L1860" s="171">
        <v>0.64583333333333337</v>
      </c>
      <c r="M1860" s="11">
        <f t="shared" si="29"/>
        <v>9.0000000000000018</v>
      </c>
      <c r="N1860" s="174" t="s">
        <v>1</v>
      </c>
    </row>
    <row r="1861" spans="1:14" hidden="1" x14ac:dyDescent="0.3">
      <c r="A1861" s="107" t="s">
        <v>21</v>
      </c>
      <c r="B1861" s="108">
        <v>46059</v>
      </c>
      <c r="C1861" s="117" t="s">
        <v>25</v>
      </c>
      <c r="D1861" s="112" t="s">
        <v>43</v>
      </c>
      <c r="E1861" s="120" t="s">
        <v>1170</v>
      </c>
      <c r="F1861" s="121" t="s">
        <v>1176</v>
      </c>
      <c r="G1861" s="166">
        <v>46028</v>
      </c>
      <c r="H1861" s="166">
        <v>46028</v>
      </c>
      <c r="I1861" s="176"/>
      <c r="J1861" s="37"/>
      <c r="K1861" s="171">
        <v>0.27083333333333331</v>
      </c>
      <c r="L1861" s="173">
        <v>0.64583333333333337</v>
      </c>
      <c r="M1861" s="11">
        <f t="shared" si="29"/>
        <v>9.0000000000000018</v>
      </c>
      <c r="N1861" s="174" t="s">
        <v>1</v>
      </c>
    </row>
    <row r="1862" spans="1:14" hidden="1" x14ac:dyDescent="0.3">
      <c r="A1862" s="107" t="s">
        <v>21</v>
      </c>
      <c r="B1862" s="108">
        <v>46059</v>
      </c>
      <c r="C1862" s="107" t="s">
        <v>118</v>
      </c>
      <c r="D1862" s="272" t="s">
        <v>54</v>
      </c>
      <c r="E1862" s="274" t="s">
        <v>688</v>
      </c>
      <c r="F1862" s="262" t="s">
        <v>1177</v>
      </c>
      <c r="G1862" s="286">
        <v>46059</v>
      </c>
      <c r="H1862" s="286">
        <v>46060</v>
      </c>
      <c r="I1862" s="176"/>
      <c r="J1862" s="37"/>
      <c r="K1862" s="167">
        <v>0.35416666666666669</v>
      </c>
      <c r="L1862" s="167">
        <v>0.72916666666666663</v>
      </c>
      <c r="M1862" s="11">
        <f t="shared" si="29"/>
        <v>8.9999999999999982</v>
      </c>
      <c r="N1862" s="169" t="s">
        <v>1</v>
      </c>
    </row>
    <row r="1863" spans="1:14" hidden="1" x14ac:dyDescent="0.3">
      <c r="A1863" s="107" t="s">
        <v>21</v>
      </c>
      <c r="B1863" s="108">
        <v>46059</v>
      </c>
      <c r="C1863" s="107" t="s">
        <v>34</v>
      </c>
      <c r="D1863" s="263"/>
      <c r="E1863" s="275"/>
      <c r="F1863" s="263"/>
      <c r="G1863" s="293"/>
      <c r="H1863" s="293"/>
      <c r="I1863" s="176"/>
      <c r="J1863" s="37"/>
      <c r="K1863" s="167">
        <v>0.35416666666666669</v>
      </c>
      <c r="L1863" s="167">
        <v>0.72916666666666663</v>
      </c>
      <c r="M1863" s="11">
        <f t="shared" si="29"/>
        <v>8.9999999999999982</v>
      </c>
      <c r="N1863" s="178"/>
    </row>
    <row r="1864" spans="1:14" hidden="1" x14ac:dyDescent="0.3">
      <c r="A1864" s="117" t="s">
        <v>21</v>
      </c>
      <c r="B1864" s="108">
        <v>46059</v>
      </c>
      <c r="C1864" s="117" t="s">
        <v>55</v>
      </c>
      <c r="D1864" s="122" t="s">
        <v>43</v>
      </c>
      <c r="E1864" s="123" t="s">
        <v>373</v>
      </c>
      <c r="F1864" s="117" t="s">
        <v>884</v>
      </c>
      <c r="G1864" s="177">
        <v>46057</v>
      </c>
      <c r="H1864" s="166">
        <v>46060</v>
      </c>
      <c r="I1864" s="177"/>
      <c r="J1864" s="37"/>
      <c r="K1864" s="173">
        <v>0.27083333333333331</v>
      </c>
      <c r="L1864" s="173">
        <v>0.64583333333333337</v>
      </c>
      <c r="M1864" s="11">
        <f t="shared" si="29"/>
        <v>9.0000000000000018</v>
      </c>
      <c r="N1864" s="178" t="s">
        <v>1</v>
      </c>
    </row>
    <row r="1865" spans="1:14" hidden="1" x14ac:dyDescent="0.3">
      <c r="A1865" s="124" t="s">
        <v>19</v>
      </c>
      <c r="B1865" s="108">
        <v>46059</v>
      </c>
      <c r="C1865" s="124" t="s">
        <v>7</v>
      </c>
      <c r="D1865" s="115" t="s">
        <v>8</v>
      </c>
      <c r="E1865" s="125" t="s">
        <v>94</v>
      </c>
      <c r="F1865" s="126" t="s">
        <v>1183</v>
      </c>
      <c r="G1865" s="166">
        <v>46028</v>
      </c>
      <c r="H1865" s="166">
        <v>46028</v>
      </c>
      <c r="I1865" s="179"/>
      <c r="J1865" s="37"/>
      <c r="K1865" s="173">
        <v>0.27083333333333331</v>
      </c>
      <c r="L1865" s="173">
        <v>0.35416666666666669</v>
      </c>
      <c r="M1865" s="11">
        <f t="shared" si="29"/>
        <v>2.0000000000000009</v>
      </c>
      <c r="N1865" s="180" t="s">
        <v>0</v>
      </c>
    </row>
    <row r="1866" spans="1:14" hidden="1" x14ac:dyDescent="0.3">
      <c r="A1866" s="124" t="s">
        <v>19</v>
      </c>
      <c r="B1866" s="108">
        <v>46059</v>
      </c>
      <c r="C1866" s="124" t="s">
        <v>7</v>
      </c>
      <c r="D1866" s="115" t="s">
        <v>8</v>
      </c>
      <c r="E1866" s="127" t="s">
        <v>1184</v>
      </c>
      <c r="F1866" s="126" t="s">
        <v>1185</v>
      </c>
      <c r="G1866" s="166">
        <v>46028</v>
      </c>
      <c r="H1866" s="166">
        <v>46028</v>
      </c>
      <c r="I1866" s="179"/>
      <c r="J1866" s="37"/>
      <c r="K1866" s="167">
        <v>0.35416666666666669</v>
      </c>
      <c r="L1866" s="173">
        <v>0.64583333333333337</v>
      </c>
      <c r="M1866" s="11">
        <f t="shared" si="29"/>
        <v>7</v>
      </c>
      <c r="N1866" s="181" t="s">
        <v>30</v>
      </c>
    </row>
    <row r="1867" spans="1:14" hidden="1" x14ac:dyDescent="0.3">
      <c r="A1867" s="124" t="s">
        <v>19</v>
      </c>
      <c r="B1867" s="108">
        <v>46059</v>
      </c>
      <c r="C1867" s="124" t="s">
        <v>9</v>
      </c>
      <c r="D1867" s="294" t="s">
        <v>8</v>
      </c>
      <c r="E1867" s="296" t="s">
        <v>1160</v>
      </c>
      <c r="F1867" s="294" t="s">
        <v>1186</v>
      </c>
      <c r="G1867" s="284">
        <v>46046</v>
      </c>
      <c r="H1867" s="284">
        <v>46059</v>
      </c>
      <c r="I1867" s="284"/>
      <c r="J1867" s="37"/>
      <c r="K1867" s="182">
        <v>0.35416666666666669</v>
      </c>
      <c r="L1867" s="167">
        <v>0.47916666666666669</v>
      </c>
      <c r="M1867" s="11">
        <f t="shared" si="29"/>
        <v>3</v>
      </c>
      <c r="N1867" s="200" t="s">
        <v>30</v>
      </c>
    </row>
    <row r="1868" spans="1:14" hidden="1" x14ac:dyDescent="0.3">
      <c r="A1868" s="128" t="s">
        <v>19</v>
      </c>
      <c r="B1868" s="129">
        <v>46059</v>
      </c>
      <c r="C1868" s="128" t="s">
        <v>208</v>
      </c>
      <c r="D1868" s="295"/>
      <c r="E1868" s="295"/>
      <c r="F1868" s="295"/>
      <c r="G1868" s="285"/>
      <c r="H1868" s="285"/>
      <c r="I1868" s="285"/>
      <c r="J1868" s="37"/>
      <c r="K1868" s="183">
        <v>0.35416666666666669</v>
      </c>
      <c r="L1868" s="173">
        <v>0.47916666666666669</v>
      </c>
      <c r="M1868" s="11">
        <f t="shared" si="29"/>
        <v>3</v>
      </c>
      <c r="N1868" s="181"/>
    </row>
    <row r="1869" spans="1:14" hidden="1" x14ac:dyDescent="0.3">
      <c r="A1869" s="124" t="s">
        <v>19</v>
      </c>
      <c r="B1869" s="108">
        <v>46059</v>
      </c>
      <c r="C1869" s="124" t="s">
        <v>9</v>
      </c>
      <c r="D1869" s="297" t="s">
        <v>8</v>
      </c>
      <c r="E1869" s="297" t="s">
        <v>908</v>
      </c>
      <c r="F1869" s="297" t="s">
        <v>239</v>
      </c>
      <c r="G1869" s="286">
        <v>46027</v>
      </c>
      <c r="H1869" s="286">
        <v>46059</v>
      </c>
      <c r="I1869" s="177"/>
      <c r="J1869" s="37"/>
      <c r="K1869" s="173">
        <v>0.47916666666666669</v>
      </c>
      <c r="L1869" s="173">
        <v>0.5625</v>
      </c>
      <c r="M1869" s="11">
        <f t="shared" si="29"/>
        <v>1.9999999999999996</v>
      </c>
      <c r="N1869" s="194" t="s">
        <v>0</v>
      </c>
    </row>
    <row r="1870" spans="1:14" hidden="1" x14ac:dyDescent="0.3">
      <c r="A1870" s="124" t="s">
        <v>19</v>
      </c>
      <c r="B1870" s="108">
        <v>46059</v>
      </c>
      <c r="C1870" s="124" t="s">
        <v>208</v>
      </c>
      <c r="D1870" s="295"/>
      <c r="E1870" s="295"/>
      <c r="F1870" s="295"/>
      <c r="G1870" s="285"/>
      <c r="H1870" s="285"/>
      <c r="I1870" s="177"/>
      <c r="J1870" s="37"/>
      <c r="K1870" s="173">
        <v>0.47916666666666669</v>
      </c>
      <c r="L1870" s="173">
        <v>0.5625</v>
      </c>
      <c r="M1870" s="11">
        <f t="shared" si="29"/>
        <v>1.9999999999999996</v>
      </c>
      <c r="N1870" s="180"/>
    </row>
    <row r="1871" spans="1:14" hidden="1" x14ac:dyDescent="0.3">
      <c r="A1871" s="124" t="s">
        <v>19</v>
      </c>
      <c r="B1871" s="108">
        <v>46059</v>
      </c>
      <c r="C1871" s="124" t="s">
        <v>9</v>
      </c>
      <c r="D1871" s="130" t="s">
        <v>27</v>
      </c>
      <c r="E1871" s="131" t="s">
        <v>82</v>
      </c>
      <c r="F1871" s="131" t="s">
        <v>82</v>
      </c>
      <c r="G1871" s="166">
        <v>46028</v>
      </c>
      <c r="H1871" s="166">
        <v>46028</v>
      </c>
      <c r="I1871" s="177"/>
      <c r="J1871" s="37"/>
      <c r="K1871" s="173">
        <v>0.5625</v>
      </c>
      <c r="L1871" s="173">
        <v>0.64583333333333337</v>
      </c>
      <c r="M1871" s="11">
        <f t="shared" si="29"/>
        <v>2.0000000000000009</v>
      </c>
      <c r="N1871" s="184" t="s">
        <v>0</v>
      </c>
    </row>
    <row r="1872" spans="1:14" hidden="1" x14ac:dyDescent="0.3">
      <c r="A1872" s="124" t="s">
        <v>19</v>
      </c>
      <c r="B1872" s="108">
        <v>46059</v>
      </c>
      <c r="C1872" s="124" t="s">
        <v>9</v>
      </c>
      <c r="D1872" s="130" t="s">
        <v>8</v>
      </c>
      <c r="E1872" s="132" t="s">
        <v>958</v>
      </c>
      <c r="F1872" s="132" t="s">
        <v>244</v>
      </c>
      <c r="G1872" s="166">
        <v>46028</v>
      </c>
      <c r="H1872" s="166">
        <v>46028</v>
      </c>
      <c r="I1872" s="179"/>
      <c r="J1872" s="37"/>
      <c r="K1872" s="173">
        <v>0.64583333333333337</v>
      </c>
      <c r="L1872" s="167">
        <v>0.72916666666666663</v>
      </c>
      <c r="M1872" s="11">
        <f t="shared" si="29"/>
        <v>1.9999999999999982</v>
      </c>
      <c r="N1872" s="184" t="s">
        <v>0</v>
      </c>
    </row>
    <row r="1873" spans="1:14" hidden="1" x14ac:dyDescent="0.3">
      <c r="A1873" s="124" t="s">
        <v>19</v>
      </c>
      <c r="B1873" s="108">
        <v>46059</v>
      </c>
      <c r="C1873" s="124" t="s">
        <v>1111</v>
      </c>
      <c r="D1873" s="130" t="s">
        <v>44</v>
      </c>
      <c r="E1873" s="130" t="s">
        <v>1121</v>
      </c>
      <c r="F1873" s="130" t="s">
        <v>1178</v>
      </c>
      <c r="G1873" s="175">
        <v>46059</v>
      </c>
      <c r="H1873" s="175">
        <v>46060</v>
      </c>
      <c r="I1873" s="172"/>
      <c r="J1873" s="37"/>
      <c r="K1873" s="173">
        <v>0.27083333333333331</v>
      </c>
      <c r="L1873" s="173">
        <v>0.64583333333333337</v>
      </c>
      <c r="M1873" s="11">
        <f t="shared" si="29"/>
        <v>9.0000000000000018</v>
      </c>
      <c r="N1873" s="174" t="s">
        <v>0</v>
      </c>
    </row>
    <row r="1874" spans="1:14" hidden="1" x14ac:dyDescent="0.3">
      <c r="A1874" s="124" t="s">
        <v>19</v>
      </c>
      <c r="B1874" s="108">
        <v>46059</v>
      </c>
      <c r="C1874" s="124" t="s">
        <v>208</v>
      </c>
      <c r="D1874" s="130" t="s">
        <v>44</v>
      </c>
      <c r="E1874" s="133" t="s">
        <v>1135</v>
      </c>
      <c r="F1874" s="133" t="s">
        <v>1179</v>
      </c>
      <c r="G1874" s="175">
        <v>46059</v>
      </c>
      <c r="H1874" s="175">
        <v>46060</v>
      </c>
      <c r="I1874" s="176"/>
      <c r="J1874" s="37"/>
      <c r="K1874" s="185">
        <v>0.35416666666666669</v>
      </c>
      <c r="L1874" s="186">
        <v>0.72916666666666663</v>
      </c>
      <c r="M1874" s="11">
        <f t="shared" si="29"/>
        <v>8.9999999999999982</v>
      </c>
      <c r="N1874" s="174" t="s">
        <v>1</v>
      </c>
    </row>
    <row r="1875" spans="1:14" hidden="1" x14ac:dyDescent="0.3">
      <c r="A1875" s="134" t="s">
        <v>20</v>
      </c>
      <c r="B1875" s="108">
        <v>46059</v>
      </c>
      <c r="C1875" s="135" t="s">
        <v>1003</v>
      </c>
      <c r="D1875" s="214" t="s">
        <v>44</v>
      </c>
      <c r="E1875" s="298" t="s">
        <v>1180</v>
      </c>
      <c r="F1875" s="300" t="s">
        <v>1181</v>
      </c>
      <c r="G1875" s="286">
        <v>46059</v>
      </c>
      <c r="H1875" s="286">
        <v>46068</v>
      </c>
      <c r="I1875" s="175"/>
      <c r="J1875" s="37"/>
      <c r="K1875" s="185">
        <v>0.35416666666666669</v>
      </c>
      <c r="L1875" s="186">
        <v>0.72916666666666663</v>
      </c>
      <c r="M1875" s="11">
        <f t="shared" si="29"/>
        <v>8.9999999999999982</v>
      </c>
      <c r="N1875" s="169" t="s">
        <v>0</v>
      </c>
    </row>
    <row r="1876" spans="1:14" hidden="1" x14ac:dyDescent="0.3">
      <c r="A1876" s="134" t="s">
        <v>20</v>
      </c>
      <c r="B1876" s="108">
        <v>46059</v>
      </c>
      <c r="C1876" s="135" t="s">
        <v>33</v>
      </c>
      <c r="D1876" s="215"/>
      <c r="E1876" s="299"/>
      <c r="F1876" s="301"/>
      <c r="G1876" s="285"/>
      <c r="H1876" s="285"/>
      <c r="I1876" s="175"/>
      <c r="J1876" s="37"/>
      <c r="K1876" s="167">
        <v>0.27083333333333331</v>
      </c>
      <c r="L1876" s="167">
        <v>0.64583333333333337</v>
      </c>
      <c r="M1876" s="11">
        <f t="shared" si="29"/>
        <v>9.0000000000000018</v>
      </c>
      <c r="N1876" s="178"/>
    </row>
    <row r="1877" spans="1:14" hidden="1" x14ac:dyDescent="0.3">
      <c r="A1877" s="136" t="s">
        <v>20</v>
      </c>
      <c r="B1877" s="108">
        <v>46059</v>
      </c>
      <c r="C1877" s="124" t="s">
        <v>421</v>
      </c>
      <c r="D1877" s="124" t="s">
        <v>44</v>
      </c>
      <c r="E1877" s="134" t="s">
        <v>1180</v>
      </c>
      <c r="F1877" s="134" t="s">
        <v>1181</v>
      </c>
      <c r="G1877" s="175">
        <v>46059</v>
      </c>
      <c r="H1877" s="175">
        <v>46068</v>
      </c>
      <c r="I1877" s="175"/>
      <c r="J1877" s="37"/>
      <c r="K1877" s="167">
        <v>0.27083333333333331</v>
      </c>
      <c r="L1877" s="167">
        <v>0.64583333333333337</v>
      </c>
      <c r="M1877" s="11">
        <f t="shared" si="29"/>
        <v>9.0000000000000018</v>
      </c>
      <c r="N1877" s="168" t="s">
        <v>0</v>
      </c>
    </row>
    <row r="1878" spans="1:14" hidden="1" x14ac:dyDescent="0.3">
      <c r="A1878" s="136" t="s">
        <v>20</v>
      </c>
      <c r="B1878" s="108">
        <v>46059</v>
      </c>
      <c r="C1878" s="124" t="s">
        <v>14</v>
      </c>
      <c r="D1878" s="124" t="s">
        <v>44</v>
      </c>
      <c r="E1878" s="134" t="s">
        <v>1135</v>
      </c>
      <c r="F1878" s="134" t="s">
        <v>1182</v>
      </c>
      <c r="G1878" s="175">
        <v>46059</v>
      </c>
      <c r="H1878" s="175">
        <v>46059</v>
      </c>
      <c r="I1878" s="175"/>
      <c r="J1878" s="37"/>
      <c r="K1878" s="185">
        <v>0.35416666666666669</v>
      </c>
      <c r="L1878" s="186">
        <v>0.72916666666666663</v>
      </c>
      <c r="M1878" s="11">
        <f t="shared" si="29"/>
        <v>8.9999999999999982</v>
      </c>
      <c r="N1878" s="168" t="s">
        <v>1</v>
      </c>
    </row>
    <row r="1879" spans="1:14" hidden="1" x14ac:dyDescent="0.3">
      <c r="A1879" s="134" t="s">
        <v>20</v>
      </c>
      <c r="B1879" s="108">
        <v>46059</v>
      </c>
      <c r="C1879" s="124" t="s">
        <v>47</v>
      </c>
      <c r="D1879" s="137" t="s">
        <v>65</v>
      </c>
      <c r="E1879" s="138" t="s">
        <v>1188</v>
      </c>
      <c r="F1879" s="139" t="s">
        <v>493</v>
      </c>
      <c r="G1879" s="166">
        <v>46055</v>
      </c>
      <c r="H1879" s="175">
        <v>46059</v>
      </c>
      <c r="I1879" s="166"/>
      <c r="J1879" s="37"/>
      <c r="K1879" s="167">
        <v>0.27083333333333331</v>
      </c>
      <c r="L1879" s="182">
        <v>0.72916666666666663</v>
      </c>
      <c r="M1879" s="11">
        <f t="shared" si="29"/>
        <v>11</v>
      </c>
      <c r="N1879" s="187" t="s">
        <v>0</v>
      </c>
    </row>
    <row r="1880" spans="1:14" hidden="1" x14ac:dyDescent="0.3">
      <c r="A1880" s="134" t="s">
        <v>20</v>
      </c>
      <c r="B1880" s="108">
        <v>46059</v>
      </c>
      <c r="C1880" s="124" t="s">
        <v>1023</v>
      </c>
      <c r="D1880" s="137" t="s">
        <v>65</v>
      </c>
      <c r="E1880" s="137" t="s">
        <v>1168</v>
      </c>
      <c r="F1880" s="137" t="s">
        <v>1151</v>
      </c>
      <c r="G1880" s="166">
        <v>46058</v>
      </c>
      <c r="H1880" s="166">
        <v>46058</v>
      </c>
      <c r="I1880" s="166"/>
      <c r="J1880" s="37"/>
      <c r="K1880" s="182">
        <v>0.35416666666666669</v>
      </c>
      <c r="L1880" s="182">
        <v>0.72916666666666663</v>
      </c>
      <c r="M1880" s="11">
        <f t="shared" si="29"/>
        <v>8.9999999999999982</v>
      </c>
      <c r="N1880" s="187" t="s">
        <v>1</v>
      </c>
    </row>
    <row r="1881" spans="1:14" hidden="1" x14ac:dyDescent="0.3">
      <c r="A1881" s="134" t="s">
        <v>20</v>
      </c>
      <c r="B1881" s="108">
        <v>46059</v>
      </c>
      <c r="C1881" s="124" t="s">
        <v>17</v>
      </c>
      <c r="D1881" s="137" t="s">
        <v>65</v>
      </c>
      <c r="E1881" s="138" t="s">
        <v>1108</v>
      </c>
      <c r="F1881" s="137" t="s">
        <v>1187</v>
      </c>
      <c r="G1881" s="166">
        <v>46055</v>
      </c>
      <c r="H1881" s="175">
        <v>46059</v>
      </c>
      <c r="I1881" s="166"/>
      <c r="J1881" s="37"/>
      <c r="K1881" s="182">
        <v>0.27083333333333331</v>
      </c>
      <c r="L1881" s="186">
        <v>0.64583333333333337</v>
      </c>
      <c r="M1881" s="11">
        <f t="shared" si="29"/>
        <v>9.0000000000000018</v>
      </c>
      <c r="N1881" s="187" t="s">
        <v>1</v>
      </c>
    </row>
    <row r="1882" spans="1:14" hidden="1" x14ac:dyDescent="0.3">
      <c r="A1882" s="134" t="s">
        <v>20</v>
      </c>
      <c r="B1882" s="108">
        <v>46059</v>
      </c>
      <c r="C1882" s="124" t="s">
        <v>1023</v>
      </c>
      <c r="D1882" s="137" t="s">
        <v>65</v>
      </c>
      <c r="E1882" s="140" t="s">
        <v>1189</v>
      </c>
      <c r="F1882" s="141" t="s">
        <v>1151</v>
      </c>
      <c r="G1882" s="175">
        <v>46059</v>
      </c>
      <c r="H1882" s="175">
        <v>46059</v>
      </c>
      <c r="I1882" s="166"/>
      <c r="J1882" s="37"/>
      <c r="K1882" s="182">
        <v>0.35416666666666669</v>
      </c>
      <c r="L1882" s="182">
        <v>0.72916666666666663</v>
      </c>
      <c r="M1882" s="11">
        <f t="shared" si="29"/>
        <v>8.9999999999999982</v>
      </c>
      <c r="N1882" s="187" t="s">
        <v>1</v>
      </c>
    </row>
    <row r="1883" spans="1:14" hidden="1" x14ac:dyDescent="0.3">
      <c r="A1883" s="134" t="s">
        <v>20</v>
      </c>
      <c r="B1883" s="108">
        <v>46059</v>
      </c>
      <c r="C1883" s="124" t="s">
        <v>167</v>
      </c>
      <c r="D1883" s="130" t="s">
        <v>65</v>
      </c>
      <c r="E1883" s="142" t="s">
        <v>1166</v>
      </c>
      <c r="F1883" s="143" t="s">
        <v>304</v>
      </c>
      <c r="G1883" s="166">
        <v>46058</v>
      </c>
      <c r="H1883" s="175">
        <v>46059</v>
      </c>
      <c r="I1883" s="188"/>
      <c r="J1883" s="37"/>
      <c r="K1883" s="182">
        <v>0.35416666666666669</v>
      </c>
      <c r="L1883" s="186">
        <v>0.64583333333333337</v>
      </c>
      <c r="M1883" s="11">
        <f t="shared" si="29"/>
        <v>7</v>
      </c>
      <c r="N1883" s="168" t="s">
        <v>1</v>
      </c>
    </row>
    <row r="1884" spans="1:14" hidden="1" x14ac:dyDescent="0.3">
      <c r="A1884" s="134" t="s">
        <v>20</v>
      </c>
      <c r="B1884" s="108">
        <v>46059</v>
      </c>
      <c r="C1884" s="124" t="s">
        <v>167</v>
      </c>
      <c r="D1884" s="130" t="s">
        <v>65</v>
      </c>
      <c r="E1884" s="133" t="s">
        <v>1037</v>
      </c>
      <c r="F1884" s="133" t="s">
        <v>1167</v>
      </c>
      <c r="G1884" s="175">
        <v>46059</v>
      </c>
      <c r="H1884" s="175">
        <v>46059</v>
      </c>
      <c r="I1884" s="176"/>
      <c r="J1884" s="37"/>
      <c r="K1884" s="182">
        <v>0.27083333333333331</v>
      </c>
      <c r="L1884" s="189">
        <v>0.35416666666666669</v>
      </c>
      <c r="M1884" s="11">
        <f t="shared" si="29"/>
        <v>2.0000000000000009</v>
      </c>
      <c r="N1884" s="190" t="s">
        <v>0</v>
      </c>
    </row>
    <row r="1885" spans="1:14" hidden="1" x14ac:dyDescent="0.3">
      <c r="A1885" s="134" t="s">
        <v>20</v>
      </c>
      <c r="B1885" s="108">
        <v>46059</v>
      </c>
      <c r="C1885" s="124" t="s">
        <v>167</v>
      </c>
      <c r="D1885" s="137" t="s">
        <v>65</v>
      </c>
      <c r="E1885" s="131" t="s">
        <v>1152</v>
      </c>
      <c r="F1885" s="131" t="s">
        <v>1151</v>
      </c>
      <c r="G1885" s="166">
        <v>46057</v>
      </c>
      <c r="H1885" s="166">
        <v>46057</v>
      </c>
      <c r="I1885" s="166"/>
      <c r="J1885" s="37"/>
      <c r="K1885" s="182">
        <v>0.52083333333333337</v>
      </c>
      <c r="L1885" s="186">
        <v>0.64583333333333337</v>
      </c>
      <c r="M1885" s="11">
        <f t="shared" si="29"/>
        <v>3</v>
      </c>
      <c r="N1885" s="187" t="s">
        <v>1</v>
      </c>
    </row>
    <row r="1886" spans="1:14" hidden="1" x14ac:dyDescent="0.3">
      <c r="A1886" s="124" t="s">
        <v>20</v>
      </c>
      <c r="B1886" s="108">
        <v>46059</v>
      </c>
      <c r="C1886" s="124" t="s">
        <v>1093</v>
      </c>
      <c r="D1886" s="304" t="s">
        <v>65</v>
      </c>
      <c r="E1886" s="305" t="s">
        <v>1129</v>
      </c>
      <c r="F1886" s="304" t="s">
        <v>279</v>
      </c>
      <c r="G1886" s="286">
        <v>46059</v>
      </c>
      <c r="H1886" s="286">
        <v>46059</v>
      </c>
      <c r="I1886" s="286"/>
      <c r="J1886" s="37"/>
      <c r="K1886" s="182">
        <v>0.27083333333333331</v>
      </c>
      <c r="L1886" s="186">
        <v>0.41666666666666669</v>
      </c>
      <c r="M1886" s="11">
        <f t="shared" si="29"/>
        <v>3.5000000000000009</v>
      </c>
      <c r="N1886" s="187" t="s">
        <v>1</v>
      </c>
    </row>
    <row r="1887" spans="1:14" hidden="1" x14ac:dyDescent="0.3">
      <c r="A1887" s="124" t="s">
        <v>20</v>
      </c>
      <c r="B1887" s="108">
        <v>46059</v>
      </c>
      <c r="C1887" s="124" t="s">
        <v>31</v>
      </c>
      <c r="D1887" s="304"/>
      <c r="E1887" s="304"/>
      <c r="F1887" s="304"/>
      <c r="G1887" s="285"/>
      <c r="H1887" s="285"/>
      <c r="I1887" s="285"/>
      <c r="J1887" s="37"/>
      <c r="K1887" s="182">
        <v>0.27083333333333331</v>
      </c>
      <c r="L1887" s="186">
        <v>0.64583333333333337</v>
      </c>
      <c r="M1887" s="11">
        <f t="shared" si="29"/>
        <v>9.0000000000000018</v>
      </c>
      <c r="N1887" s="187"/>
    </row>
    <row r="1888" spans="1:14" hidden="1" x14ac:dyDescent="0.3">
      <c r="A1888" s="124" t="s">
        <v>20</v>
      </c>
      <c r="B1888" s="108">
        <v>46059</v>
      </c>
      <c r="C1888" s="124" t="s">
        <v>15</v>
      </c>
      <c r="D1888" s="137" t="s">
        <v>65</v>
      </c>
      <c r="E1888" s="137" t="s">
        <v>1110</v>
      </c>
      <c r="F1888" s="143" t="s">
        <v>1151</v>
      </c>
      <c r="G1888" s="166">
        <v>46055</v>
      </c>
      <c r="H1888" s="166">
        <v>46059</v>
      </c>
      <c r="I1888" s="166"/>
      <c r="J1888" s="37"/>
      <c r="K1888" s="182">
        <v>0.27083333333333331</v>
      </c>
      <c r="L1888" s="186">
        <v>0.4375</v>
      </c>
      <c r="M1888" s="11">
        <f t="shared" si="29"/>
        <v>4</v>
      </c>
      <c r="N1888" s="191" t="s">
        <v>0</v>
      </c>
    </row>
    <row r="1889" spans="1:14" hidden="1" x14ac:dyDescent="0.3">
      <c r="A1889" s="112" t="s">
        <v>21</v>
      </c>
      <c r="B1889" s="108">
        <v>46060</v>
      </c>
      <c r="C1889" s="107" t="s">
        <v>23</v>
      </c>
      <c r="D1889" s="113" t="s">
        <v>24</v>
      </c>
      <c r="E1889" s="114" t="s">
        <v>1174</v>
      </c>
      <c r="F1889" s="111" t="s">
        <v>947</v>
      </c>
      <c r="G1889" s="166">
        <v>46028</v>
      </c>
      <c r="H1889" s="166">
        <v>46060</v>
      </c>
      <c r="I1889" s="166"/>
      <c r="J1889" s="37"/>
      <c r="K1889" s="167">
        <v>0.27083333333333331</v>
      </c>
      <c r="L1889" s="167">
        <v>0.64583333333333337</v>
      </c>
      <c r="M1889" s="11">
        <f t="shared" si="29"/>
        <v>9.0000000000000018</v>
      </c>
      <c r="N1889" s="169" t="s">
        <v>1</v>
      </c>
    </row>
    <row r="1890" spans="1:14" hidden="1" x14ac:dyDescent="0.3">
      <c r="A1890" s="107" t="s">
        <v>21</v>
      </c>
      <c r="B1890" s="108">
        <v>46060</v>
      </c>
      <c r="C1890" s="107" t="s">
        <v>37</v>
      </c>
      <c r="D1890" s="109" t="s">
        <v>24</v>
      </c>
      <c r="E1890" s="110" t="s">
        <v>183</v>
      </c>
      <c r="F1890" s="111" t="s">
        <v>947</v>
      </c>
      <c r="G1890" s="166">
        <v>46028</v>
      </c>
      <c r="H1890" s="166">
        <v>46028</v>
      </c>
      <c r="I1890" s="166"/>
      <c r="J1890" s="37"/>
      <c r="K1890" s="167">
        <v>0.27083333333333331</v>
      </c>
      <c r="L1890" s="167">
        <v>0.64583333333333337</v>
      </c>
      <c r="M1890" s="11">
        <f t="shared" si="29"/>
        <v>9.0000000000000018</v>
      </c>
      <c r="N1890" s="168" t="s">
        <v>1</v>
      </c>
    </row>
    <row r="1891" spans="1:14" hidden="1" x14ac:dyDescent="0.3">
      <c r="A1891" s="107" t="s">
        <v>21</v>
      </c>
      <c r="B1891" s="108">
        <v>46060</v>
      </c>
      <c r="C1891" s="107" t="s">
        <v>274</v>
      </c>
      <c r="D1891" s="287" t="s">
        <v>8</v>
      </c>
      <c r="E1891" s="289" t="s">
        <v>966</v>
      </c>
      <c r="F1891" s="291" t="s">
        <v>1155</v>
      </c>
      <c r="G1891" s="286">
        <v>46058</v>
      </c>
      <c r="H1891" s="286">
        <v>46059</v>
      </c>
      <c r="I1891" s="170"/>
      <c r="J1891" s="37"/>
      <c r="K1891" s="167">
        <v>0.27083333333333331</v>
      </c>
      <c r="L1891" s="167">
        <v>0.72916666666666663</v>
      </c>
      <c r="M1891" s="11">
        <f t="shared" si="29"/>
        <v>11</v>
      </c>
      <c r="N1891" s="198" t="s">
        <v>1</v>
      </c>
    </row>
    <row r="1892" spans="1:14" hidden="1" x14ac:dyDescent="0.3">
      <c r="A1892" s="107" t="s">
        <v>21</v>
      </c>
      <c r="B1892" s="108">
        <v>46060</v>
      </c>
      <c r="C1892" s="107" t="s">
        <v>18</v>
      </c>
      <c r="D1892" s="288"/>
      <c r="E1892" s="290"/>
      <c r="F1892" s="292"/>
      <c r="G1892" s="293"/>
      <c r="H1892" s="293"/>
      <c r="I1892" s="170"/>
      <c r="J1892" s="37"/>
      <c r="K1892" s="167">
        <v>0.27083333333333331</v>
      </c>
      <c r="L1892" s="171">
        <v>0.72916666666666663</v>
      </c>
      <c r="M1892" s="11">
        <f t="shared" si="29"/>
        <v>11</v>
      </c>
      <c r="N1892" s="199"/>
    </row>
    <row r="1893" spans="1:14" hidden="1" x14ac:dyDescent="0.3">
      <c r="A1893" s="107" t="s">
        <v>21</v>
      </c>
      <c r="B1893" s="108">
        <v>46060</v>
      </c>
      <c r="C1893" s="107" t="s">
        <v>56</v>
      </c>
      <c r="D1893" s="115" t="s">
        <v>43</v>
      </c>
      <c r="E1893" s="114" t="s">
        <v>564</v>
      </c>
      <c r="F1893" s="116" t="s">
        <v>1175</v>
      </c>
      <c r="G1893" s="166">
        <v>46026</v>
      </c>
      <c r="H1893" s="166">
        <v>46028</v>
      </c>
      <c r="I1893" s="172"/>
      <c r="J1893" s="37"/>
      <c r="K1893" s="167">
        <v>0.27083333333333331</v>
      </c>
      <c r="L1893" s="173">
        <v>0.5</v>
      </c>
      <c r="M1893" s="11">
        <f t="shared" si="29"/>
        <v>5.5</v>
      </c>
      <c r="N1893" s="174" t="s">
        <v>1</v>
      </c>
    </row>
    <row r="1894" spans="1:14" hidden="1" x14ac:dyDescent="0.3">
      <c r="A1894" s="107" t="s">
        <v>21</v>
      </c>
      <c r="B1894" s="108">
        <v>46060</v>
      </c>
      <c r="C1894" s="117" t="s">
        <v>771</v>
      </c>
      <c r="D1894" s="112" t="s">
        <v>43</v>
      </c>
      <c r="E1894" s="118" t="s">
        <v>1157</v>
      </c>
      <c r="F1894" s="119" t="s">
        <v>1194</v>
      </c>
      <c r="G1894" s="166">
        <v>46027</v>
      </c>
      <c r="H1894" s="166">
        <v>46060</v>
      </c>
      <c r="I1894" s="175"/>
      <c r="J1894" s="37"/>
      <c r="K1894" s="171">
        <v>0.27083333333333331</v>
      </c>
      <c r="L1894" s="171">
        <v>0.64583333333333337</v>
      </c>
      <c r="M1894" s="11">
        <f t="shared" si="29"/>
        <v>9.0000000000000018</v>
      </c>
      <c r="N1894" s="174" t="s">
        <v>1</v>
      </c>
    </row>
    <row r="1895" spans="1:14" hidden="1" x14ac:dyDescent="0.3">
      <c r="A1895" s="107" t="s">
        <v>21</v>
      </c>
      <c r="B1895" s="108">
        <v>46060</v>
      </c>
      <c r="C1895" s="117" t="s">
        <v>25</v>
      </c>
      <c r="D1895" s="112" t="s">
        <v>43</v>
      </c>
      <c r="E1895" s="120" t="s">
        <v>1170</v>
      </c>
      <c r="F1895" s="121" t="s">
        <v>1176</v>
      </c>
      <c r="G1895" s="166">
        <v>46028</v>
      </c>
      <c r="H1895" s="166">
        <v>46028</v>
      </c>
      <c r="I1895" s="176"/>
      <c r="J1895" s="37"/>
      <c r="K1895" s="171">
        <v>0.27083333333333331</v>
      </c>
      <c r="L1895" s="173">
        <v>0.64583333333333337</v>
      </c>
      <c r="M1895" s="11">
        <f t="shared" si="29"/>
        <v>9.0000000000000018</v>
      </c>
      <c r="N1895" s="174" t="s">
        <v>1</v>
      </c>
    </row>
    <row r="1896" spans="1:14" hidden="1" x14ac:dyDescent="0.3">
      <c r="A1896" s="107" t="s">
        <v>21</v>
      </c>
      <c r="B1896" s="108">
        <v>46060</v>
      </c>
      <c r="C1896" s="107" t="s">
        <v>118</v>
      </c>
      <c r="D1896" s="272" t="s">
        <v>54</v>
      </c>
      <c r="E1896" s="274" t="s">
        <v>688</v>
      </c>
      <c r="F1896" s="262" t="s">
        <v>1177</v>
      </c>
      <c r="G1896" s="286">
        <v>46059</v>
      </c>
      <c r="H1896" s="286">
        <v>46060</v>
      </c>
      <c r="I1896" s="176"/>
      <c r="J1896" s="37"/>
      <c r="K1896" s="167">
        <v>0.35416666666666669</v>
      </c>
      <c r="L1896" s="167">
        <v>0.72916666666666663</v>
      </c>
      <c r="M1896" s="11">
        <f t="shared" si="29"/>
        <v>8.9999999999999982</v>
      </c>
      <c r="N1896" s="169" t="s">
        <v>1</v>
      </c>
    </row>
    <row r="1897" spans="1:14" hidden="1" x14ac:dyDescent="0.3">
      <c r="A1897" s="107" t="s">
        <v>21</v>
      </c>
      <c r="B1897" s="108">
        <v>46060</v>
      </c>
      <c r="C1897" s="107" t="s">
        <v>34</v>
      </c>
      <c r="D1897" s="263"/>
      <c r="E1897" s="275"/>
      <c r="F1897" s="263"/>
      <c r="G1897" s="293"/>
      <c r="H1897" s="293"/>
      <c r="I1897" s="176"/>
      <c r="J1897" s="37"/>
      <c r="K1897" s="167">
        <v>0.35416666666666669</v>
      </c>
      <c r="L1897" s="167">
        <v>0.72916666666666663</v>
      </c>
      <c r="M1897" s="11">
        <f t="shared" si="29"/>
        <v>8.9999999999999982</v>
      </c>
      <c r="N1897" s="178"/>
    </row>
    <row r="1898" spans="1:14" hidden="1" x14ac:dyDescent="0.3">
      <c r="A1898" s="117" t="s">
        <v>21</v>
      </c>
      <c r="B1898" s="108">
        <v>46060</v>
      </c>
      <c r="C1898" s="117" t="s">
        <v>55</v>
      </c>
      <c r="D1898" s="122" t="s">
        <v>43</v>
      </c>
      <c r="E1898" s="123" t="s">
        <v>373</v>
      </c>
      <c r="F1898" s="117" t="s">
        <v>884</v>
      </c>
      <c r="G1898" s="177">
        <v>46057</v>
      </c>
      <c r="H1898" s="166">
        <v>46060</v>
      </c>
      <c r="I1898" s="177"/>
      <c r="J1898" s="37"/>
      <c r="K1898" s="173">
        <v>0.27083333333333331</v>
      </c>
      <c r="L1898" s="173">
        <v>0.64583333333333337</v>
      </c>
      <c r="M1898" s="11">
        <f t="shared" si="29"/>
        <v>9.0000000000000018</v>
      </c>
      <c r="N1898" s="178" t="s">
        <v>1</v>
      </c>
    </row>
    <row r="1899" spans="1:14" hidden="1" x14ac:dyDescent="0.3">
      <c r="A1899" s="124" t="s">
        <v>19</v>
      </c>
      <c r="B1899" s="108">
        <v>46060</v>
      </c>
      <c r="C1899" s="124" t="s">
        <v>7</v>
      </c>
      <c r="D1899" s="115" t="s">
        <v>8</v>
      </c>
      <c r="E1899" s="127" t="s">
        <v>1184</v>
      </c>
      <c r="F1899" s="126" t="s">
        <v>1185</v>
      </c>
      <c r="G1899" s="166">
        <v>46028</v>
      </c>
      <c r="H1899" s="166">
        <v>46029</v>
      </c>
      <c r="I1899" s="166">
        <v>46029</v>
      </c>
      <c r="J1899" s="37"/>
      <c r="K1899" s="167">
        <v>0.35416666666666669</v>
      </c>
      <c r="L1899" s="173">
        <v>0.4375</v>
      </c>
      <c r="M1899" s="11">
        <f t="shared" si="29"/>
        <v>1.9999999999999996</v>
      </c>
      <c r="N1899" s="180" t="s">
        <v>0</v>
      </c>
    </row>
    <row r="1900" spans="1:14" hidden="1" x14ac:dyDescent="0.3">
      <c r="A1900" s="124" t="s">
        <v>19</v>
      </c>
      <c r="B1900" s="108">
        <v>46060</v>
      </c>
      <c r="C1900" s="124" t="s">
        <v>9</v>
      </c>
      <c r="D1900" s="294" t="s">
        <v>8</v>
      </c>
      <c r="E1900" s="296" t="s">
        <v>1160</v>
      </c>
      <c r="F1900" s="294" t="s">
        <v>1191</v>
      </c>
      <c r="G1900" s="284">
        <v>46046</v>
      </c>
      <c r="H1900" s="284">
        <v>46060</v>
      </c>
      <c r="I1900" s="284">
        <v>46060</v>
      </c>
      <c r="J1900" s="37"/>
      <c r="K1900" s="182">
        <v>0.4375</v>
      </c>
      <c r="L1900" s="167">
        <v>0.10416666666666667</v>
      </c>
      <c r="M1900" s="11">
        <f t="shared" si="29"/>
        <v>16</v>
      </c>
      <c r="N1900" s="191" t="s">
        <v>0</v>
      </c>
    </row>
    <row r="1901" spans="1:14" hidden="1" x14ac:dyDescent="0.3">
      <c r="A1901" s="128" t="s">
        <v>19</v>
      </c>
      <c r="B1901" s="129">
        <v>46060</v>
      </c>
      <c r="C1901" s="128" t="s">
        <v>208</v>
      </c>
      <c r="D1901" s="295"/>
      <c r="E1901" s="295"/>
      <c r="F1901" s="295"/>
      <c r="G1901" s="285"/>
      <c r="H1901" s="285"/>
      <c r="I1901" s="285"/>
      <c r="J1901" s="37"/>
      <c r="K1901" s="183">
        <v>0.35416666666666669</v>
      </c>
      <c r="L1901" s="173">
        <v>0.47916666666666669</v>
      </c>
      <c r="M1901" s="11">
        <f t="shared" si="29"/>
        <v>3</v>
      </c>
      <c r="N1901" s="180"/>
    </row>
    <row r="1902" spans="1:14" hidden="1" x14ac:dyDescent="0.3">
      <c r="A1902" s="124" t="s">
        <v>19</v>
      </c>
      <c r="B1902" s="108">
        <v>46060</v>
      </c>
      <c r="C1902" s="124" t="s">
        <v>9</v>
      </c>
      <c r="D1902" s="297" t="s">
        <v>8</v>
      </c>
      <c r="E1902" s="297" t="s">
        <v>908</v>
      </c>
      <c r="F1902" s="297" t="s">
        <v>239</v>
      </c>
      <c r="G1902" s="286">
        <v>46027</v>
      </c>
      <c r="H1902" s="286">
        <v>46059</v>
      </c>
      <c r="I1902" s="286">
        <v>46059</v>
      </c>
      <c r="J1902" s="37"/>
      <c r="K1902" s="173">
        <v>0.47916666666666669</v>
      </c>
      <c r="L1902" s="173">
        <v>0.5625</v>
      </c>
      <c r="M1902" s="11">
        <f t="shared" si="29"/>
        <v>1.9999999999999996</v>
      </c>
      <c r="N1902" s="194" t="s">
        <v>0</v>
      </c>
    </row>
    <row r="1903" spans="1:14" hidden="1" x14ac:dyDescent="0.3">
      <c r="A1903" s="124" t="s">
        <v>19</v>
      </c>
      <c r="B1903" s="108">
        <v>46060</v>
      </c>
      <c r="C1903" s="124" t="s">
        <v>208</v>
      </c>
      <c r="D1903" s="295"/>
      <c r="E1903" s="295"/>
      <c r="F1903" s="295"/>
      <c r="G1903" s="285"/>
      <c r="H1903" s="285"/>
      <c r="I1903" s="285"/>
      <c r="J1903" s="37"/>
      <c r="K1903" s="173">
        <v>0.47916666666666669</v>
      </c>
      <c r="L1903" s="173">
        <v>0.5625</v>
      </c>
      <c r="M1903" s="11">
        <f t="shared" si="29"/>
        <v>1.9999999999999996</v>
      </c>
      <c r="N1903" s="180"/>
    </row>
    <row r="1904" spans="1:14" hidden="1" x14ac:dyDescent="0.3">
      <c r="A1904" s="124" t="s">
        <v>19</v>
      </c>
      <c r="B1904" s="108">
        <v>46060</v>
      </c>
      <c r="C1904" s="124" t="s">
        <v>9</v>
      </c>
      <c r="D1904" s="130" t="s">
        <v>27</v>
      </c>
      <c r="E1904" s="131" t="s">
        <v>82</v>
      </c>
      <c r="F1904" s="131" t="s">
        <v>82</v>
      </c>
      <c r="G1904" s="166">
        <v>46028</v>
      </c>
      <c r="H1904" s="166">
        <v>46028</v>
      </c>
      <c r="I1904" s="166">
        <v>46028</v>
      </c>
      <c r="J1904" s="37"/>
      <c r="K1904" s="173">
        <v>0.5625</v>
      </c>
      <c r="L1904" s="173">
        <v>0.64583333333333337</v>
      </c>
      <c r="M1904" s="11">
        <f t="shared" si="29"/>
        <v>2.0000000000000009</v>
      </c>
      <c r="N1904" s="184" t="s">
        <v>0</v>
      </c>
    </row>
    <row r="1905" spans="1:14" hidden="1" x14ac:dyDescent="0.3">
      <c r="A1905" s="124" t="s">
        <v>19</v>
      </c>
      <c r="B1905" s="108">
        <v>46060</v>
      </c>
      <c r="C1905" s="124" t="s">
        <v>9</v>
      </c>
      <c r="D1905" s="130" t="s">
        <v>8</v>
      </c>
      <c r="E1905" s="132" t="s">
        <v>958</v>
      </c>
      <c r="F1905" s="132" t="s">
        <v>244</v>
      </c>
      <c r="G1905" s="166">
        <v>46028</v>
      </c>
      <c r="H1905" s="166">
        <v>46028</v>
      </c>
      <c r="I1905" s="166">
        <v>46028</v>
      </c>
      <c r="J1905" s="37"/>
      <c r="K1905" s="173">
        <v>0.64583333333333337</v>
      </c>
      <c r="L1905" s="167">
        <v>0.72916666666666663</v>
      </c>
      <c r="M1905" s="11">
        <f t="shared" si="29"/>
        <v>1.9999999999999982</v>
      </c>
      <c r="N1905" s="184" t="s">
        <v>0</v>
      </c>
    </row>
    <row r="1906" spans="1:14" hidden="1" x14ac:dyDescent="0.3">
      <c r="A1906" s="124" t="s">
        <v>19</v>
      </c>
      <c r="B1906" s="108">
        <v>46060</v>
      </c>
      <c r="C1906" s="124" t="s">
        <v>208</v>
      </c>
      <c r="D1906" s="130" t="s">
        <v>44</v>
      </c>
      <c r="E1906" s="133" t="s">
        <v>1135</v>
      </c>
      <c r="F1906" s="133" t="s">
        <v>1179</v>
      </c>
      <c r="G1906" s="175">
        <v>46059</v>
      </c>
      <c r="H1906" s="175">
        <v>46060</v>
      </c>
      <c r="I1906" s="175">
        <v>46060</v>
      </c>
      <c r="J1906" s="37"/>
      <c r="K1906" s="185">
        <v>0.35416666666666669</v>
      </c>
      <c r="L1906" s="186">
        <v>0.72916666666666663</v>
      </c>
      <c r="M1906" s="11">
        <f t="shared" si="29"/>
        <v>8.9999999999999982</v>
      </c>
      <c r="N1906" s="184" t="s">
        <v>0</v>
      </c>
    </row>
    <row r="1907" spans="1:14" hidden="1" x14ac:dyDescent="0.3">
      <c r="A1907" s="134" t="s">
        <v>20</v>
      </c>
      <c r="B1907" s="108">
        <v>46060</v>
      </c>
      <c r="C1907" s="135" t="s">
        <v>1003</v>
      </c>
      <c r="D1907" s="214" t="s">
        <v>44</v>
      </c>
      <c r="E1907" s="298" t="s">
        <v>1180</v>
      </c>
      <c r="F1907" s="300" t="s">
        <v>1181</v>
      </c>
      <c r="G1907" s="286">
        <v>46059</v>
      </c>
      <c r="H1907" s="286">
        <v>46068</v>
      </c>
      <c r="I1907" s="286">
        <v>46068</v>
      </c>
      <c r="J1907" s="37"/>
      <c r="K1907" s="185">
        <v>0.35416666666666669</v>
      </c>
      <c r="L1907" s="186">
        <v>0.72916666666666663</v>
      </c>
      <c r="M1907" s="11">
        <f t="shared" si="29"/>
        <v>8.9999999999999982</v>
      </c>
      <c r="N1907" s="194" t="s">
        <v>0</v>
      </c>
    </row>
    <row r="1908" spans="1:14" hidden="1" x14ac:dyDescent="0.3">
      <c r="A1908" s="134" t="s">
        <v>20</v>
      </c>
      <c r="B1908" s="108">
        <v>46060</v>
      </c>
      <c r="C1908" s="135" t="s">
        <v>33</v>
      </c>
      <c r="D1908" s="215"/>
      <c r="E1908" s="299"/>
      <c r="F1908" s="301"/>
      <c r="G1908" s="285"/>
      <c r="H1908" s="285"/>
      <c r="I1908" s="285"/>
      <c r="J1908" s="37"/>
      <c r="K1908" s="167">
        <v>0.27083333333333331</v>
      </c>
      <c r="L1908" s="167">
        <v>0.64583333333333337</v>
      </c>
      <c r="M1908" s="11">
        <f t="shared" si="29"/>
        <v>9.0000000000000018</v>
      </c>
      <c r="N1908" s="180"/>
    </row>
    <row r="1909" spans="1:14" hidden="1" x14ac:dyDescent="0.3">
      <c r="A1909" s="136" t="s">
        <v>20</v>
      </c>
      <c r="B1909" s="108">
        <v>46060</v>
      </c>
      <c r="C1909" s="124" t="s">
        <v>33</v>
      </c>
      <c r="D1909" s="124" t="s">
        <v>44</v>
      </c>
      <c r="E1909" s="134" t="s">
        <v>1180</v>
      </c>
      <c r="F1909" s="134" t="s">
        <v>1181</v>
      </c>
      <c r="G1909" s="175">
        <v>46059</v>
      </c>
      <c r="H1909" s="175">
        <v>46068</v>
      </c>
      <c r="I1909" s="175">
        <v>46068</v>
      </c>
      <c r="J1909" s="37"/>
      <c r="K1909" s="167">
        <v>0.27083333333333331</v>
      </c>
      <c r="L1909" s="167">
        <v>0.64583333333333337</v>
      </c>
      <c r="M1909" s="11">
        <f t="shared" si="29"/>
        <v>9.0000000000000018</v>
      </c>
      <c r="N1909" s="190" t="s">
        <v>0</v>
      </c>
    </row>
    <row r="1910" spans="1:14" hidden="1" x14ac:dyDescent="0.3">
      <c r="A1910" s="136" t="s">
        <v>20</v>
      </c>
      <c r="B1910" s="108">
        <v>46060</v>
      </c>
      <c r="C1910" s="124" t="s">
        <v>14</v>
      </c>
      <c r="D1910" s="124" t="s">
        <v>44</v>
      </c>
      <c r="E1910" s="134" t="s">
        <v>1135</v>
      </c>
      <c r="F1910" s="134" t="s">
        <v>1182</v>
      </c>
      <c r="G1910" s="175">
        <v>46059</v>
      </c>
      <c r="H1910" s="175">
        <v>46059</v>
      </c>
      <c r="I1910" s="175">
        <v>46059</v>
      </c>
      <c r="J1910" s="37"/>
      <c r="K1910" s="185">
        <v>0.35416666666666669</v>
      </c>
      <c r="L1910" s="186">
        <v>0.72916666666666663</v>
      </c>
      <c r="M1910" s="11">
        <f t="shared" si="29"/>
        <v>8.9999999999999982</v>
      </c>
      <c r="N1910" s="190" t="s">
        <v>0</v>
      </c>
    </row>
    <row r="1911" spans="1:14" hidden="1" x14ac:dyDescent="0.3">
      <c r="A1911" s="134" t="s">
        <v>20</v>
      </c>
      <c r="B1911" s="108">
        <v>46060</v>
      </c>
      <c r="C1911" s="124" t="s">
        <v>14</v>
      </c>
      <c r="D1911" s="124" t="s">
        <v>44</v>
      </c>
      <c r="E1911" s="134" t="s">
        <v>861</v>
      </c>
      <c r="F1911" s="144" t="s">
        <v>1182</v>
      </c>
      <c r="G1911" s="192">
        <v>46059</v>
      </c>
      <c r="H1911" s="192">
        <v>46061</v>
      </c>
      <c r="I1911" s="192">
        <v>46061</v>
      </c>
      <c r="J1911" s="37"/>
      <c r="K1911" s="182">
        <v>0.35416666666666669</v>
      </c>
      <c r="L1911" s="186">
        <v>0.72916666666666663</v>
      </c>
      <c r="M1911" s="11">
        <f t="shared" si="29"/>
        <v>8.9999999999999982</v>
      </c>
      <c r="N1911" s="134" t="s">
        <v>0</v>
      </c>
    </row>
    <row r="1912" spans="1:14" hidden="1" x14ac:dyDescent="0.3">
      <c r="A1912" s="134" t="s">
        <v>20</v>
      </c>
      <c r="B1912" s="108">
        <v>46060</v>
      </c>
      <c r="C1912" s="124" t="s">
        <v>14</v>
      </c>
      <c r="D1912" s="124" t="s">
        <v>44</v>
      </c>
      <c r="E1912" s="134" t="s">
        <v>861</v>
      </c>
      <c r="F1912" s="144" t="s">
        <v>1194</v>
      </c>
      <c r="G1912" s="192">
        <v>46059</v>
      </c>
      <c r="H1912" s="192">
        <v>46060</v>
      </c>
      <c r="I1912" s="192">
        <v>46060</v>
      </c>
      <c r="J1912" s="37"/>
      <c r="K1912" s="182">
        <v>0.35416666666666669</v>
      </c>
      <c r="L1912" s="186">
        <v>0.72916666666666663</v>
      </c>
      <c r="M1912" s="11">
        <f t="shared" si="29"/>
        <v>8.9999999999999982</v>
      </c>
      <c r="N1912" s="134" t="s">
        <v>0</v>
      </c>
    </row>
    <row r="1913" spans="1:14" hidden="1" x14ac:dyDescent="0.3">
      <c r="A1913" s="134" t="s">
        <v>20</v>
      </c>
      <c r="B1913" s="108">
        <v>46060</v>
      </c>
      <c r="C1913" s="124" t="s">
        <v>47</v>
      </c>
      <c r="D1913" s="137" t="s">
        <v>65</v>
      </c>
      <c r="E1913" s="138" t="s">
        <v>1188</v>
      </c>
      <c r="F1913" s="139" t="s">
        <v>493</v>
      </c>
      <c r="G1913" s="166">
        <v>46055</v>
      </c>
      <c r="H1913" s="175">
        <v>46060</v>
      </c>
      <c r="I1913" s="175">
        <v>46060</v>
      </c>
      <c r="J1913" s="37"/>
      <c r="K1913" s="167">
        <v>0.27083333333333331</v>
      </c>
      <c r="L1913" s="182">
        <v>0.72916666666666663</v>
      </c>
      <c r="M1913" s="11">
        <f t="shared" si="29"/>
        <v>11</v>
      </c>
      <c r="N1913" s="191" t="s">
        <v>0</v>
      </c>
    </row>
    <row r="1914" spans="1:14" hidden="1" x14ac:dyDescent="0.3">
      <c r="A1914" s="134" t="s">
        <v>20</v>
      </c>
      <c r="B1914" s="108">
        <v>46060</v>
      </c>
      <c r="C1914" s="124" t="s">
        <v>17</v>
      </c>
      <c r="D1914" s="137" t="s">
        <v>65</v>
      </c>
      <c r="E1914" s="138" t="s">
        <v>1108</v>
      </c>
      <c r="F1914" s="137" t="s">
        <v>1187</v>
      </c>
      <c r="G1914" s="166">
        <v>46055</v>
      </c>
      <c r="H1914" s="175">
        <v>46060</v>
      </c>
      <c r="I1914" s="175">
        <v>46060</v>
      </c>
      <c r="J1914" s="37"/>
      <c r="K1914" s="182">
        <v>0.27083333333333331</v>
      </c>
      <c r="L1914" s="186">
        <v>0.64583333333333337</v>
      </c>
      <c r="M1914" s="11">
        <f t="shared" si="29"/>
        <v>9.0000000000000018</v>
      </c>
      <c r="N1914" s="191" t="s">
        <v>0</v>
      </c>
    </row>
    <row r="1915" spans="1:14" hidden="1" x14ac:dyDescent="0.3">
      <c r="A1915" s="134" t="s">
        <v>20</v>
      </c>
      <c r="B1915" s="108">
        <v>46060</v>
      </c>
      <c r="C1915" s="124" t="s">
        <v>167</v>
      </c>
      <c r="D1915" s="130" t="s">
        <v>65</v>
      </c>
      <c r="E1915" s="142" t="s">
        <v>1166</v>
      </c>
      <c r="F1915" s="143" t="s">
        <v>304</v>
      </c>
      <c r="G1915" s="166">
        <v>46058</v>
      </c>
      <c r="H1915" s="175">
        <v>46059</v>
      </c>
      <c r="I1915" s="188"/>
      <c r="J1915" s="37"/>
      <c r="K1915" s="182">
        <v>0.35416666666666669</v>
      </c>
      <c r="L1915" s="186">
        <v>0.64583333333333337</v>
      </c>
      <c r="M1915" s="11">
        <f t="shared" si="29"/>
        <v>7</v>
      </c>
      <c r="N1915" s="168" t="s">
        <v>1</v>
      </c>
    </row>
    <row r="1916" spans="1:14" hidden="1" x14ac:dyDescent="0.3">
      <c r="A1916" s="124" t="s">
        <v>20</v>
      </c>
      <c r="B1916" s="108">
        <v>46060</v>
      </c>
      <c r="C1916" s="124" t="s">
        <v>1093</v>
      </c>
      <c r="D1916" s="304" t="s">
        <v>65</v>
      </c>
      <c r="E1916" s="305" t="s">
        <v>1129</v>
      </c>
      <c r="F1916" s="304" t="s">
        <v>279</v>
      </c>
      <c r="G1916" s="286">
        <v>46059</v>
      </c>
      <c r="H1916" s="286">
        <v>46059</v>
      </c>
      <c r="I1916" s="286">
        <v>46059</v>
      </c>
      <c r="J1916" s="37"/>
      <c r="K1916" s="182">
        <v>0.27083333333333331</v>
      </c>
      <c r="L1916" s="186">
        <v>0.41666666666666669</v>
      </c>
      <c r="M1916" s="11">
        <f t="shared" si="29"/>
        <v>3.5000000000000009</v>
      </c>
      <c r="N1916" s="191" t="s">
        <v>0</v>
      </c>
    </row>
    <row r="1917" spans="1:14" hidden="1" x14ac:dyDescent="0.3">
      <c r="A1917" s="124" t="s">
        <v>20</v>
      </c>
      <c r="B1917" s="108">
        <v>46060</v>
      </c>
      <c r="C1917" s="124" t="s">
        <v>31</v>
      </c>
      <c r="D1917" s="304"/>
      <c r="E1917" s="304"/>
      <c r="F1917" s="304"/>
      <c r="G1917" s="285"/>
      <c r="H1917" s="285"/>
      <c r="I1917" s="285"/>
      <c r="J1917" s="37"/>
      <c r="K1917" s="182">
        <v>0.27083333333333331</v>
      </c>
      <c r="L1917" s="186">
        <v>0.64583333333333337</v>
      </c>
      <c r="M1917" s="11">
        <f t="shared" si="29"/>
        <v>9.0000000000000018</v>
      </c>
      <c r="N1917" s="191"/>
    </row>
    <row r="1918" spans="1:14" hidden="1" x14ac:dyDescent="0.3">
      <c r="A1918" s="124" t="s">
        <v>20</v>
      </c>
      <c r="B1918" s="108">
        <v>46060</v>
      </c>
      <c r="C1918" s="124" t="s">
        <v>15</v>
      </c>
      <c r="D1918" s="137" t="s">
        <v>65</v>
      </c>
      <c r="E1918" s="137" t="s">
        <v>1110</v>
      </c>
      <c r="F1918" s="143" t="s">
        <v>1151</v>
      </c>
      <c r="G1918" s="166">
        <v>46055</v>
      </c>
      <c r="H1918" s="166">
        <v>46059</v>
      </c>
      <c r="I1918" s="166">
        <v>46059</v>
      </c>
      <c r="J1918" s="37"/>
      <c r="K1918" s="182">
        <v>0.27083333333333331</v>
      </c>
      <c r="L1918" s="186">
        <v>0.4375</v>
      </c>
      <c r="M1918" s="11">
        <f t="shared" si="29"/>
        <v>4</v>
      </c>
      <c r="N1918" s="191" t="s">
        <v>0</v>
      </c>
    </row>
    <row r="1919" spans="1:14" ht="28.8" hidden="1" x14ac:dyDescent="0.3">
      <c r="A1919" s="124" t="s">
        <v>19</v>
      </c>
      <c r="B1919" s="108">
        <v>46060</v>
      </c>
      <c r="C1919" s="124" t="s">
        <v>7</v>
      </c>
      <c r="D1919" s="134" t="s">
        <v>8</v>
      </c>
      <c r="E1919" s="134" t="s">
        <v>876</v>
      </c>
      <c r="F1919" s="144" t="s">
        <v>1190</v>
      </c>
      <c r="G1919" s="192">
        <v>46060</v>
      </c>
      <c r="H1919" s="192">
        <v>46060</v>
      </c>
      <c r="I1919" s="192">
        <v>46060</v>
      </c>
      <c r="J1919" s="37"/>
      <c r="K1919" s="167">
        <v>0.27083333333333331</v>
      </c>
      <c r="L1919" s="167">
        <v>0.47916666666666669</v>
      </c>
      <c r="M1919" s="11">
        <f t="shared" si="29"/>
        <v>5.0000000000000009</v>
      </c>
      <c r="N1919" s="190" t="s">
        <v>0</v>
      </c>
    </row>
    <row r="1920" spans="1:14" hidden="1" x14ac:dyDescent="0.3">
      <c r="A1920" s="124" t="s">
        <v>19</v>
      </c>
      <c r="B1920" s="108">
        <v>46060</v>
      </c>
      <c r="C1920" s="124" t="s">
        <v>9</v>
      </c>
      <c r="D1920" s="137" t="s">
        <v>8</v>
      </c>
      <c r="E1920" s="138" t="s">
        <v>1192</v>
      </c>
      <c r="F1920" s="144" t="s">
        <v>1193</v>
      </c>
      <c r="G1920" s="193">
        <v>46060</v>
      </c>
      <c r="H1920" s="193">
        <v>46060</v>
      </c>
      <c r="I1920" s="193">
        <v>46060</v>
      </c>
      <c r="J1920" s="37"/>
      <c r="K1920" s="185">
        <v>0.47916666666666669</v>
      </c>
      <c r="L1920" s="171">
        <v>0.14583333333333334</v>
      </c>
      <c r="M1920" s="11">
        <f t="shared" si="29"/>
        <v>16</v>
      </c>
      <c r="N1920" s="194" t="s">
        <v>0</v>
      </c>
    </row>
    <row r="1921" spans="1:14" hidden="1" x14ac:dyDescent="0.3">
      <c r="A1921" s="107" t="s">
        <v>21</v>
      </c>
      <c r="B1921" s="108">
        <v>46060</v>
      </c>
      <c r="C1921" s="107" t="s">
        <v>37</v>
      </c>
      <c r="D1921" s="109" t="s">
        <v>24</v>
      </c>
      <c r="E1921" s="110" t="s">
        <v>1195</v>
      </c>
      <c r="F1921" s="111" t="s">
        <v>947</v>
      </c>
      <c r="G1921" s="192">
        <v>46060</v>
      </c>
      <c r="H1921" s="192">
        <v>46060</v>
      </c>
      <c r="I1921" s="192">
        <v>46060</v>
      </c>
      <c r="J1921" s="37"/>
      <c r="K1921" s="167">
        <v>0.27083333333333331</v>
      </c>
      <c r="L1921" s="167">
        <v>0.64583333333333337</v>
      </c>
      <c r="M1921" s="11">
        <f t="shared" ref="M1921:M1960" si="30">MOD(L1921-K1921,1)*24</f>
        <v>9.0000000000000018</v>
      </c>
      <c r="N1921" s="134" t="s">
        <v>0</v>
      </c>
    </row>
    <row r="1922" spans="1:14" hidden="1" x14ac:dyDescent="0.3">
      <c r="A1922" s="107" t="s">
        <v>21</v>
      </c>
      <c r="B1922" s="145">
        <v>46060</v>
      </c>
      <c r="C1922" s="146" t="s">
        <v>23</v>
      </c>
      <c r="D1922" s="147" t="s">
        <v>24</v>
      </c>
      <c r="E1922" s="148" t="s">
        <v>1196</v>
      </c>
      <c r="F1922" s="149" t="s">
        <v>1197</v>
      </c>
      <c r="G1922" s="195">
        <v>46060</v>
      </c>
      <c r="H1922" s="195">
        <v>46060</v>
      </c>
      <c r="I1922" s="195">
        <v>46060</v>
      </c>
      <c r="J1922" s="37"/>
      <c r="K1922" s="183">
        <v>0.35416666666666669</v>
      </c>
      <c r="L1922" s="196">
        <v>0.72916666666666663</v>
      </c>
      <c r="M1922" s="11">
        <f t="shared" si="30"/>
        <v>8.9999999999999982</v>
      </c>
      <c r="N1922" s="147" t="s">
        <v>0</v>
      </c>
    </row>
    <row r="1923" spans="1:14" hidden="1" x14ac:dyDescent="0.3">
      <c r="A1923" s="124" t="s">
        <v>20</v>
      </c>
      <c r="B1923" s="108">
        <v>46060</v>
      </c>
      <c r="C1923" s="124" t="s">
        <v>167</v>
      </c>
      <c r="D1923" s="137" t="s">
        <v>65</v>
      </c>
      <c r="E1923" s="137" t="s">
        <v>890</v>
      </c>
      <c r="F1923" s="143" t="s">
        <v>1198</v>
      </c>
      <c r="G1923" s="195">
        <v>46060</v>
      </c>
      <c r="H1923" s="195">
        <v>46060</v>
      </c>
      <c r="I1923" s="195">
        <v>46060</v>
      </c>
      <c r="J1923" s="37"/>
      <c r="K1923" s="182">
        <v>0.27083333333333331</v>
      </c>
      <c r="L1923" s="186">
        <v>0.4375</v>
      </c>
      <c r="M1923" s="11">
        <f t="shared" si="30"/>
        <v>4</v>
      </c>
      <c r="N1923" s="147" t="s">
        <v>0</v>
      </c>
    </row>
    <row r="1924" spans="1:14" hidden="1" x14ac:dyDescent="0.3">
      <c r="A1924" s="134" t="s">
        <v>20</v>
      </c>
      <c r="B1924" s="108">
        <v>46060</v>
      </c>
      <c r="C1924" s="124" t="s">
        <v>1023</v>
      </c>
      <c r="D1924" s="137" t="s">
        <v>65</v>
      </c>
      <c r="E1924" s="302" t="s">
        <v>1189</v>
      </c>
      <c r="F1924" s="141" t="s">
        <v>1151</v>
      </c>
      <c r="G1924" s="175">
        <v>46059</v>
      </c>
      <c r="H1924" s="175">
        <v>46060</v>
      </c>
      <c r="I1924" s="175">
        <v>46060</v>
      </c>
      <c r="J1924" s="37"/>
      <c r="K1924" s="182">
        <v>0.35416666666666669</v>
      </c>
      <c r="L1924" s="182">
        <v>0.72916666666666663</v>
      </c>
      <c r="M1924" s="11">
        <f t="shared" si="30"/>
        <v>8.9999999999999982</v>
      </c>
      <c r="N1924" s="147" t="s">
        <v>0</v>
      </c>
    </row>
    <row r="1925" spans="1:14" hidden="1" x14ac:dyDescent="0.3">
      <c r="A1925" s="134" t="s">
        <v>20</v>
      </c>
      <c r="B1925" s="108">
        <v>46060</v>
      </c>
      <c r="C1925" s="124" t="s">
        <v>31</v>
      </c>
      <c r="D1925" s="137" t="s">
        <v>65</v>
      </c>
      <c r="E1925" s="303"/>
      <c r="F1925" s="141" t="s">
        <v>1151</v>
      </c>
      <c r="G1925" s="175">
        <v>46059</v>
      </c>
      <c r="H1925" s="175">
        <v>46060</v>
      </c>
      <c r="I1925" s="175">
        <v>46060</v>
      </c>
      <c r="J1925" s="37"/>
      <c r="K1925" s="182">
        <v>0.27083333333333331</v>
      </c>
      <c r="L1925" s="182">
        <v>0.64583333333333337</v>
      </c>
      <c r="M1925" s="11">
        <f t="shared" si="30"/>
        <v>9.0000000000000018</v>
      </c>
      <c r="N1925" s="147" t="s">
        <v>0</v>
      </c>
    </row>
    <row r="1926" spans="1:14" hidden="1" x14ac:dyDescent="0.3">
      <c r="A1926" s="136" t="s">
        <v>20</v>
      </c>
      <c r="B1926" s="150">
        <v>46059</v>
      </c>
      <c r="C1926" s="151" t="s">
        <v>15</v>
      </c>
      <c r="D1926" s="130" t="s">
        <v>65</v>
      </c>
      <c r="E1926" s="152" t="s">
        <v>1166</v>
      </c>
      <c r="F1926" s="130" t="s">
        <v>1199</v>
      </c>
      <c r="G1926" s="175">
        <v>46059</v>
      </c>
      <c r="H1926" s="175">
        <v>46059</v>
      </c>
      <c r="I1926" s="172"/>
      <c r="J1926" s="37"/>
      <c r="K1926" s="185">
        <v>0.35416666666666669</v>
      </c>
      <c r="L1926" s="197">
        <v>0.64583333333333337</v>
      </c>
      <c r="M1926" s="11">
        <f t="shared" si="30"/>
        <v>7</v>
      </c>
      <c r="N1926" s="174" t="s">
        <v>0</v>
      </c>
    </row>
    <row r="1927" spans="1:14" hidden="1" x14ac:dyDescent="0.3">
      <c r="A1927" s="112" t="s">
        <v>21</v>
      </c>
      <c r="B1927" s="108">
        <v>46062</v>
      </c>
      <c r="C1927" s="107" t="s">
        <v>26</v>
      </c>
      <c r="D1927" s="109" t="s">
        <v>24</v>
      </c>
      <c r="E1927" s="153" t="s">
        <v>1218</v>
      </c>
      <c r="F1927" s="111" t="s">
        <v>947</v>
      </c>
      <c r="G1927" s="166">
        <v>46031</v>
      </c>
      <c r="H1927" s="166">
        <v>46031</v>
      </c>
      <c r="I1927" s="166"/>
      <c r="J1927" s="37"/>
      <c r="K1927" s="167">
        <v>0.27083333333333331</v>
      </c>
      <c r="L1927" s="167">
        <v>0.64583333333333337</v>
      </c>
      <c r="M1927" s="11">
        <f t="shared" si="30"/>
        <v>9.0000000000000018</v>
      </c>
      <c r="N1927" s="168" t="s">
        <v>1</v>
      </c>
    </row>
    <row r="1928" spans="1:14" hidden="1" x14ac:dyDescent="0.3">
      <c r="A1928" s="112" t="s">
        <v>21</v>
      </c>
      <c r="B1928" s="108">
        <v>46062</v>
      </c>
      <c r="C1928" s="107" t="s">
        <v>23</v>
      </c>
      <c r="D1928" s="113" t="s">
        <v>24</v>
      </c>
      <c r="E1928" s="154" t="s">
        <v>1219</v>
      </c>
      <c r="F1928" s="111" t="s">
        <v>1220</v>
      </c>
      <c r="G1928" s="166">
        <v>46031</v>
      </c>
      <c r="H1928" s="166">
        <v>46031</v>
      </c>
      <c r="I1928" s="166"/>
      <c r="J1928" s="37"/>
      <c r="K1928" s="167">
        <v>0.35416666666666669</v>
      </c>
      <c r="L1928" s="167">
        <v>0.72916666666666663</v>
      </c>
      <c r="M1928" s="11">
        <f t="shared" si="30"/>
        <v>8.9999999999999982</v>
      </c>
      <c r="N1928" s="169" t="s">
        <v>1</v>
      </c>
    </row>
    <row r="1929" spans="1:14" hidden="1" x14ac:dyDescent="0.3">
      <c r="A1929" s="107" t="s">
        <v>21</v>
      </c>
      <c r="B1929" s="108">
        <v>46062</v>
      </c>
      <c r="C1929" s="107" t="s">
        <v>37</v>
      </c>
      <c r="D1929" s="109" t="s">
        <v>24</v>
      </c>
      <c r="E1929" s="153" t="s">
        <v>1221</v>
      </c>
      <c r="F1929" s="111" t="s">
        <v>947</v>
      </c>
      <c r="G1929" s="166">
        <v>46031</v>
      </c>
      <c r="H1929" s="166">
        <v>46031</v>
      </c>
      <c r="I1929" s="166"/>
      <c r="J1929" s="37"/>
      <c r="K1929" s="167">
        <v>0.27083333333333331</v>
      </c>
      <c r="L1929" s="167">
        <v>0.64583333333333337</v>
      </c>
      <c r="M1929" s="11">
        <f t="shared" si="30"/>
        <v>9.0000000000000018</v>
      </c>
      <c r="N1929" s="168" t="s">
        <v>1</v>
      </c>
    </row>
    <row r="1930" spans="1:14" hidden="1" x14ac:dyDescent="0.3">
      <c r="A1930" s="107" t="s">
        <v>21</v>
      </c>
      <c r="B1930" s="108">
        <v>46062</v>
      </c>
      <c r="C1930" s="107" t="s">
        <v>274</v>
      </c>
      <c r="D1930" s="287" t="s">
        <v>8</v>
      </c>
      <c r="E1930" s="306" t="s">
        <v>966</v>
      </c>
      <c r="F1930" s="291" t="s">
        <v>1222</v>
      </c>
      <c r="G1930" s="286">
        <v>46058</v>
      </c>
      <c r="H1930" s="286">
        <v>46064</v>
      </c>
      <c r="I1930" s="170"/>
      <c r="J1930" s="37"/>
      <c r="K1930" s="167">
        <v>0.27083333333333331</v>
      </c>
      <c r="L1930" s="167">
        <v>0.72916666666666663</v>
      </c>
      <c r="M1930" s="11">
        <f t="shared" si="30"/>
        <v>11</v>
      </c>
      <c r="N1930" s="198" t="s">
        <v>1</v>
      </c>
    </row>
    <row r="1931" spans="1:14" hidden="1" x14ac:dyDescent="0.3">
      <c r="A1931" s="107" t="s">
        <v>21</v>
      </c>
      <c r="B1931" s="108">
        <v>46062</v>
      </c>
      <c r="C1931" s="107" t="s">
        <v>18</v>
      </c>
      <c r="D1931" s="288"/>
      <c r="E1931" s="290"/>
      <c r="F1931" s="292"/>
      <c r="G1931" s="293"/>
      <c r="H1931" s="293"/>
      <c r="I1931" s="170"/>
      <c r="J1931" s="37"/>
      <c r="K1931" s="167">
        <v>0.27083333333333331</v>
      </c>
      <c r="L1931" s="171">
        <v>0.72916666666666663</v>
      </c>
      <c r="M1931" s="11">
        <f t="shared" si="30"/>
        <v>11</v>
      </c>
      <c r="N1931" s="199"/>
    </row>
    <row r="1932" spans="1:14" hidden="1" x14ac:dyDescent="0.3">
      <c r="A1932" s="107" t="s">
        <v>21</v>
      </c>
      <c r="B1932" s="108">
        <v>46062</v>
      </c>
      <c r="C1932" s="107" t="s">
        <v>22</v>
      </c>
      <c r="D1932" s="115" t="s">
        <v>43</v>
      </c>
      <c r="E1932" s="154" t="s">
        <v>564</v>
      </c>
      <c r="F1932" s="116" t="s">
        <v>1175</v>
      </c>
      <c r="G1932" s="166">
        <v>46027</v>
      </c>
      <c r="H1932" s="166">
        <v>46031</v>
      </c>
      <c r="I1932" s="172"/>
      <c r="J1932" s="37"/>
      <c r="K1932" s="167">
        <v>0.27083333333333331</v>
      </c>
      <c r="L1932" s="173">
        <v>0.5</v>
      </c>
      <c r="M1932" s="11">
        <f t="shared" si="30"/>
        <v>5.5</v>
      </c>
      <c r="N1932" s="184" t="s">
        <v>0</v>
      </c>
    </row>
    <row r="1933" spans="1:14" hidden="1" x14ac:dyDescent="0.3">
      <c r="A1933" s="107" t="s">
        <v>21</v>
      </c>
      <c r="B1933" s="108">
        <v>46062</v>
      </c>
      <c r="C1933" s="107" t="s">
        <v>22</v>
      </c>
      <c r="D1933" s="115" t="s">
        <v>43</v>
      </c>
      <c r="E1933" s="154" t="s">
        <v>1223</v>
      </c>
      <c r="F1933" s="116" t="s">
        <v>1224</v>
      </c>
      <c r="G1933" s="166">
        <v>46031</v>
      </c>
      <c r="H1933" s="166">
        <v>46031</v>
      </c>
      <c r="I1933" s="172"/>
      <c r="J1933" s="37"/>
      <c r="K1933" s="171">
        <v>0.54166666666666663</v>
      </c>
      <c r="L1933" s="173">
        <v>0.64583333333333337</v>
      </c>
      <c r="M1933" s="11">
        <f t="shared" si="30"/>
        <v>2.5000000000000018</v>
      </c>
      <c r="N1933" s="174" t="s">
        <v>1</v>
      </c>
    </row>
    <row r="1934" spans="1:14" hidden="1" x14ac:dyDescent="0.3">
      <c r="A1934" s="107" t="s">
        <v>21</v>
      </c>
      <c r="B1934" s="108">
        <v>46062</v>
      </c>
      <c r="C1934" s="117" t="s">
        <v>771</v>
      </c>
      <c r="D1934" s="112" t="s">
        <v>43</v>
      </c>
      <c r="E1934" s="155" t="s">
        <v>1142</v>
      </c>
      <c r="F1934" s="119" t="s">
        <v>1225</v>
      </c>
      <c r="G1934" s="166">
        <v>46031</v>
      </c>
      <c r="H1934" s="166">
        <v>46031</v>
      </c>
      <c r="I1934" s="175"/>
      <c r="J1934" s="37"/>
      <c r="K1934" s="171">
        <v>0.27083333333333331</v>
      </c>
      <c r="L1934" s="173">
        <v>0.5</v>
      </c>
      <c r="M1934" s="11">
        <f t="shared" si="30"/>
        <v>5.5</v>
      </c>
      <c r="N1934" s="174" t="s">
        <v>1</v>
      </c>
    </row>
    <row r="1935" spans="1:14" hidden="1" x14ac:dyDescent="0.3">
      <c r="A1935" s="107" t="s">
        <v>21</v>
      </c>
      <c r="B1935" s="108">
        <v>46062</v>
      </c>
      <c r="C1935" s="117" t="s">
        <v>771</v>
      </c>
      <c r="D1935" s="112" t="s">
        <v>43</v>
      </c>
      <c r="E1935" s="156" t="s">
        <v>1157</v>
      </c>
      <c r="F1935" s="116" t="s">
        <v>125</v>
      </c>
      <c r="G1935" s="166">
        <v>46031</v>
      </c>
      <c r="H1935" s="166">
        <v>46031</v>
      </c>
      <c r="I1935" s="179"/>
      <c r="J1935" s="37"/>
      <c r="K1935" s="171">
        <v>0.54166666666666663</v>
      </c>
      <c r="L1935" s="173">
        <v>0.64583333333333337</v>
      </c>
      <c r="M1935" s="11">
        <f t="shared" si="30"/>
        <v>2.5000000000000018</v>
      </c>
      <c r="N1935" s="184" t="s">
        <v>0</v>
      </c>
    </row>
    <row r="1936" spans="1:14" hidden="1" x14ac:dyDescent="0.3">
      <c r="A1936" s="107" t="s">
        <v>21</v>
      </c>
      <c r="B1936" s="108">
        <v>46062</v>
      </c>
      <c r="C1936" s="117" t="s">
        <v>25</v>
      </c>
      <c r="D1936" s="112" t="s">
        <v>43</v>
      </c>
      <c r="E1936" s="120" t="s">
        <v>1226</v>
      </c>
      <c r="F1936" s="121" t="s">
        <v>1059</v>
      </c>
      <c r="G1936" s="166">
        <v>46031</v>
      </c>
      <c r="H1936" s="166">
        <v>46032</v>
      </c>
      <c r="I1936" s="176"/>
      <c r="J1936" s="37"/>
      <c r="K1936" s="171">
        <v>0.27083333333333331</v>
      </c>
      <c r="L1936" s="173">
        <v>0.64583333333333337</v>
      </c>
      <c r="M1936" s="11">
        <f t="shared" si="30"/>
        <v>9.0000000000000018</v>
      </c>
      <c r="N1936" s="184" t="s">
        <v>0</v>
      </c>
    </row>
    <row r="1937" spans="1:14" hidden="1" x14ac:dyDescent="0.3">
      <c r="A1937" s="107" t="s">
        <v>21</v>
      </c>
      <c r="B1937" s="108">
        <v>46062</v>
      </c>
      <c r="C1937" s="107" t="s">
        <v>118</v>
      </c>
      <c r="D1937" s="272" t="s">
        <v>54</v>
      </c>
      <c r="E1937" s="276" t="s">
        <v>688</v>
      </c>
      <c r="F1937" s="262" t="s">
        <v>1177</v>
      </c>
      <c r="G1937" s="286">
        <v>46062</v>
      </c>
      <c r="H1937" s="286">
        <v>46062</v>
      </c>
      <c r="I1937" s="176"/>
      <c r="J1937" s="37"/>
      <c r="K1937" s="167">
        <v>0.35416666666666669</v>
      </c>
      <c r="L1937" s="167">
        <v>0.72916666666666663</v>
      </c>
      <c r="M1937" s="11">
        <f t="shared" si="30"/>
        <v>8.9999999999999982</v>
      </c>
      <c r="N1937" s="194" t="s">
        <v>0</v>
      </c>
    </row>
    <row r="1938" spans="1:14" hidden="1" x14ac:dyDescent="0.3">
      <c r="A1938" s="107" t="s">
        <v>21</v>
      </c>
      <c r="B1938" s="108">
        <v>46062</v>
      </c>
      <c r="C1938" s="107" t="s">
        <v>34</v>
      </c>
      <c r="D1938" s="263"/>
      <c r="E1938" s="277"/>
      <c r="F1938" s="263"/>
      <c r="G1938" s="293"/>
      <c r="H1938" s="293"/>
      <c r="I1938" s="176"/>
      <c r="J1938" s="37"/>
      <c r="K1938" s="167">
        <v>0.35416666666666669</v>
      </c>
      <c r="L1938" s="167">
        <v>0.72916666666666663</v>
      </c>
      <c r="M1938" s="11">
        <f t="shared" si="30"/>
        <v>8.9999999999999982</v>
      </c>
      <c r="N1938" s="180"/>
    </row>
    <row r="1939" spans="1:14" hidden="1" x14ac:dyDescent="0.3">
      <c r="A1939" s="117" t="s">
        <v>21</v>
      </c>
      <c r="B1939" s="108">
        <v>46062</v>
      </c>
      <c r="C1939" s="117" t="s">
        <v>55</v>
      </c>
      <c r="D1939" s="122" t="s">
        <v>43</v>
      </c>
      <c r="E1939" s="157" t="s">
        <v>373</v>
      </c>
      <c r="F1939" s="117" t="s">
        <v>1175</v>
      </c>
      <c r="G1939" s="177">
        <v>46057</v>
      </c>
      <c r="H1939" s="166">
        <v>46062</v>
      </c>
      <c r="I1939" s="177"/>
      <c r="J1939" s="37"/>
      <c r="K1939" s="173">
        <v>0.27083333333333331</v>
      </c>
      <c r="L1939" s="173">
        <v>0.5</v>
      </c>
      <c r="M1939" s="11">
        <f t="shared" si="30"/>
        <v>5.5</v>
      </c>
      <c r="N1939" s="180" t="s">
        <v>0</v>
      </c>
    </row>
    <row r="1940" spans="1:14" hidden="1" x14ac:dyDescent="0.3">
      <c r="A1940" s="117" t="s">
        <v>21</v>
      </c>
      <c r="B1940" s="108">
        <v>46062</v>
      </c>
      <c r="C1940" s="117" t="s">
        <v>55</v>
      </c>
      <c r="D1940" s="122" t="s">
        <v>43</v>
      </c>
      <c r="E1940" s="157" t="s">
        <v>1227</v>
      </c>
      <c r="F1940" s="116" t="s">
        <v>1224</v>
      </c>
      <c r="G1940" s="166">
        <v>46062</v>
      </c>
      <c r="H1940" s="166">
        <v>46062</v>
      </c>
      <c r="I1940" s="179"/>
      <c r="J1940" s="37"/>
      <c r="K1940" s="173">
        <v>0.54166666666666663</v>
      </c>
      <c r="L1940" s="173">
        <v>0.64583333333333337</v>
      </c>
      <c r="M1940" s="11">
        <f t="shared" si="30"/>
        <v>2.5000000000000018</v>
      </c>
      <c r="N1940" s="178" t="s">
        <v>1</v>
      </c>
    </row>
    <row r="1941" spans="1:14" hidden="1" x14ac:dyDescent="0.3">
      <c r="A1941" s="124" t="s">
        <v>19</v>
      </c>
      <c r="B1941" s="108">
        <v>46062</v>
      </c>
      <c r="C1941" s="124" t="s">
        <v>9</v>
      </c>
      <c r="D1941" s="115" t="s">
        <v>8</v>
      </c>
      <c r="E1941" s="125" t="s">
        <v>235</v>
      </c>
      <c r="F1941" s="126" t="s">
        <v>1228</v>
      </c>
      <c r="G1941" s="166">
        <v>46031</v>
      </c>
      <c r="H1941" s="166">
        <v>46031</v>
      </c>
      <c r="I1941" s="179"/>
      <c r="J1941" s="37"/>
      <c r="K1941" s="167">
        <v>0.35416666666666669</v>
      </c>
      <c r="L1941" s="173">
        <v>0.5625</v>
      </c>
      <c r="M1941" s="11">
        <f t="shared" si="30"/>
        <v>5</v>
      </c>
      <c r="N1941" s="178" t="s">
        <v>1</v>
      </c>
    </row>
    <row r="1942" spans="1:14" hidden="1" x14ac:dyDescent="0.3">
      <c r="A1942" s="124" t="s">
        <v>19</v>
      </c>
      <c r="B1942" s="108">
        <v>46062</v>
      </c>
      <c r="C1942" s="124" t="s">
        <v>7</v>
      </c>
      <c r="D1942" s="294" t="s">
        <v>8</v>
      </c>
      <c r="E1942" s="307" t="s">
        <v>876</v>
      </c>
      <c r="F1942" s="294" t="s">
        <v>1229</v>
      </c>
      <c r="G1942" s="284">
        <v>46049</v>
      </c>
      <c r="H1942" s="286">
        <v>46062</v>
      </c>
      <c r="I1942" s="284"/>
      <c r="J1942" s="37"/>
      <c r="K1942" s="173">
        <v>0.27083333333333331</v>
      </c>
      <c r="L1942" s="167">
        <v>0.35416666666666669</v>
      </c>
      <c r="M1942" s="11">
        <f t="shared" si="30"/>
        <v>2.0000000000000009</v>
      </c>
      <c r="N1942" s="191" t="s">
        <v>0</v>
      </c>
    </row>
    <row r="1943" spans="1:14" hidden="1" x14ac:dyDescent="0.3">
      <c r="A1943" s="128" t="s">
        <v>19</v>
      </c>
      <c r="B1943" s="108">
        <v>46062</v>
      </c>
      <c r="C1943" s="128" t="s">
        <v>208</v>
      </c>
      <c r="D1943" s="295"/>
      <c r="E1943" s="308"/>
      <c r="F1943" s="295"/>
      <c r="G1943" s="285"/>
      <c r="H1943" s="293"/>
      <c r="I1943" s="285"/>
      <c r="J1943" s="37"/>
      <c r="K1943" s="173">
        <v>0.27083333333333331</v>
      </c>
      <c r="L1943" s="167">
        <v>0.35416666666666669</v>
      </c>
      <c r="M1943" s="11">
        <f t="shared" si="30"/>
        <v>2.0000000000000009</v>
      </c>
      <c r="N1943" s="180"/>
    </row>
    <row r="1944" spans="1:14" hidden="1" x14ac:dyDescent="0.3">
      <c r="A1944" s="124" t="s">
        <v>19</v>
      </c>
      <c r="B1944" s="108">
        <v>46062</v>
      </c>
      <c r="C1944" s="124" t="s">
        <v>7</v>
      </c>
      <c r="D1944" s="297" t="s">
        <v>8</v>
      </c>
      <c r="E1944" s="309" t="s">
        <v>1008</v>
      </c>
      <c r="F1944" s="297" t="s">
        <v>669</v>
      </c>
      <c r="G1944" s="286">
        <v>46062</v>
      </c>
      <c r="H1944" s="286">
        <v>46062</v>
      </c>
      <c r="I1944" s="177"/>
      <c r="J1944" s="37"/>
      <c r="K1944" s="167">
        <v>0.35416666666666669</v>
      </c>
      <c r="L1944" s="173">
        <v>0.5</v>
      </c>
      <c r="M1944" s="11">
        <f t="shared" si="30"/>
        <v>3.4999999999999996</v>
      </c>
      <c r="N1944" s="194" t="s">
        <v>0</v>
      </c>
    </row>
    <row r="1945" spans="1:14" hidden="1" x14ac:dyDescent="0.3">
      <c r="A1945" s="128" t="s">
        <v>19</v>
      </c>
      <c r="B1945" s="108">
        <v>46062</v>
      </c>
      <c r="C1945" s="128" t="s">
        <v>208</v>
      </c>
      <c r="D1945" s="295"/>
      <c r="E1945" s="308"/>
      <c r="F1945" s="295"/>
      <c r="G1945" s="293"/>
      <c r="H1945" s="293"/>
      <c r="I1945" s="177"/>
      <c r="J1945" s="37"/>
      <c r="K1945" s="167">
        <v>0.35416666666666669</v>
      </c>
      <c r="L1945" s="173">
        <v>0.5</v>
      </c>
      <c r="M1945" s="11">
        <f t="shared" si="30"/>
        <v>3.4999999999999996</v>
      </c>
      <c r="N1945" s="180"/>
    </row>
    <row r="1946" spans="1:14" hidden="1" x14ac:dyDescent="0.3">
      <c r="A1946" s="124" t="s">
        <v>19</v>
      </c>
      <c r="B1946" s="108">
        <v>46062</v>
      </c>
      <c r="C1946" s="124" t="s">
        <v>9</v>
      </c>
      <c r="D1946" s="130" t="s">
        <v>8</v>
      </c>
      <c r="E1946" s="158" t="s">
        <v>1230</v>
      </c>
      <c r="F1946" s="131" t="s">
        <v>1231</v>
      </c>
      <c r="G1946" s="166">
        <v>46031</v>
      </c>
      <c r="H1946" s="166">
        <v>46031</v>
      </c>
      <c r="I1946" s="177"/>
      <c r="J1946" s="37"/>
      <c r="K1946" s="173">
        <v>0.5625</v>
      </c>
      <c r="L1946" s="173">
        <v>0.60416666666666663</v>
      </c>
      <c r="M1946" s="11">
        <f t="shared" si="30"/>
        <v>0.99999999999999911</v>
      </c>
      <c r="N1946" s="184" t="s">
        <v>0</v>
      </c>
    </row>
    <row r="1947" spans="1:14" hidden="1" x14ac:dyDescent="0.3">
      <c r="A1947" s="124" t="s">
        <v>19</v>
      </c>
      <c r="B1947" s="108">
        <v>46062</v>
      </c>
      <c r="C1947" s="124" t="s">
        <v>9</v>
      </c>
      <c r="D1947" s="130" t="s">
        <v>27</v>
      </c>
      <c r="E1947" s="159" t="s">
        <v>82</v>
      </c>
      <c r="F1947" s="132" t="s">
        <v>1232</v>
      </c>
      <c r="G1947" s="166">
        <v>46031</v>
      </c>
      <c r="H1947" s="166">
        <v>46031</v>
      </c>
      <c r="I1947" s="179"/>
      <c r="J1947" s="37"/>
      <c r="K1947" s="173">
        <v>0.6875</v>
      </c>
      <c r="L1947" s="167">
        <v>0.72916666666666663</v>
      </c>
      <c r="M1947" s="11">
        <f t="shared" si="30"/>
        <v>0.99999999999999911</v>
      </c>
      <c r="N1947" s="174" t="s">
        <v>1</v>
      </c>
    </row>
    <row r="1948" spans="1:14" hidden="1" x14ac:dyDescent="0.3">
      <c r="A1948" s="124" t="s">
        <v>19</v>
      </c>
      <c r="B1948" s="108">
        <v>46062</v>
      </c>
      <c r="C1948" s="124" t="s">
        <v>1111</v>
      </c>
      <c r="D1948" s="130" t="s">
        <v>44</v>
      </c>
      <c r="E1948" s="160" t="s">
        <v>1233</v>
      </c>
      <c r="F1948" s="130" t="s">
        <v>1234</v>
      </c>
      <c r="G1948" s="175">
        <v>46062</v>
      </c>
      <c r="H1948" s="175">
        <v>46062</v>
      </c>
      <c r="I1948" s="172"/>
      <c r="J1948" s="37"/>
      <c r="K1948" s="173">
        <v>0.27083333333333331</v>
      </c>
      <c r="L1948" s="173">
        <v>0.64583333333333337</v>
      </c>
      <c r="M1948" s="11">
        <f t="shared" si="30"/>
        <v>9.0000000000000018</v>
      </c>
      <c r="N1948" s="174" t="s">
        <v>1</v>
      </c>
    </row>
    <row r="1949" spans="1:14" hidden="1" x14ac:dyDescent="0.3">
      <c r="A1949" s="124" t="s">
        <v>19</v>
      </c>
      <c r="B1949" s="108">
        <v>46062</v>
      </c>
      <c r="C1949" s="124" t="s">
        <v>208</v>
      </c>
      <c r="D1949" s="130" t="s">
        <v>44</v>
      </c>
      <c r="E1949" s="161" t="s">
        <v>1135</v>
      </c>
      <c r="F1949" s="133" t="s">
        <v>1179</v>
      </c>
      <c r="G1949" s="175">
        <v>46062</v>
      </c>
      <c r="H1949" s="175">
        <v>46062</v>
      </c>
      <c r="I1949" s="176"/>
      <c r="J1949" s="37"/>
      <c r="K1949" s="185">
        <v>0.35416666666666669</v>
      </c>
      <c r="L1949" s="186">
        <v>0.72916666666666663</v>
      </c>
      <c r="M1949" s="11">
        <f t="shared" si="30"/>
        <v>8.9999999999999982</v>
      </c>
      <c r="N1949" s="174" t="s">
        <v>1</v>
      </c>
    </row>
    <row r="1950" spans="1:14" hidden="1" x14ac:dyDescent="0.3">
      <c r="A1950" s="134" t="s">
        <v>20</v>
      </c>
      <c r="B1950" s="108">
        <v>46062</v>
      </c>
      <c r="C1950" s="135" t="s">
        <v>1003</v>
      </c>
      <c r="D1950" s="214" t="s">
        <v>44</v>
      </c>
      <c r="E1950" s="310" t="s">
        <v>1180</v>
      </c>
      <c r="F1950" s="300" t="s">
        <v>1235</v>
      </c>
      <c r="G1950" s="286">
        <v>46059</v>
      </c>
      <c r="H1950" s="286">
        <v>46068</v>
      </c>
      <c r="I1950" s="175"/>
      <c r="J1950" s="37"/>
      <c r="K1950" s="167">
        <v>0.27083333333333331</v>
      </c>
      <c r="L1950" s="186">
        <v>0.72916666666666663</v>
      </c>
      <c r="M1950" s="11">
        <f t="shared" si="30"/>
        <v>11</v>
      </c>
      <c r="N1950" s="169" t="s">
        <v>1</v>
      </c>
    </row>
    <row r="1951" spans="1:14" hidden="1" x14ac:dyDescent="0.3">
      <c r="A1951" s="134" t="s">
        <v>20</v>
      </c>
      <c r="B1951" s="108">
        <v>46062</v>
      </c>
      <c r="C1951" s="135" t="s">
        <v>33</v>
      </c>
      <c r="D1951" s="215"/>
      <c r="E1951" s="311"/>
      <c r="F1951" s="301"/>
      <c r="G1951" s="285"/>
      <c r="H1951" s="285"/>
      <c r="I1951" s="175"/>
      <c r="J1951" s="37"/>
      <c r="K1951" s="167">
        <v>0.27083333333333331</v>
      </c>
      <c r="L1951" s="186">
        <v>0.72916666666666663</v>
      </c>
      <c r="M1951" s="11">
        <f t="shared" si="30"/>
        <v>11</v>
      </c>
      <c r="N1951" s="178"/>
    </row>
    <row r="1952" spans="1:14" hidden="1" x14ac:dyDescent="0.3">
      <c r="A1952" s="136" t="s">
        <v>20</v>
      </c>
      <c r="B1952" s="108">
        <v>46062</v>
      </c>
      <c r="C1952" s="124" t="s">
        <v>421</v>
      </c>
      <c r="D1952" s="124" t="s">
        <v>44</v>
      </c>
      <c r="E1952" s="162" t="s">
        <v>1180</v>
      </c>
      <c r="F1952" s="134" t="s">
        <v>1235</v>
      </c>
      <c r="G1952" s="175">
        <v>46059</v>
      </c>
      <c r="H1952" s="175">
        <v>46068</v>
      </c>
      <c r="I1952" s="175"/>
      <c r="J1952" s="37"/>
      <c r="K1952" s="185">
        <v>0.35416666666666669</v>
      </c>
      <c r="L1952" s="186">
        <v>0.72916666666666663</v>
      </c>
      <c r="M1952" s="11">
        <f t="shared" si="30"/>
        <v>8.9999999999999982</v>
      </c>
      <c r="N1952" s="168" t="s">
        <v>1</v>
      </c>
    </row>
    <row r="1953" spans="1:14" hidden="1" x14ac:dyDescent="0.3">
      <c r="A1953" s="136" t="s">
        <v>20</v>
      </c>
      <c r="B1953" s="108">
        <v>46062</v>
      </c>
      <c r="C1953" s="124" t="s">
        <v>14</v>
      </c>
      <c r="D1953" s="124" t="s">
        <v>44</v>
      </c>
      <c r="E1953" s="162" t="s">
        <v>1135</v>
      </c>
      <c r="F1953" s="134" t="s">
        <v>1182</v>
      </c>
      <c r="G1953" s="175">
        <v>46062</v>
      </c>
      <c r="H1953" s="175">
        <v>46062</v>
      </c>
      <c r="I1953" s="175"/>
      <c r="J1953" s="37"/>
      <c r="K1953" s="185">
        <v>0.35416666666666669</v>
      </c>
      <c r="L1953" s="186">
        <v>0.72916666666666663</v>
      </c>
      <c r="M1953" s="11">
        <f t="shared" si="30"/>
        <v>8.9999999999999982</v>
      </c>
      <c r="N1953" s="168" t="s">
        <v>1</v>
      </c>
    </row>
    <row r="1954" spans="1:14" hidden="1" x14ac:dyDescent="0.3">
      <c r="A1954" s="134" t="s">
        <v>20</v>
      </c>
      <c r="B1954" s="108">
        <v>46062</v>
      </c>
      <c r="C1954" s="124" t="s">
        <v>47</v>
      </c>
      <c r="D1954" s="137" t="s">
        <v>65</v>
      </c>
      <c r="E1954" s="163" t="s">
        <v>1188</v>
      </c>
      <c r="F1954" s="139" t="s">
        <v>1236</v>
      </c>
      <c r="G1954" s="166">
        <v>46055</v>
      </c>
      <c r="H1954" s="175">
        <v>46062</v>
      </c>
      <c r="I1954" s="166"/>
      <c r="J1954" s="37"/>
      <c r="K1954" s="167">
        <v>0.27083333333333331</v>
      </c>
      <c r="L1954" s="182">
        <v>0.64583333333333337</v>
      </c>
      <c r="M1954" s="11">
        <f t="shared" si="30"/>
        <v>9.0000000000000018</v>
      </c>
      <c r="N1954" s="191" t="s">
        <v>0</v>
      </c>
    </row>
    <row r="1955" spans="1:14" hidden="1" x14ac:dyDescent="0.3">
      <c r="A1955" s="134" t="s">
        <v>20</v>
      </c>
      <c r="B1955" s="108">
        <v>46062</v>
      </c>
      <c r="C1955" s="124" t="s">
        <v>17</v>
      </c>
      <c r="D1955" s="137" t="s">
        <v>65</v>
      </c>
      <c r="E1955" s="163" t="s">
        <v>1237</v>
      </c>
      <c r="F1955" s="137" t="s">
        <v>1187</v>
      </c>
      <c r="G1955" s="166">
        <v>46062</v>
      </c>
      <c r="H1955" s="166">
        <v>46062</v>
      </c>
      <c r="I1955" s="166"/>
      <c r="J1955" s="37"/>
      <c r="K1955" s="182">
        <v>0.27083333333333331</v>
      </c>
      <c r="L1955" s="186">
        <v>0.60416666666666663</v>
      </c>
      <c r="M1955" s="11">
        <f t="shared" si="30"/>
        <v>8</v>
      </c>
      <c r="N1955" s="191" t="s">
        <v>0</v>
      </c>
    </row>
    <row r="1956" spans="1:14" hidden="1" x14ac:dyDescent="0.3">
      <c r="A1956" s="134" t="s">
        <v>20</v>
      </c>
      <c r="B1956" s="108">
        <v>46062</v>
      </c>
      <c r="C1956" s="124" t="s">
        <v>167</v>
      </c>
      <c r="D1956" s="130" t="s">
        <v>65</v>
      </c>
      <c r="E1956" s="164" t="s">
        <v>1238</v>
      </c>
      <c r="F1956" s="143" t="s">
        <v>1109</v>
      </c>
      <c r="G1956" s="166">
        <v>46062</v>
      </c>
      <c r="H1956" s="166">
        <v>46062</v>
      </c>
      <c r="I1956" s="188"/>
      <c r="J1956" s="37"/>
      <c r="K1956" s="182">
        <v>0.27083333333333331</v>
      </c>
      <c r="L1956" s="186">
        <v>0.64583333333333337</v>
      </c>
      <c r="M1956" s="11">
        <f t="shared" si="30"/>
        <v>9.0000000000000018</v>
      </c>
      <c r="N1956" s="190" t="s">
        <v>0</v>
      </c>
    </row>
    <row r="1957" spans="1:14" hidden="1" x14ac:dyDescent="0.3">
      <c r="A1957" s="124" t="s">
        <v>20</v>
      </c>
      <c r="B1957" s="108">
        <v>46062</v>
      </c>
      <c r="C1957" s="124" t="s">
        <v>1093</v>
      </c>
      <c r="D1957" s="304" t="s">
        <v>65</v>
      </c>
      <c r="E1957" s="312" t="s">
        <v>1189</v>
      </c>
      <c r="F1957" s="304" t="s">
        <v>1036</v>
      </c>
      <c r="G1957" s="286">
        <v>46059</v>
      </c>
      <c r="H1957" s="286">
        <v>46062</v>
      </c>
      <c r="I1957" s="286"/>
      <c r="J1957" s="37"/>
      <c r="K1957" s="182">
        <v>0.27083333333333331</v>
      </c>
      <c r="L1957" s="186">
        <v>0.60416666666666663</v>
      </c>
      <c r="M1957" s="11">
        <f t="shared" si="30"/>
        <v>8</v>
      </c>
      <c r="N1957" s="191" t="s">
        <v>0</v>
      </c>
    </row>
    <row r="1958" spans="1:14" hidden="1" x14ac:dyDescent="0.3">
      <c r="A1958" s="124" t="s">
        <v>20</v>
      </c>
      <c r="B1958" s="108">
        <v>46062</v>
      </c>
      <c r="C1958" s="124" t="s">
        <v>31</v>
      </c>
      <c r="D1958" s="304"/>
      <c r="E1958" s="312"/>
      <c r="F1958" s="304"/>
      <c r="G1958" s="285"/>
      <c r="H1958" s="285"/>
      <c r="I1958" s="285"/>
      <c r="J1958" s="37"/>
      <c r="K1958" s="182">
        <v>0.27083333333333331</v>
      </c>
      <c r="L1958" s="186">
        <v>0.60416666666666663</v>
      </c>
      <c r="M1958" s="11">
        <f t="shared" si="30"/>
        <v>8</v>
      </c>
      <c r="N1958" s="191"/>
    </row>
    <row r="1959" spans="1:14" hidden="1" x14ac:dyDescent="0.3">
      <c r="A1959" s="124" t="s">
        <v>20</v>
      </c>
      <c r="B1959" s="108">
        <v>46062</v>
      </c>
      <c r="C1959" s="124" t="s">
        <v>1093</v>
      </c>
      <c r="D1959" s="137" t="s">
        <v>65</v>
      </c>
      <c r="E1959" s="165" t="s">
        <v>936</v>
      </c>
      <c r="F1959" s="124" t="s">
        <v>244</v>
      </c>
      <c r="G1959" s="166">
        <v>46062</v>
      </c>
      <c r="H1959" s="166">
        <v>46062</v>
      </c>
      <c r="I1959" s="177"/>
      <c r="J1959" s="37"/>
      <c r="K1959" s="182">
        <v>0.60416666666666663</v>
      </c>
      <c r="L1959" s="186">
        <v>0.64583333333333337</v>
      </c>
      <c r="M1959" s="11">
        <f t="shared" si="30"/>
        <v>1.0000000000000018</v>
      </c>
      <c r="N1959" s="191" t="s">
        <v>0</v>
      </c>
    </row>
    <row r="1960" spans="1:14" hidden="1" x14ac:dyDescent="0.3">
      <c r="A1960" s="134" t="s">
        <v>20</v>
      </c>
      <c r="B1960" s="108">
        <v>46062</v>
      </c>
      <c r="C1960" s="124" t="s">
        <v>15</v>
      </c>
      <c r="D1960" s="143" t="s">
        <v>65</v>
      </c>
      <c r="E1960" s="164" t="s">
        <v>1239</v>
      </c>
      <c r="F1960" s="143" t="s">
        <v>1240</v>
      </c>
      <c r="G1960" s="166">
        <v>46062</v>
      </c>
      <c r="H1960" s="166">
        <v>46062</v>
      </c>
      <c r="I1960" s="188"/>
      <c r="J1960" s="37"/>
      <c r="K1960" s="182">
        <v>0.35416666666666669</v>
      </c>
      <c r="L1960" s="186">
        <v>0.64583333333333337</v>
      </c>
      <c r="M1960" s="11">
        <f t="shared" si="30"/>
        <v>7</v>
      </c>
      <c r="N1960" s="190" t="s">
        <v>0</v>
      </c>
    </row>
    <row r="1961" spans="1:14" hidden="1" x14ac:dyDescent="0.3">
      <c r="K1961" s="182"/>
      <c r="L1961" s="186"/>
      <c r="M1961" s="11"/>
    </row>
    <row r="1962" spans="1:14" hidden="1" x14ac:dyDescent="0.3">
      <c r="K1962" s="182"/>
      <c r="L1962" s="186"/>
      <c r="M1962" s="11"/>
    </row>
    <row r="1963" spans="1:14" hidden="1" x14ac:dyDescent="0.3">
      <c r="K1963" s="182"/>
      <c r="L1963" s="186"/>
      <c r="M1963" s="11"/>
    </row>
    <row r="1964" spans="1:14" hidden="1" x14ac:dyDescent="0.3">
      <c r="K1964" s="182"/>
      <c r="L1964" s="186"/>
      <c r="M1964" s="11"/>
    </row>
    <row r="1965" spans="1:14" hidden="1" x14ac:dyDescent="0.3">
      <c r="A1965" s="112" t="s">
        <v>21</v>
      </c>
      <c r="B1965" s="108">
        <v>46063</v>
      </c>
      <c r="C1965" s="107" t="s">
        <v>50</v>
      </c>
      <c r="D1965" s="109" t="s">
        <v>24</v>
      </c>
      <c r="E1965" s="153" t="s">
        <v>183</v>
      </c>
      <c r="F1965" s="111" t="s">
        <v>1300</v>
      </c>
      <c r="G1965" s="166">
        <v>46032</v>
      </c>
      <c r="H1965" s="166">
        <v>46032</v>
      </c>
      <c r="I1965" s="166"/>
      <c r="J1965" s="37"/>
      <c r="K1965" s="167">
        <v>0.35416666666666669</v>
      </c>
      <c r="L1965" s="167">
        <v>0.54166666666666663</v>
      </c>
      <c r="M1965" s="11">
        <f t="shared" ref="M1965:M1998" si="31">MOD(L1965-K1965,1)*24</f>
        <v>4.4999999999999982</v>
      </c>
      <c r="N1965" s="168" t="s">
        <v>0</v>
      </c>
    </row>
    <row r="1966" spans="1:14" hidden="1" x14ac:dyDescent="0.3">
      <c r="A1966" s="112" t="s">
        <v>21</v>
      </c>
      <c r="B1966" s="108">
        <v>46063</v>
      </c>
      <c r="C1966" s="107" t="s">
        <v>51</v>
      </c>
      <c r="D1966" s="113" t="s">
        <v>24</v>
      </c>
      <c r="E1966" s="153" t="s">
        <v>1218</v>
      </c>
      <c r="F1966" s="111" t="s">
        <v>1300</v>
      </c>
      <c r="G1966" s="166">
        <v>46032</v>
      </c>
      <c r="H1966" s="166">
        <v>46032</v>
      </c>
      <c r="I1966" s="166"/>
      <c r="J1966" s="37"/>
      <c r="K1966" s="167">
        <v>0.35416666666666669</v>
      </c>
      <c r="L1966" s="167">
        <v>0.54166666666666663</v>
      </c>
      <c r="M1966" s="11">
        <f t="shared" si="31"/>
        <v>4.4999999999999982</v>
      </c>
      <c r="N1966" s="169" t="s">
        <v>0</v>
      </c>
    </row>
    <row r="1967" spans="1:14" hidden="1" x14ac:dyDescent="0.3">
      <c r="A1967" s="107" t="s">
        <v>21</v>
      </c>
      <c r="B1967" s="108">
        <v>46063</v>
      </c>
      <c r="C1967" s="107" t="s">
        <v>830</v>
      </c>
      <c r="D1967" s="109" t="s">
        <v>24</v>
      </c>
      <c r="E1967" s="153" t="s">
        <v>1301</v>
      </c>
      <c r="F1967" s="111" t="s">
        <v>1300</v>
      </c>
      <c r="G1967" s="166">
        <v>46032</v>
      </c>
      <c r="H1967" s="166">
        <v>46032</v>
      </c>
      <c r="I1967" s="166"/>
      <c r="J1967" s="37"/>
      <c r="K1967" s="167">
        <v>0.35416666666666669</v>
      </c>
      <c r="L1967" s="167">
        <v>0.54166666666666663</v>
      </c>
      <c r="M1967" s="11">
        <f t="shared" si="31"/>
        <v>4.4999999999999982</v>
      </c>
      <c r="N1967" s="168" t="s">
        <v>0</v>
      </c>
    </row>
    <row r="1968" spans="1:14" hidden="1" x14ac:dyDescent="0.3">
      <c r="A1968" s="107" t="s">
        <v>21</v>
      </c>
      <c r="B1968" s="108">
        <v>46063</v>
      </c>
      <c r="C1968" s="107" t="s">
        <v>274</v>
      </c>
      <c r="D1968" s="112" t="s">
        <v>8</v>
      </c>
      <c r="E1968" s="155" t="s">
        <v>966</v>
      </c>
      <c r="F1968" s="119" t="s">
        <v>1222</v>
      </c>
      <c r="G1968" s="175">
        <v>46058</v>
      </c>
      <c r="H1968" s="175">
        <v>46064</v>
      </c>
      <c r="I1968" s="170"/>
      <c r="J1968" s="37"/>
      <c r="K1968" s="167">
        <v>0.27083333333333331</v>
      </c>
      <c r="L1968" s="167">
        <v>0.72916666666666663</v>
      </c>
      <c r="M1968" s="11">
        <f t="shared" si="31"/>
        <v>11</v>
      </c>
      <c r="N1968" s="198" t="s">
        <v>1</v>
      </c>
    </row>
    <row r="1969" spans="1:14" hidden="1" x14ac:dyDescent="0.3">
      <c r="A1969" s="107" t="s">
        <v>21</v>
      </c>
      <c r="B1969" s="108">
        <v>46063</v>
      </c>
      <c r="C1969" s="107" t="s">
        <v>18</v>
      </c>
      <c r="D1969" s="117" t="s">
        <v>1302</v>
      </c>
      <c r="E1969" s="156" t="s">
        <v>1302</v>
      </c>
      <c r="F1969" s="119" t="s">
        <v>1222</v>
      </c>
      <c r="G1969" s="175">
        <v>46058</v>
      </c>
      <c r="H1969" s="175">
        <v>46064</v>
      </c>
      <c r="I1969" s="170"/>
      <c r="J1969" s="37"/>
      <c r="K1969" s="167">
        <v>0.27083333333333331</v>
      </c>
      <c r="L1969" s="171">
        <v>0.72916666666666663</v>
      </c>
      <c r="M1969" s="11">
        <f t="shared" si="31"/>
        <v>11</v>
      </c>
      <c r="N1969" s="199" t="s">
        <v>1302</v>
      </c>
    </row>
    <row r="1970" spans="1:14" hidden="1" x14ac:dyDescent="0.3">
      <c r="A1970" s="107" t="s">
        <v>21</v>
      </c>
      <c r="B1970" s="108">
        <v>46063</v>
      </c>
      <c r="C1970" s="107" t="s">
        <v>22</v>
      </c>
      <c r="D1970" s="115" t="s">
        <v>43</v>
      </c>
      <c r="E1970" s="154" t="s">
        <v>1303</v>
      </c>
      <c r="F1970" s="116" t="s">
        <v>1304</v>
      </c>
      <c r="G1970" s="166">
        <v>46031</v>
      </c>
      <c r="H1970" s="166">
        <v>46032</v>
      </c>
      <c r="I1970" s="172"/>
      <c r="J1970" s="37"/>
      <c r="K1970" s="167">
        <v>0.27083333333333331</v>
      </c>
      <c r="L1970" s="173">
        <v>0.64583333333333337</v>
      </c>
      <c r="M1970" s="11">
        <f t="shared" si="31"/>
        <v>9.0000000000000018</v>
      </c>
      <c r="N1970" s="184" t="s">
        <v>30</v>
      </c>
    </row>
    <row r="1971" spans="1:14" hidden="1" x14ac:dyDescent="0.3">
      <c r="A1971" s="107" t="s">
        <v>21</v>
      </c>
      <c r="B1971" s="108">
        <v>46063</v>
      </c>
      <c r="C1971" s="117" t="s">
        <v>771</v>
      </c>
      <c r="D1971" s="112" t="s">
        <v>43</v>
      </c>
      <c r="E1971" s="155" t="s">
        <v>1142</v>
      </c>
      <c r="F1971" s="119" t="s">
        <v>1059</v>
      </c>
      <c r="G1971" s="166">
        <v>46032</v>
      </c>
      <c r="H1971" s="166">
        <v>46032</v>
      </c>
      <c r="I1971" s="175"/>
      <c r="J1971" s="37"/>
      <c r="K1971" s="171">
        <v>0.27083333333333331</v>
      </c>
      <c r="L1971" s="173">
        <v>0.64583333333333337</v>
      </c>
      <c r="M1971" s="11">
        <f t="shared" si="31"/>
        <v>9.0000000000000018</v>
      </c>
      <c r="N1971" s="174" t="s">
        <v>0</v>
      </c>
    </row>
    <row r="1972" spans="1:14" hidden="1" x14ac:dyDescent="0.3">
      <c r="A1972" s="107" t="s">
        <v>21</v>
      </c>
      <c r="B1972" s="108">
        <v>46063</v>
      </c>
      <c r="C1972" s="117" t="s">
        <v>25</v>
      </c>
      <c r="D1972" s="112" t="s">
        <v>43</v>
      </c>
      <c r="E1972" s="120" t="s">
        <v>1226</v>
      </c>
      <c r="F1972" s="121" t="s">
        <v>1306</v>
      </c>
      <c r="G1972" s="166">
        <v>46031</v>
      </c>
      <c r="H1972" s="166">
        <v>46032</v>
      </c>
      <c r="I1972" s="176"/>
      <c r="J1972" s="37"/>
      <c r="K1972" s="171">
        <v>0.27083333333333331</v>
      </c>
      <c r="L1972" s="173">
        <v>0.64583333333333337</v>
      </c>
      <c r="M1972" s="11">
        <f t="shared" si="31"/>
        <v>9.0000000000000018</v>
      </c>
      <c r="N1972" s="174" t="s">
        <v>0</v>
      </c>
    </row>
    <row r="1973" spans="1:14" hidden="1" x14ac:dyDescent="0.3">
      <c r="A1973" s="107" t="s">
        <v>21</v>
      </c>
      <c r="B1973" s="108">
        <v>46063</v>
      </c>
      <c r="C1973" s="107" t="s">
        <v>118</v>
      </c>
      <c r="D1973" s="126" t="s">
        <v>54</v>
      </c>
      <c r="E1973" s="155" t="s">
        <v>688</v>
      </c>
      <c r="F1973" s="112" t="s">
        <v>1305</v>
      </c>
      <c r="G1973" s="166">
        <v>46032</v>
      </c>
      <c r="H1973" s="166">
        <v>46032</v>
      </c>
      <c r="I1973" s="176"/>
      <c r="J1973" s="37"/>
      <c r="K1973" s="167">
        <v>0.35416666666666669</v>
      </c>
      <c r="L1973" s="167">
        <v>0.72916666666666663</v>
      </c>
      <c r="M1973" s="11">
        <f t="shared" si="31"/>
        <v>8.9999999999999982</v>
      </c>
      <c r="N1973" s="169" t="s">
        <v>0</v>
      </c>
    </row>
    <row r="1974" spans="1:14" hidden="1" x14ac:dyDescent="0.3">
      <c r="A1974" s="107" t="s">
        <v>21</v>
      </c>
      <c r="B1974" s="108">
        <v>46063</v>
      </c>
      <c r="C1974" s="107" t="s">
        <v>34</v>
      </c>
      <c r="D1974" s="117" t="s">
        <v>1302</v>
      </c>
      <c r="E1974" s="120" t="s">
        <v>1302</v>
      </c>
      <c r="F1974" s="112" t="s">
        <v>1305</v>
      </c>
      <c r="G1974" s="166">
        <v>46032</v>
      </c>
      <c r="H1974" s="166">
        <v>46032</v>
      </c>
      <c r="I1974" s="176"/>
      <c r="J1974" s="37"/>
      <c r="K1974" s="167">
        <v>0.35416666666666669</v>
      </c>
      <c r="L1974" s="167">
        <v>0.72916666666666663</v>
      </c>
      <c r="M1974" s="11">
        <f t="shared" si="31"/>
        <v>8.9999999999999982</v>
      </c>
      <c r="N1974" s="178" t="s">
        <v>1302</v>
      </c>
    </row>
    <row r="1975" spans="1:14" hidden="1" x14ac:dyDescent="0.3">
      <c r="A1975" s="117" t="s">
        <v>21</v>
      </c>
      <c r="B1975" s="108">
        <v>46063</v>
      </c>
      <c r="C1975" s="117" t="s">
        <v>55</v>
      </c>
      <c r="D1975" s="122" t="s">
        <v>43</v>
      </c>
      <c r="E1975" s="157" t="s">
        <v>1227</v>
      </c>
      <c r="F1975" s="116" t="s">
        <v>1304</v>
      </c>
      <c r="G1975" s="166">
        <v>46062</v>
      </c>
      <c r="H1975" s="166">
        <v>46063</v>
      </c>
      <c r="I1975" s="179"/>
      <c r="J1975" s="37"/>
      <c r="K1975" s="171">
        <v>0.27083333333333331</v>
      </c>
      <c r="L1975" s="173">
        <v>0.64583333333333337</v>
      </c>
      <c r="M1975" s="11">
        <f t="shared" si="31"/>
        <v>9.0000000000000018</v>
      </c>
      <c r="N1975" s="178" t="s">
        <v>1</v>
      </c>
    </row>
    <row r="1976" spans="1:14" hidden="1" x14ac:dyDescent="0.3">
      <c r="A1976" s="124" t="s">
        <v>19</v>
      </c>
      <c r="B1976" s="108">
        <v>46063</v>
      </c>
      <c r="C1976" s="124" t="s">
        <v>7</v>
      </c>
      <c r="D1976" s="143" t="s">
        <v>8</v>
      </c>
      <c r="E1976" s="164" t="s">
        <v>1184</v>
      </c>
      <c r="F1976" s="143" t="s">
        <v>1307</v>
      </c>
      <c r="G1976" s="166">
        <v>46060</v>
      </c>
      <c r="H1976" s="166">
        <v>46063</v>
      </c>
      <c r="I1976" s="188"/>
      <c r="J1976" s="37"/>
      <c r="K1976" s="173">
        <v>0.27083333333333331</v>
      </c>
      <c r="L1976" s="167">
        <v>0.35416666666666669</v>
      </c>
      <c r="M1976" s="11">
        <f t="shared" si="31"/>
        <v>2.0000000000000009</v>
      </c>
      <c r="N1976" s="187" t="s">
        <v>0</v>
      </c>
    </row>
    <row r="1977" spans="1:14" hidden="1" x14ac:dyDescent="0.3">
      <c r="A1977" s="128" t="s">
        <v>19</v>
      </c>
      <c r="B1977" s="108">
        <v>46063</v>
      </c>
      <c r="C1977" s="128" t="s">
        <v>208</v>
      </c>
      <c r="D1977" s="133" t="s">
        <v>1302</v>
      </c>
      <c r="E1977" s="161" t="s">
        <v>1302</v>
      </c>
      <c r="F1977" s="143" t="s">
        <v>1307</v>
      </c>
      <c r="G1977" s="166">
        <v>46060</v>
      </c>
      <c r="H1977" s="166">
        <v>46063</v>
      </c>
      <c r="I1977" s="176"/>
      <c r="J1977" s="37"/>
      <c r="K1977" s="173">
        <v>0.27083333333333331</v>
      </c>
      <c r="L1977" s="167">
        <v>0.35416666666666669</v>
      </c>
      <c r="M1977" s="11">
        <f t="shared" si="31"/>
        <v>2.0000000000000009</v>
      </c>
      <c r="N1977" s="178" t="s">
        <v>1302</v>
      </c>
    </row>
    <row r="1978" spans="1:14" hidden="1" x14ac:dyDescent="0.3">
      <c r="A1978" s="124" t="s">
        <v>19</v>
      </c>
      <c r="B1978" s="108">
        <v>46063</v>
      </c>
      <c r="C1978" s="124" t="s">
        <v>9</v>
      </c>
      <c r="D1978" s="130" t="s">
        <v>8</v>
      </c>
      <c r="E1978" s="160" t="s">
        <v>235</v>
      </c>
      <c r="F1978" s="130" t="s">
        <v>1308</v>
      </c>
      <c r="G1978" s="175">
        <v>46062</v>
      </c>
      <c r="H1978" s="166">
        <v>46063</v>
      </c>
      <c r="I1978" s="177"/>
      <c r="J1978" s="37"/>
      <c r="K1978" s="167">
        <v>0.35416666666666669</v>
      </c>
      <c r="L1978" s="173">
        <v>0.4375</v>
      </c>
      <c r="M1978" s="11">
        <f t="shared" si="31"/>
        <v>1.9999999999999996</v>
      </c>
      <c r="N1978" s="169" t="s">
        <v>0</v>
      </c>
    </row>
    <row r="1979" spans="1:14" hidden="1" x14ac:dyDescent="0.3">
      <c r="A1979" s="128" t="s">
        <v>19</v>
      </c>
      <c r="B1979" s="108">
        <v>46063</v>
      </c>
      <c r="C1979" s="128" t="s">
        <v>208</v>
      </c>
      <c r="D1979" s="133" t="s">
        <v>1302</v>
      </c>
      <c r="E1979" s="161" t="s">
        <v>1302</v>
      </c>
      <c r="F1979" s="130" t="s">
        <v>1308</v>
      </c>
      <c r="G1979" s="175">
        <v>46062</v>
      </c>
      <c r="H1979" s="166">
        <v>46063</v>
      </c>
      <c r="I1979" s="177"/>
      <c r="J1979" s="37"/>
      <c r="K1979" s="167">
        <v>0.35416666666666669</v>
      </c>
      <c r="L1979" s="173">
        <v>0.4375</v>
      </c>
      <c r="M1979" s="11">
        <f t="shared" si="31"/>
        <v>1.9999999999999996</v>
      </c>
      <c r="N1979" s="169" t="s">
        <v>1302</v>
      </c>
    </row>
    <row r="1980" spans="1:14" hidden="1" x14ac:dyDescent="0.3">
      <c r="A1980" s="124" t="s">
        <v>19</v>
      </c>
      <c r="B1980" s="108">
        <v>46063</v>
      </c>
      <c r="C1980" s="124" t="s">
        <v>9</v>
      </c>
      <c r="D1980" s="130" t="s">
        <v>8</v>
      </c>
      <c r="E1980" s="158" t="s">
        <v>643</v>
      </c>
      <c r="F1980" s="131" t="s">
        <v>1309</v>
      </c>
      <c r="G1980" s="166">
        <v>46049</v>
      </c>
      <c r="H1980" s="166">
        <v>46063</v>
      </c>
      <c r="I1980" s="177"/>
      <c r="J1980" s="37"/>
      <c r="K1980" s="173">
        <v>0.4375</v>
      </c>
      <c r="L1980" s="173">
        <v>0.64583333333333337</v>
      </c>
      <c r="M1980" s="11">
        <f t="shared" si="31"/>
        <v>5.0000000000000009</v>
      </c>
      <c r="N1980" s="174" t="s">
        <v>0</v>
      </c>
    </row>
    <row r="1981" spans="1:14" hidden="1" x14ac:dyDescent="0.3">
      <c r="A1981" s="124" t="s">
        <v>19</v>
      </c>
      <c r="B1981" s="108">
        <v>46063</v>
      </c>
      <c r="C1981" s="124" t="s">
        <v>208</v>
      </c>
      <c r="D1981" s="130" t="s">
        <v>1302</v>
      </c>
      <c r="E1981" s="159" t="s">
        <v>1302</v>
      </c>
      <c r="F1981" s="132" t="s">
        <v>1232</v>
      </c>
      <c r="G1981" s="166">
        <v>46049</v>
      </c>
      <c r="H1981" s="166">
        <v>46063</v>
      </c>
      <c r="I1981" s="179"/>
      <c r="J1981" s="37"/>
      <c r="K1981" s="173">
        <v>0.4375</v>
      </c>
      <c r="L1981" s="173">
        <v>0.64583333333333337</v>
      </c>
      <c r="M1981" s="11">
        <f t="shared" si="31"/>
        <v>5.0000000000000009</v>
      </c>
      <c r="N1981" s="174" t="s">
        <v>1302</v>
      </c>
    </row>
    <row r="1982" spans="1:14" hidden="1" x14ac:dyDescent="0.3">
      <c r="A1982" s="124" t="s">
        <v>19</v>
      </c>
      <c r="B1982" s="108">
        <v>46063</v>
      </c>
      <c r="C1982" s="124" t="s">
        <v>7</v>
      </c>
      <c r="D1982" s="130" t="s">
        <v>8</v>
      </c>
      <c r="E1982" s="159" t="s">
        <v>1310</v>
      </c>
      <c r="F1982" s="132" t="s">
        <v>1311</v>
      </c>
      <c r="G1982" s="166">
        <v>46063</v>
      </c>
      <c r="H1982" s="166">
        <v>46063</v>
      </c>
      <c r="I1982" s="179"/>
      <c r="J1982" s="37"/>
      <c r="K1982" s="167">
        <v>0.35416666666666669</v>
      </c>
      <c r="L1982" s="173">
        <v>0.52083333333333337</v>
      </c>
      <c r="M1982" s="11">
        <f t="shared" si="31"/>
        <v>4</v>
      </c>
      <c r="N1982" s="174" t="s">
        <v>0</v>
      </c>
    </row>
    <row r="1983" spans="1:14" hidden="1" x14ac:dyDescent="0.3">
      <c r="A1983" s="124" t="s">
        <v>19</v>
      </c>
      <c r="B1983" s="108">
        <v>46063</v>
      </c>
      <c r="C1983" s="124" t="s">
        <v>7</v>
      </c>
      <c r="D1983" s="130" t="s">
        <v>8</v>
      </c>
      <c r="E1983" s="159" t="s">
        <v>1312</v>
      </c>
      <c r="F1983" s="132" t="s">
        <v>1311</v>
      </c>
      <c r="G1983" s="166">
        <v>46063</v>
      </c>
      <c r="H1983" s="166">
        <v>46063</v>
      </c>
      <c r="I1983" s="179"/>
      <c r="J1983" s="37"/>
      <c r="K1983" s="173">
        <v>0.52083333333333337</v>
      </c>
      <c r="L1983" s="173">
        <v>0.64583333333333337</v>
      </c>
      <c r="M1983" s="11">
        <f t="shared" ref="M1983:M1984" si="32">MOD(L1983-K1983,1)*24</f>
        <v>3</v>
      </c>
      <c r="N1983" s="174" t="s">
        <v>0</v>
      </c>
    </row>
    <row r="1984" spans="1:14" hidden="1" x14ac:dyDescent="0.3">
      <c r="A1984" s="124" t="s">
        <v>19</v>
      </c>
      <c r="B1984" s="108">
        <v>46063</v>
      </c>
      <c r="C1984" s="124" t="s">
        <v>9</v>
      </c>
      <c r="D1984" s="130" t="s">
        <v>1302</v>
      </c>
      <c r="E1984" s="159" t="s">
        <v>1302</v>
      </c>
      <c r="F1984" s="132" t="s">
        <v>1311</v>
      </c>
      <c r="G1984" s="166">
        <v>46063</v>
      </c>
      <c r="H1984" s="166">
        <v>46063</v>
      </c>
      <c r="I1984" s="179"/>
      <c r="J1984" s="37"/>
      <c r="K1984" s="173">
        <v>0.64583333333333337</v>
      </c>
      <c r="L1984" s="173">
        <v>0.72916666666666663</v>
      </c>
      <c r="M1984" s="11">
        <f t="shared" si="32"/>
        <v>1.9999999999999982</v>
      </c>
      <c r="N1984" s="174" t="s">
        <v>1302</v>
      </c>
    </row>
    <row r="1985" spans="1:14" hidden="1" x14ac:dyDescent="0.3">
      <c r="A1985" s="124" t="s">
        <v>19</v>
      </c>
      <c r="B1985" s="108">
        <v>46063</v>
      </c>
      <c r="C1985" s="124" t="s">
        <v>14</v>
      </c>
      <c r="D1985" s="130" t="s">
        <v>44</v>
      </c>
      <c r="E1985" s="160" t="s">
        <v>1233</v>
      </c>
      <c r="F1985" s="130" t="s">
        <v>1318</v>
      </c>
      <c r="G1985" s="166">
        <v>46063</v>
      </c>
      <c r="H1985" s="175">
        <v>46066</v>
      </c>
      <c r="I1985" s="172"/>
      <c r="J1985" s="37"/>
      <c r="K1985" s="185">
        <v>0.35416666666666669</v>
      </c>
      <c r="L1985" s="173">
        <v>0.72916666666666663</v>
      </c>
      <c r="M1985" s="11">
        <f t="shared" si="31"/>
        <v>8.9999999999999982</v>
      </c>
      <c r="N1985" s="174" t="s">
        <v>0</v>
      </c>
    </row>
    <row r="1986" spans="1:14" hidden="1" x14ac:dyDescent="0.3">
      <c r="A1986" s="124" t="s">
        <v>19</v>
      </c>
      <c r="B1986" s="108">
        <v>46063</v>
      </c>
      <c r="C1986" s="124" t="s">
        <v>208</v>
      </c>
      <c r="D1986" s="130" t="s">
        <v>1302</v>
      </c>
      <c r="E1986" s="161" t="s">
        <v>1302</v>
      </c>
      <c r="F1986" s="133" t="s">
        <v>1179</v>
      </c>
      <c r="G1986" s="166">
        <v>46063</v>
      </c>
      <c r="H1986" s="175">
        <v>46066</v>
      </c>
      <c r="I1986" s="176"/>
      <c r="J1986" s="37"/>
      <c r="K1986" s="185">
        <v>0.35416666666666669</v>
      </c>
      <c r="L1986" s="186">
        <v>0.72916666666666663</v>
      </c>
      <c r="M1986" s="11">
        <f t="shared" si="31"/>
        <v>8.9999999999999982</v>
      </c>
      <c r="N1986" s="174" t="s">
        <v>1302</v>
      </c>
    </row>
    <row r="1987" spans="1:14" hidden="1" x14ac:dyDescent="0.3">
      <c r="A1987" s="134" t="s">
        <v>20</v>
      </c>
      <c r="B1987" s="108">
        <v>46063</v>
      </c>
      <c r="C1987" s="135" t="s">
        <v>1003</v>
      </c>
      <c r="D1987" s="136" t="s">
        <v>44</v>
      </c>
      <c r="E1987" s="202" t="s">
        <v>1319</v>
      </c>
      <c r="F1987" s="204" t="s">
        <v>1235</v>
      </c>
      <c r="G1987" s="175">
        <v>46063</v>
      </c>
      <c r="H1987" s="175">
        <v>46068</v>
      </c>
      <c r="I1987" s="175"/>
      <c r="J1987" s="37"/>
      <c r="K1987" s="167">
        <v>0.27083333333333331</v>
      </c>
      <c r="L1987" s="186">
        <v>0.72916666666666663</v>
      </c>
      <c r="M1987" s="11">
        <f t="shared" si="31"/>
        <v>11</v>
      </c>
      <c r="N1987" s="169" t="s">
        <v>0</v>
      </c>
    </row>
    <row r="1988" spans="1:14" hidden="1" x14ac:dyDescent="0.3">
      <c r="A1988" s="134" t="s">
        <v>20</v>
      </c>
      <c r="B1988" s="108">
        <v>46063</v>
      </c>
      <c r="C1988" s="135" t="s">
        <v>33</v>
      </c>
      <c r="D1988" s="201" t="s">
        <v>1302</v>
      </c>
      <c r="E1988" s="203" t="s">
        <v>1302</v>
      </c>
      <c r="F1988" s="205"/>
      <c r="G1988" s="175">
        <v>46063</v>
      </c>
      <c r="H1988" s="175">
        <v>46068</v>
      </c>
      <c r="I1988" s="175"/>
      <c r="J1988" s="37"/>
      <c r="K1988" s="167">
        <v>0.27083333333333331</v>
      </c>
      <c r="L1988" s="186">
        <v>0.72916666666666663</v>
      </c>
      <c r="M1988" s="11">
        <f t="shared" si="31"/>
        <v>11</v>
      </c>
      <c r="N1988" s="178" t="s">
        <v>1302</v>
      </c>
    </row>
    <row r="1989" spans="1:14" hidden="1" x14ac:dyDescent="0.3">
      <c r="A1989" s="136" t="s">
        <v>20</v>
      </c>
      <c r="B1989" s="108">
        <v>46063</v>
      </c>
      <c r="C1989" s="124" t="s">
        <v>421</v>
      </c>
      <c r="D1989" s="124" t="s">
        <v>44</v>
      </c>
      <c r="E1989" s="202" t="s">
        <v>1319</v>
      </c>
      <c r="F1989" s="204" t="s">
        <v>1235</v>
      </c>
      <c r="G1989" s="175">
        <v>46063</v>
      </c>
      <c r="H1989" s="175">
        <v>46068</v>
      </c>
      <c r="I1989" s="175"/>
      <c r="J1989" s="37"/>
      <c r="K1989" s="185">
        <v>0.35416666666666669</v>
      </c>
      <c r="L1989" s="186">
        <v>0.72916666666666663</v>
      </c>
      <c r="M1989" s="11">
        <f t="shared" si="31"/>
        <v>8.9999999999999982</v>
      </c>
      <c r="N1989" s="168" t="s">
        <v>0</v>
      </c>
    </row>
    <row r="1990" spans="1:14" hidden="1" x14ac:dyDescent="0.3">
      <c r="A1990" s="136" t="s">
        <v>20</v>
      </c>
      <c r="B1990" s="108">
        <v>46063</v>
      </c>
      <c r="C1990" s="124" t="s">
        <v>1111</v>
      </c>
      <c r="D1990" s="124" t="s">
        <v>44</v>
      </c>
      <c r="E1990" s="202" t="s">
        <v>1319</v>
      </c>
      <c r="F1990" s="204" t="s">
        <v>1235</v>
      </c>
      <c r="G1990" s="175">
        <v>46063</v>
      </c>
      <c r="H1990" s="175">
        <v>46068</v>
      </c>
      <c r="I1990" s="175"/>
      <c r="J1990" s="37"/>
      <c r="K1990" s="167">
        <v>0.27083333333333331</v>
      </c>
      <c r="L1990" s="186">
        <v>0.72916666666666663</v>
      </c>
      <c r="M1990" s="11">
        <f t="shared" si="31"/>
        <v>11</v>
      </c>
      <c r="N1990" s="168" t="s">
        <v>0</v>
      </c>
    </row>
    <row r="1991" spans="1:14" hidden="1" x14ac:dyDescent="0.3">
      <c r="A1991" s="134" t="s">
        <v>20</v>
      </c>
      <c r="B1991" s="108">
        <v>46063</v>
      </c>
      <c r="C1991" s="124" t="s">
        <v>47</v>
      </c>
      <c r="D1991" s="137" t="s">
        <v>65</v>
      </c>
      <c r="E1991" s="163" t="s">
        <v>1188</v>
      </c>
      <c r="F1991" s="139" t="s">
        <v>1313</v>
      </c>
      <c r="G1991" s="166">
        <v>46060</v>
      </c>
      <c r="H1991" s="175">
        <v>46063</v>
      </c>
      <c r="I1991" s="166"/>
      <c r="J1991" s="37"/>
      <c r="K1991" s="167">
        <v>0.27083333333333331</v>
      </c>
      <c r="L1991" s="182">
        <v>0.64583333333333337</v>
      </c>
      <c r="M1991" s="11">
        <f t="shared" si="31"/>
        <v>9.0000000000000018</v>
      </c>
      <c r="N1991" s="187" t="s">
        <v>1</v>
      </c>
    </row>
    <row r="1992" spans="1:14" hidden="1" x14ac:dyDescent="0.3">
      <c r="A1992" s="134" t="s">
        <v>20</v>
      </c>
      <c r="B1992" s="108">
        <v>46063</v>
      </c>
      <c r="C1992" s="124" t="s">
        <v>31</v>
      </c>
      <c r="D1992" s="137" t="s">
        <v>1302</v>
      </c>
      <c r="E1992" s="163" t="s">
        <v>1302</v>
      </c>
      <c r="F1992" s="139"/>
      <c r="G1992" s="166"/>
      <c r="H1992" s="175"/>
      <c r="I1992" s="166"/>
      <c r="J1992" s="37"/>
      <c r="K1992" s="167">
        <v>0.27083333333333331</v>
      </c>
      <c r="L1992" s="182">
        <v>0.35416666666666669</v>
      </c>
      <c r="M1992" s="11">
        <f t="shared" si="31"/>
        <v>2.0000000000000009</v>
      </c>
      <c r="N1992" s="187"/>
    </row>
    <row r="1993" spans="1:14" hidden="1" x14ac:dyDescent="0.3">
      <c r="A1993" s="134" t="s">
        <v>20</v>
      </c>
      <c r="B1993" s="108">
        <v>46063</v>
      </c>
      <c r="C1993" s="124" t="s">
        <v>17</v>
      </c>
      <c r="D1993" s="137" t="s">
        <v>65</v>
      </c>
      <c r="E1993" s="163" t="s">
        <v>1237</v>
      </c>
      <c r="F1993" s="137" t="s">
        <v>1187</v>
      </c>
      <c r="G1993" s="166">
        <v>46063</v>
      </c>
      <c r="H1993" s="166">
        <v>46063</v>
      </c>
      <c r="I1993" s="166"/>
      <c r="J1993" s="37"/>
      <c r="K1993" s="182">
        <v>0.27083333333333331</v>
      </c>
      <c r="L1993" s="182">
        <v>0.64583333333333337</v>
      </c>
      <c r="M1993" s="11">
        <f t="shared" si="31"/>
        <v>9.0000000000000018</v>
      </c>
      <c r="N1993" s="187" t="s">
        <v>1</v>
      </c>
    </row>
    <row r="1994" spans="1:14" hidden="1" x14ac:dyDescent="0.3">
      <c r="A1994" s="134" t="s">
        <v>20</v>
      </c>
      <c r="B1994" s="108">
        <v>46063</v>
      </c>
      <c r="C1994" s="124" t="s">
        <v>167</v>
      </c>
      <c r="D1994" s="130" t="s">
        <v>65</v>
      </c>
      <c r="E1994" s="164" t="s">
        <v>1238</v>
      </c>
      <c r="F1994" s="143" t="s">
        <v>1314</v>
      </c>
      <c r="G1994" s="166">
        <v>46062</v>
      </c>
      <c r="H1994" s="166">
        <v>46063</v>
      </c>
      <c r="I1994" s="188"/>
      <c r="J1994" s="37"/>
      <c r="K1994" s="182">
        <v>0.27083333333333331</v>
      </c>
      <c r="L1994" s="186">
        <v>0.64583333333333337</v>
      </c>
      <c r="M1994" s="11">
        <f t="shared" si="31"/>
        <v>9.0000000000000018</v>
      </c>
      <c r="N1994" s="168" t="s">
        <v>1</v>
      </c>
    </row>
    <row r="1995" spans="1:14" hidden="1" x14ac:dyDescent="0.3">
      <c r="A1995" s="124" t="s">
        <v>20</v>
      </c>
      <c r="B1995" s="108">
        <v>46063</v>
      </c>
      <c r="C1995" s="124" t="s">
        <v>1093</v>
      </c>
      <c r="D1995" s="134" t="s">
        <v>65</v>
      </c>
      <c r="E1995" s="162" t="s">
        <v>1108</v>
      </c>
      <c r="F1995" s="134" t="s">
        <v>1315</v>
      </c>
      <c r="G1995" s="166">
        <v>46063</v>
      </c>
      <c r="H1995" s="166">
        <v>46063</v>
      </c>
      <c r="I1995" s="172"/>
      <c r="J1995" s="37"/>
      <c r="K1995" s="182">
        <v>0.4375</v>
      </c>
      <c r="L1995" s="182">
        <v>0.72916666666666663</v>
      </c>
      <c r="M1995" s="11">
        <f t="shared" si="31"/>
        <v>6.9999999999999991</v>
      </c>
      <c r="N1995" s="187" t="s">
        <v>0</v>
      </c>
    </row>
    <row r="1996" spans="1:14" hidden="1" x14ac:dyDescent="0.3">
      <c r="A1996" s="124" t="s">
        <v>20</v>
      </c>
      <c r="B1996" s="108">
        <v>46063</v>
      </c>
      <c r="C1996" s="124" t="s">
        <v>31</v>
      </c>
      <c r="D1996" s="134" t="s">
        <v>1302</v>
      </c>
      <c r="E1996" s="162" t="s">
        <v>1302</v>
      </c>
      <c r="F1996" s="134" t="s">
        <v>1315</v>
      </c>
      <c r="G1996" s="166">
        <v>46063</v>
      </c>
      <c r="H1996" s="166">
        <v>46063</v>
      </c>
      <c r="I1996" s="176"/>
      <c r="J1996" s="37"/>
      <c r="K1996" s="182">
        <v>0.35416666666666669</v>
      </c>
      <c r="L1996" s="186">
        <v>0.4375</v>
      </c>
      <c r="M1996" s="11">
        <f t="shared" si="31"/>
        <v>1.9999999999999996</v>
      </c>
      <c r="N1996" s="187" t="s">
        <v>1302</v>
      </c>
    </row>
    <row r="1997" spans="1:14" hidden="1" x14ac:dyDescent="0.3">
      <c r="A1997" s="124" t="s">
        <v>20</v>
      </c>
      <c r="B1997" s="108">
        <v>46063</v>
      </c>
      <c r="C1997" s="124" t="s">
        <v>16</v>
      </c>
      <c r="D1997" s="134" t="s">
        <v>65</v>
      </c>
      <c r="E1997" s="162" t="s">
        <v>1321</v>
      </c>
      <c r="F1997" s="134" t="s">
        <v>1322</v>
      </c>
      <c r="G1997" s="166"/>
      <c r="H1997" s="166"/>
      <c r="I1997" s="176"/>
      <c r="J1997" s="37"/>
      <c r="K1997" s="182">
        <v>0.27083333333333331</v>
      </c>
      <c r="L1997" s="186">
        <v>0.4375</v>
      </c>
      <c r="M1997" s="11">
        <f t="shared" si="31"/>
        <v>4</v>
      </c>
      <c r="N1997" s="187" t="s">
        <v>0</v>
      </c>
    </row>
    <row r="1998" spans="1:14" hidden="1" x14ac:dyDescent="0.3">
      <c r="A1998" s="134" t="s">
        <v>20</v>
      </c>
      <c r="B1998" s="108">
        <v>46063</v>
      </c>
      <c r="C1998" s="124" t="s">
        <v>15</v>
      </c>
      <c r="D1998" s="143" t="s">
        <v>65</v>
      </c>
      <c r="E1998" s="164" t="s">
        <v>1239</v>
      </c>
      <c r="F1998" s="143" t="s">
        <v>1240</v>
      </c>
      <c r="G1998" s="166">
        <v>46062</v>
      </c>
      <c r="H1998" s="166">
        <v>46063</v>
      </c>
      <c r="I1998" s="188"/>
      <c r="J1998" s="37"/>
      <c r="K1998" s="182">
        <v>0.27083333333333331</v>
      </c>
      <c r="L1998" s="186">
        <v>0.64583333333333337</v>
      </c>
      <c r="M1998" s="11">
        <f t="shared" si="31"/>
        <v>9.0000000000000018</v>
      </c>
      <c r="N1998" s="168" t="s">
        <v>1</v>
      </c>
    </row>
    <row r="1999" spans="1:14" hidden="1" x14ac:dyDescent="0.3">
      <c r="A1999" s="124" t="s">
        <v>20</v>
      </c>
      <c r="B1999" s="108">
        <v>46063</v>
      </c>
      <c r="C1999" s="124" t="s">
        <v>31</v>
      </c>
      <c r="D1999" s="134" t="s">
        <v>1302</v>
      </c>
      <c r="E1999" s="162" t="s">
        <v>1302</v>
      </c>
      <c r="F1999" s="134" t="s">
        <v>1315</v>
      </c>
      <c r="G1999" s="166">
        <v>46062</v>
      </c>
      <c r="H1999" s="166">
        <v>46063</v>
      </c>
      <c r="I1999" s="176"/>
      <c r="J1999" s="37"/>
      <c r="K1999" s="182">
        <v>0.54166666666666663</v>
      </c>
      <c r="L1999" s="186">
        <v>0.58333333333333337</v>
      </c>
      <c r="M1999" s="11">
        <f t="shared" ref="M1999" si="33">MOD(L1999-K1999,1)*24</f>
        <v>1.0000000000000018</v>
      </c>
      <c r="N1999" s="187" t="s">
        <v>1302</v>
      </c>
    </row>
    <row r="2000" spans="1:14" hidden="1" x14ac:dyDescent="0.3">
      <c r="A2000" s="124" t="s">
        <v>20</v>
      </c>
      <c r="B2000" s="108">
        <v>46063</v>
      </c>
      <c r="C2000" s="151" t="s">
        <v>31</v>
      </c>
      <c r="D2000" s="136" t="s">
        <v>27</v>
      </c>
      <c r="E2000" s="202" t="s">
        <v>1316</v>
      </c>
      <c r="F2000" s="136" t="s">
        <v>1317</v>
      </c>
      <c r="G2000" s="166">
        <v>46063</v>
      </c>
      <c r="H2000" s="166">
        <v>46063</v>
      </c>
      <c r="I2000" s="176"/>
      <c r="J2000" s="37"/>
      <c r="K2000" s="185">
        <v>0.58333333333333337</v>
      </c>
      <c r="L2000" s="197">
        <v>0.64583333333333337</v>
      </c>
      <c r="M2000" s="11">
        <f t="shared" ref="M2000:M2039" si="34">MOD(L2000-K2000,1)*24</f>
        <v>1.5</v>
      </c>
      <c r="N2000" s="174" t="s">
        <v>1</v>
      </c>
    </row>
    <row r="2001" spans="1:14" hidden="1" x14ac:dyDescent="0.3">
      <c r="A2001" s="124" t="s">
        <v>20</v>
      </c>
      <c r="B2001" s="108">
        <v>46063</v>
      </c>
      <c r="C2001" s="124" t="s">
        <v>31</v>
      </c>
      <c r="D2001" s="22" t="s">
        <v>65</v>
      </c>
      <c r="E2001" s="22" t="s">
        <v>1323</v>
      </c>
      <c r="F2001" s="25"/>
      <c r="K2001" s="186">
        <v>0.4375</v>
      </c>
      <c r="L2001" s="48">
        <v>0.52083333333333337</v>
      </c>
      <c r="M2001" s="24">
        <f t="shared" si="34"/>
        <v>2.0000000000000009</v>
      </c>
      <c r="N2001" s="124" t="s">
        <v>0</v>
      </c>
    </row>
    <row r="2002" spans="1:14" hidden="1" x14ac:dyDescent="0.3">
      <c r="A2002" s="112" t="s">
        <v>21</v>
      </c>
      <c r="B2002" s="108">
        <v>46064</v>
      </c>
      <c r="C2002" s="32" t="s">
        <v>1284</v>
      </c>
      <c r="D2002" s="109" t="s">
        <v>24</v>
      </c>
      <c r="E2002" s="153" t="s">
        <v>1325</v>
      </c>
      <c r="F2002" s="111" t="s">
        <v>1300</v>
      </c>
      <c r="K2002" s="167">
        <v>0.35416666666666669</v>
      </c>
      <c r="L2002" s="167">
        <v>0.4375</v>
      </c>
      <c r="M2002" s="11">
        <f t="shared" si="34"/>
        <v>1.9999999999999996</v>
      </c>
      <c r="N2002" s="168" t="s">
        <v>0</v>
      </c>
    </row>
    <row r="2003" spans="1:14" hidden="1" x14ac:dyDescent="0.3">
      <c r="A2003" s="112" t="s">
        <v>21</v>
      </c>
      <c r="B2003" s="108">
        <v>46064</v>
      </c>
      <c r="C2003" s="32" t="s">
        <v>1256</v>
      </c>
      <c r="D2003" s="113" t="s">
        <v>1302</v>
      </c>
      <c r="E2003" s="153" t="s">
        <v>1302</v>
      </c>
      <c r="F2003" s="111" t="s">
        <v>1300</v>
      </c>
      <c r="K2003" s="167">
        <v>0.4375</v>
      </c>
      <c r="L2003" s="167">
        <v>0.5625</v>
      </c>
      <c r="M2003" s="11">
        <f t="shared" si="34"/>
        <v>3</v>
      </c>
      <c r="N2003" s="169" t="s">
        <v>1302</v>
      </c>
    </row>
    <row r="2004" spans="1:14" hidden="1" x14ac:dyDescent="0.3">
      <c r="A2004" s="107" t="s">
        <v>21</v>
      </c>
      <c r="B2004" s="108">
        <v>46064</v>
      </c>
      <c r="C2004" s="32" t="s">
        <v>1256</v>
      </c>
      <c r="D2004" s="109" t="s">
        <v>24</v>
      </c>
      <c r="E2004" s="153" t="s">
        <v>1334</v>
      </c>
      <c r="F2004" s="111" t="s">
        <v>1300</v>
      </c>
      <c r="K2004" s="167">
        <v>0.35416666666666669</v>
      </c>
      <c r="L2004" s="167">
        <v>0.54166666666666663</v>
      </c>
      <c r="M2004" s="11">
        <f t="shared" si="34"/>
        <v>4.4999999999999982</v>
      </c>
      <c r="N2004" s="168" t="s">
        <v>0</v>
      </c>
    </row>
    <row r="2005" spans="1:14" hidden="1" x14ac:dyDescent="0.3">
      <c r="A2005" s="107" t="s">
        <v>21</v>
      </c>
      <c r="B2005" s="108">
        <v>46064</v>
      </c>
      <c r="C2005" s="32" t="s">
        <v>1256</v>
      </c>
      <c r="D2005" s="109" t="s">
        <v>24</v>
      </c>
      <c r="E2005" s="154" t="s">
        <v>1153</v>
      </c>
      <c r="F2005" s="111" t="s">
        <v>1300</v>
      </c>
      <c r="K2005" s="167">
        <v>0.58333333333333337</v>
      </c>
      <c r="L2005" s="167">
        <v>0.72916666666666663</v>
      </c>
      <c r="M2005" s="11">
        <f t="shared" si="34"/>
        <v>3.4999999999999982</v>
      </c>
      <c r="N2005" s="168" t="s">
        <v>0</v>
      </c>
    </row>
    <row r="2006" spans="1:14" hidden="1" x14ac:dyDescent="0.3">
      <c r="A2006" s="112" t="s">
        <v>21</v>
      </c>
      <c r="B2006" s="108">
        <v>46064</v>
      </c>
      <c r="C2006" s="32" t="s">
        <v>1284</v>
      </c>
      <c r="D2006" s="109" t="s">
        <v>24</v>
      </c>
      <c r="E2006" s="154" t="s">
        <v>1174</v>
      </c>
      <c r="F2006" s="111" t="s">
        <v>1300</v>
      </c>
      <c r="K2006" s="167">
        <v>0.4375</v>
      </c>
      <c r="L2006" s="167">
        <v>0.54166666666666663</v>
      </c>
      <c r="M2006" s="11"/>
      <c r="N2006" s="168" t="s">
        <v>0</v>
      </c>
    </row>
    <row r="2007" spans="1:14" hidden="1" x14ac:dyDescent="0.3">
      <c r="A2007" s="112" t="s">
        <v>21</v>
      </c>
      <c r="B2007" s="108">
        <v>46064</v>
      </c>
      <c r="C2007" s="32" t="s">
        <v>1284</v>
      </c>
      <c r="D2007" s="109" t="s">
        <v>24</v>
      </c>
      <c r="E2007" s="154" t="s">
        <v>1344</v>
      </c>
      <c r="F2007" s="111" t="s">
        <v>1300</v>
      </c>
      <c r="K2007" s="167">
        <v>0.54166666666666663</v>
      </c>
      <c r="L2007" s="167">
        <v>0.72916666666666663</v>
      </c>
      <c r="M2007" s="11"/>
      <c r="N2007" s="168" t="s">
        <v>1</v>
      </c>
    </row>
    <row r="2008" spans="1:14" hidden="1" x14ac:dyDescent="0.3">
      <c r="A2008" s="112" t="s">
        <v>21</v>
      </c>
      <c r="B2008" s="108">
        <v>46064</v>
      </c>
      <c r="C2008" s="32" t="s">
        <v>1296</v>
      </c>
      <c r="D2008" s="113" t="s">
        <v>1302</v>
      </c>
      <c r="E2008" s="154" t="s">
        <v>1302</v>
      </c>
      <c r="F2008" s="111" t="s">
        <v>1300</v>
      </c>
      <c r="K2008" s="167">
        <v>0.54166666666666663</v>
      </c>
      <c r="L2008" s="167">
        <v>0.72916666666666663</v>
      </c>
      <c r="M2008" s="11"/>
      <c r="N2008" s="174" t="s">
        <v>1302</v>
      </c>
    </row>
    <row r="2009" spans="1:14" hidden="1" x14ac:dyDescent="0.3">
      <c r="A2009" s="107" t="s">
        <v>21</v>
      </c>
      <c r="B2009" s="108">
        <v>46064</v>
      </c>
      <c r="C2009" s="32" t="s">
        <v>1261</v>
      </c>
      <c r="D2009" s="112" t="s">
        <v>8</v>
      </c>
      <c r="E2009" s="155" t="s">
        <v>966</v>
      </c>
      <c r="F2009" s="119" t="s">
        <v>1326</v>
      </c>
      <c r="K2009" s="167">
        <v>0.27083333333333331</v>
      </c>
      <c r="L2009" s="167">
        <v>0.72916666666666663</v>
      </c>
      <c r="M2009" s="11">
        <f t="shared" si="34"/>
        <v>11</v>
      </c>
      <c r="N2009" s="198" t="s">
        <v>1</v>
      </c>
    </row>
    <row r="2010" spans="1:14" hidden="1" x14ac:dyDescent="0.3">
      <c r="A2010" s="107" t="s">
        <v>21</v>
      </c>
      <c r="B2010" s="108">
        <v>46064</v>
      </c>
      <c r="C2010" s="32" t="s">
        <v>1282</v>
      </c>
      <c r="D2010" s="117" t="s">
        <v>1302</v>
      </c>
      <c r="E2010" s="156" t="s">
        <v>1302</v>
      </c>
      <c r="F2010" s="119" t="s">
        <v>1222</v>
      </c>
      <c r="K2010" s="167">
        <v>0.27083333333333331</v>
      </c>
      <c r="L2010" s="171">
        <v>0.72916666666666663</v>
      </c>
      <c r="M2010" s="11">
        <f t="shared" si="34"/>
        <v>11</v>
      </c>
      <c r="N2010" s="199" t="s">
        <v>1302</v>
      </c>
    </row>
    <row r="2011" spans="1:14" hidden="1" x14ac:dyDescent="0.3">
      <c r="A2011" s="107" t="s">
        <v>21</v>
      </c>
      <c r="B2011" s="108">
        <v>46064</v>
      </c>
      <c r="C2011" s="32" t="s">
        <v>1261</v>
      </c>
      <c r="D2011" s="126" t="s">
        <v>27</v>
      </c>
      <c r="E2011" s="156" t="s">
        <v>1343</v>
      </c>
      <c r="F2011" s="119" t="s">
        <v>589</v>
      </c>
      <c r="K2011" s="167">
        <v>0.35416666666666669</v>
      </c>
      <c r="L2011" s="171">
        <v>0.72916666666666663</v>
      </c>
      <c r="M2011" s="11"/>
      <c r="N2011" s="168" t="s">
        <v>1</v>
      </c>
    </row>
    <row r="2012" spans="1:14" hidden="1" x14ac:dyDescent="0.3">
      <c r="A2012" s="107" t="s">
        <v>21</v>
      </c>
      <c r="B2012" s="108">
        <v>46064</v>
      </c>
      <c r="C2012" s="32" t="s">
        <v>1282</v>
      </c>
      <c r="D2012" s="126" t="s">
        <v>1302</v>
      </c>
      <c r="E2012" s="156" t="s">
        <v>1302</v>
      </c>
      <c r="F2012" s="119" t="s">
        <v>589</v>
      </c>
      <c r="K2012" s="167">
        <v>0.35416666666666669</v>
      </c>
      <c r="L2012" s="171">
        <v>0.72916666666666663</v>
      </c>
      <c r="M2012" s="11"/>
      <c r="N2012" s="199" t="s">
        <v>1302</v>
      </c>
    </row>
    <row r="2013" spans="1:14" hidden="1" x14ac:dyDescent="0.3">
      <c r="A2013" s="107" t="s">
        <v>21</v>
      </c>
      <c r="B2013" s="108">
        <v>46064</v>
      </c>
      <c r="C2013" s="32" t="s">
        <v>771</v>
      </c>
      <c r="D2013" s="115" t="s">
        <v>43</v>
      </c>
      <c r="E2013" s="154" t="s">
        <v>1142</v>
      </c>
      <c r="F2013" s="116" t="s">
        <v>898</v>
      </c>
      <c r="K2013" s="167">
        <v>0.27083333333333331</v>
      </c>
      <c r="L2013" s="173">
        <v>0.35416666666666669</v>
      </c>
      <c r="M2013" s="11">
        <f t="shared" si="34"/>
        <v>2.0000000000000009</v>
      </c>
      <c r="N2013" s="184" t="s">
        <v>0</v>
      </c>
    </row>
    <row r="2014" spans="1:14" hidden="1" x14ac:dyDescent="0.3">
      <c r="A2014" s="107" t="s">
        <v>21</v>
      </c>
      <c r="B2014" s="108">
        <v>46064</v>
      </c>
      <c r="C2014" s="32" t="s">
        <v>1262</v>
      </c>
      <c r="D2014" s="112" t="s">
        <v>1302</v>
      </c>
      <c r="E2014" s="155" t="s">
        <v>1302</v>
      </c>
      <c r="F2014" s="116" t="s">
        <v>898</v>
      </c>
      <c r="K2014" s="171">
        <v>0.27083333333333331</v>
      </c>
      <c r="L2014" s="173">
        <v>0.35416666666666669</v>
      </c>
      <c r="M2014" s="11">
        <f t="shared" si="34"/>
        <v>2.0000000000000009</v>
      </c>
      <c r="N2014" s="174" t="s">
        <v>1302</v>
      </c>
    </row>
    <row r="2015" spans="1:14" hidden="1" x14ac:dyDescent="0.3">
      <c r="A2015" s="107" t="s">
        <v>21</v>
      </c>
      <c r="B2015" s="108">
        <v>46064</v>
      </c>
      <c r="C2015" s="32" t="s">
        <v>1262</v>
      </c>
      <c r="D2015" s="115" t="s">
        <v>43</v>
      </c>
      <c r="E2015" s="155" t="s">
        <v>1223</v>
      </c>
      <c r="F2015" s="116" t="s">
        <v>1341</v>
      </c>
      <c r="K2015" s="167">
        <v>0.35416666666666669</v>
      </c>
      <c r="L2015" s="173" t="s">
        <v>903</v>
      </c>
      <c r="M2015" s="11"/>
      <c r="N2015" s="174" t="s">
        <v>1</v>
      </c>
    </row>
    <row r="2016" spans="1:14" hidden="1" x14ac:dyDescent="0.3">
      <c r="A2016" s="107" t="s">
        <v>21</v>
      </c>
      <c r="B2016" s="108">
        <v>46064</v>
      </c>
      <c r="C2016" s="32" t="s">
        <v>771</v>
      </c>
      <c r="D2016" s="115" t="s">
        <v>43</v>
      </c>
      <c r="E2016" s="155" t="s">
        <v>271</v>
      </c>
      <c r="F2016" s="116" t="s">
        <v>1342</v>
      </c>
      <c r="K2016" s="167">
        <v>0.35416666666666669</v>
      </c>
      <c r="L2016" s="173" t="s">
        <v>903</v>
      </c>
      <c r="M2016" s="11"/>
      <c r="N2016" s="174" t="s">
        <v>1</v>
      </c>
    </row>
    <row r="2017" spans="1:14" hidden="1" x14ac:dyDescent="0.3">
      <c r="A2017" s="107" t="s">
        <v>21</v>
      </c>
      <c r="B2017" s="108">
        <v>46064</v>
      </c>
      <c r="C2017" s="32" t="s">
        <v>1297</v>
      </c>
      <c r="D2017" s="126" t="s">
        <v>54</v>
      </c>
      <c r="E2017" s="155" t="s">
        <v>688</v>
      </c>
      <c r="F2017" s="112" t="s">
        <v>1327</v>
      </c>
      <c r="K2017" s="167">
        <v>0.35416666666666669</v>
      </c>
      <c r="L2017" s="167">
        <v>0.72916666666666663</v>
      </c>
      <c r="M2017" s="11">
        <f t="shared" si="34"/>
        <v>8.9999999999999982</v>
      </c>
      <c r="N2017" s="169" t="s">
        <v>0</v>
      </c>
    </row>
    <row r="2018" spans="1:14" hidden="1" x14ac:dyDescent="0.3">
      <c r="A2018" s="107" t="s">
        <v>21</v>
      </c>
      <c r="B2018" s="108">
        <v>46064</v>
      </c>
      <c r="C2018" s="32" t="s">
        <v>1285</v>
      </c>
      <c r="D2018" s="117" t="s">
        <v>1302</v>
      </c>
      <c r="E2018" s="120" t="s">
        <v>1302</v>
      </c>
      <c r="F2018" s="112" t="s">
        <v>1327</v>
      </c>
      <c r="K2018" s="167">
        <v>0.35416666666666669</v>
      </c>
      <c r="L2018" s="167">
        <v>0.72916666666666663</v>
      </c>
      <c r="M2018" s="11">
        <f t="shared" si="34"/>
        <v>8.9999999999999982</v>
      </c>
      <c r="N2018" s="178" t="s">
        <v>1302</v>
      </c>
    </row>
    <row r="2019" spans="1:14" hidden="1" x14ac:dyDescent="0.3">
      <c r="A2019" s="117" t="s">
        <v>21</v>
      </c>
      <c r="B2019" s="108">
        <v>46064</v>
      </c>
      <c r="C2019" s="32" t="s">
        <v>1259</v>
      </c>
      <c r="D2019" s="122" t="s">
        <v>43</v>
      </c>
      <c r="E2019" s="157" t="s">
        <v>1227</v>
      </c>
      <c r="F2019" s="116" t="s">
        <v>1326</v>
      </c>
      <c r="K2019" s="171">
        <v>0.27083333333333331</v>
      </c>
      <c r="L2019" s="173">
        <v>0.64583333333333337</v>
      </c>
      <c r="M2019" s="11">
        <f t="shared" si="34"/>
        <v>9.0000000000000018</v>
      </c>
      <c r="N2019" s="178" t="s">
        <v>1</v>
      </c>
    </row>
    <row r="2020" spans="1:14" hidden="1" x14ac:dyDescent="0.3">
      <c r="A2020" s="124" t="s">
        <v>19</v>
      </c>
      <c r="B2020" s="108">
        <v>46064</v>
      </c>
      <c r="C2020" s="32" t="s">
        <v>1253</v>
      </c>
      <c r="D2020" s="143" t="s">
        <v>8</v>
      </c>
      <c r="E2020" s="164" t="s">
        <v>1312</v>
      </c>
      <c r="F2020" s="143" t="s">
        <v>1331</v>
      </c>
      <c r="K2020" s="173">
        <v>0.27083333333333331</v>
      </c>
      <c r="L2020" s="167">
        <v>0.52083333333333337</v>
      </c>
      <c r="M2020" s="11">
        <f t="shared" si="34"/>
        <v>6.0000000000000018</v>
      </c>
      <c r="N2020" s="187" t="s">
        <v>0</v>
      </c>
    </row>
    <row r="2021" spans="1:14" hidden="1" x14ac:dyDescent="0.3">
      <c r="A2021" s="124" t="s">
        <v>19</v>
      </c>
      <c r="B2021" s="108">
        <v>46064</v>
      </c>
      <c r="C2021" s="32" t="s">
        <v>1280</v>
      </c>
      <c r="D2021" s="130" t="s">
        <v>8</v>
      </c>
      <c r="E2021" s="160" t="s">
        <v>71</v>
      </c>
      <c r="F2021" s="130" t="s">
        <v>1332</v>
      </c>
      <c r="K2021" s="167">
        <v>0.35416666666666669</v>
      </c>
      <c r="L2021" s="173">
        <v>0.5625</v>
      </c>
      <c r="M2021" s="11">
        <f t="shared" si="34"/>
        <v>5</v>
      </c>
      <c r="N2021" s="169" t="s">
        <v>1</v>
      </c>
    </row>
    <row r="2022" spans="1:14" hidden="1" x14ac:dyDescent="0.3">
      <c r="A2022" s="128" t="s">
        <v>19</v>
      </c>
      <c r="B2022" s="108">
        <v>46064</v>
      </c>
      <c r="C2022" s="32" t="s">
        <v>1254</v>
      </c>
      <c r="D2022" s="133" t="s">
        <v>1302</v>
      </c>
      <c r="E2022" s="161" t="s">
        <v>1302</v>
      </c>
      <c r="F2022" s="130" t="s">
        <v>1308</v>
      </c>
      <c r="K2022" s="167">
        <v>0.35416666666666669</v>
      </c>
      <c r="L2022" s="173">
        <v>0.5625</v>
      </c>
      <c r="M2022" s="11">
        <f t="shared" si="34"/>
        <v>5</v>
      </c>
      <c r="N2022" s="169" t="s">
        <v>1302</v>
      </c>
    </row>
    <row r="2023" spans="1:14" hidden="1" x14ac:dyDescent="0.3">
      <c r="A2023" s="124" t="s">
        <v>19</v>
      </c>
      <c r="B2023" s="108">
        <v>46064</v>
      </c>
      <c r="C2023" s="32" t="s">
        <v>1280</v>
      </c>
      <c r="D2023" s="130" t="s">
        <v>8</v>
      </c>
      <c r="E2023" s="158" t="s">
        <v>406</v>
      </c>
      <c r="F2023" s="131" t="s">
        <v>1345</v>
      </c>
      <c r="K2023" s="173">
        <v>0.5625</v>
      </c>
      <c r="L2023" s="173">
        <v>0.72916666666666663</v>
      </c>
      <c r="M2023" s="11">
        <f t="shared" si="34"/>
        <v>3.9999999999999991</v>
      </c>
      <c r="N2023" s="174" t="s">
        <v>0</v>
      </c>
    </row>
    <row r="2024" spans="1:14" hidden="1" x14ac:dyDescent="0.3">
      <c r="A2024" s="124" t="s">
        <v>19</v>
      </c>
      <c r="B2024" s="108">
        <v>46064</v>
      </c>
      <c r="C2024" s="32" t="s">
        <v>1254</v>
      </c>
      <c r="D2024" s="130" t="s">
        <v>1302</v>
      </c>
      <c r="E2024" s="159" t="s">
        <v>1302</v>
      </c>
      <c r="F2024" s="132" t="s">
        <v>1232</v>
      </c>
      <c r="K2024" s="173">
        <v>0.5625</v>
      </c>
      <c r="L2024" s="173">
        <v>0.64583333333333337</v>
      </c>
      <c r="M2024" s="11">
        <f t="shared" si="34"/>
        <v>2.0000000000000009</v>
      </c>
      <c r="N2024" s="174" t="s">
        <v>1302</v>
      </c>
    </row>
    <row r="2025" spans="1:14" hidden="1" x14ac:dyDescent="0.3">
      <c r="A2025" s="124" t="s">
        <v>19</v>
      </c>
      <c r="B2025" s="108">
        <v>46064</v>
      </c>
      <c r="C2025" s="32" t="s">
        <v>1253</v>
      </c>
      <c r="D2025" s="130" t="s">
        <v>8</v>
      </c>
      <c r="E2025" s="159" t="s">
        <v>1184</v>
      </c>
      <c r="F2025" s="132" t="s">
        <v>1346</v>
      </c>
      <c r="K2025" s="167">
        <v>0.35416666666666669</v>
      </c>
      <c r="L2025" s="173">
        <v>0.52083333333333337</v>
      </c>
      <c r="M2025" s="11">
        <f t="shared" si="34"/>
        <v>4</v>
      </c>
      <c r="N2025" s="174" t="s">
        <v>0</v>
      </c>
    </row>
    <row r="2026" spans="1:14" hidden="1" x14ac:dyDescent="0.3">
      <c r="A2026" s="124" t="s">
        <v>19</v>
      </c>
      <c r="B2026" s="108">
        <v>46064</v>
      </c>
      <c r="C2026" s="32" t="s">
        <v>1278</v>
      </c>
      <c r="D2026" s="130" t="s">
        <v>44</v>
      </c>
      <c r="E2026" s="160" t="s">
        <v>1233</v>
      </c>
      <c r="F2026" s="130" t="s">
        <v>1328</v>
      </c>
      <c r="K2026" s="185">
        <v>0.35416666666666669</v>
      </c>
      <c r="L2026" s="173">
        <v>0.72916666666666663</v>
      </c>
      <c r="M2026" s="11">
        <f t="shared" si="34"/>
        <v>8.9999999999999982</v>
      </c>
      <c r="N2026" s="174" t="s">
        <v>0</v>
      </c>
    </row>
    <row r="2027" spans="1:14" hidden="1" x14ac:dyDescent="0.3">
      <c r="A2027" s="124" t="s">
        <v>19</v>
      </c>
      <c r="B2027" s="108">
        <v>46064</v>
      </c>
      <c r="C2027" s="32" t="s">
        <v>1254</v>
      </c>
      <c r="D2027" s="130" t="s">
        <v>1302</v>
      </c>
      <c r="E2027" s="161" t="s">
        <v>1302</v>
      </c>
      <c r="F2027" s="130" t="s">
        <v>1328</v>
      </c>
      <c r="K2027" s="185">
        <v>0.35416666666666669</v>
      </c>
      <c r="L2027" s="186">
        <v>0.72916666666666663</v>
      </c>
      <c r="M2027" s="11">
        <f t="shared" si="34"/>
        <v>8.9999999999999982</v>
      </c>
      <c r="N2027" s="174" t="s">
        <v>1302</v>
      </c>
    </row>
    <row r="2028" spans="1:14" hidden="1" x14ac:dyDescent="0.3">
      <c r="A2028" s="134" t="s">
        <v>20</v>
      </c>
      <c r="B2028" s="108">
        <v>46064</v>
      </c>
      <c r="C2028" s="32" t="s">
        <v>1279</v>
      </c>
      <c r="D2028" s="136" t="s">
        <v>44</v>
      </c>
      <c r="E2028" s="202" t="s">
        <v>1319</v>
      </c>
      <c r="F2028" s="204" t="s">
        <v>1235</v>
      </c>
      <c r="K2028" s="167">
        <v>0.27083333333333331</v>
      </c>
      <c r="L2028" s="186">
        <v>0.64583333333333337</v>
      </c>
      <c r="M2028" s="11">
        <f t="shared" si="34"/>
        <v>9.0000000000000018</v>
      </c>
      <c r="N2028" s="169" t="s">
        <v>0</v>
      </c>
    </row>
    <row r="2029" spans="1:14" hidden="1" x14ac:dyDescent="0.3">
      <c r="A2029" s="134" t="s">
        <v>20</v>
      </c>
      <c r="B2029" s="108">
        <v>46064</v>
      </c>
      <c r="C2029" s="32" t="s">
        <v>1244</v>
      </c>
      <c r="D2029" s="201" t="s">
        <v>1302</v>
      </c>
      <c r="E2029" s="203" t="s">
        <v>1302</v>
      </c>
      <c r="F2029" s="204" t="s">
        <v>1235</v>
      </c>
      <c r="K2029" s="167">
        <v>0.27083333333333331</v>
      </c>
      <c r="L2029" s="186">
        <v>0.64583333333333337</v>
      </c>
      <c r="M2029" s="11">
        <f t="shared" si="34"/>
        <v>9.0000000000000018</v>
      </c>
      <c r="N2029" s="178" t="s">
        <v>1302</v>
      </c>
    </row>
    <row r="2030" spans="1:14" hidden="1" x14ac:dyDescent="0.3">
      <c r="A2030" s="136" t="s">
        <v>20</v>
      </c>
      <c r="B2030" s="108">
        <v>46064</v>
      </c>
      <c r="C2030" s="32" t="s">
        <v>1299</v>
      </c>
      <c r="D2030" s="124" t="s">
        <v>44</v>
      </c>
      <c r="E2030" s="202" t="s">
        <v>1319</v>
      </c>
      <c r="F2030" s="204" t="s">
        <v>1329</v>
      </c>
      <c r="K2030" s="167">
        <v>0.27083333333333331</v>
      </c>
      <c r="L2030" s="186">
        <v>0.72916666666666663</v>
      </c>
      <c r="M2030" s="11">
        <f t="shared" si="34"/>
        <v>11</v>
      </c>
      <c r="N2030" s="168" t="s">
        <v>0</v>
      </c>
    </row>
    <row r="2031" spans="1:14" hidden="1" x14ac:dyDescent="0.3">
      <c r="A2031" s="136" t="s">
        <v>20</v>
      </c>
      <c r="B2031" s="108">
        <v>46064</v>
      </c>
      <c r="C2031" s="32" t="s">
        <v>1245</v>
      </c>
      <c r="D2031" s="124" t="s">
        <v>44</v>
      </c>
      <c r="E2031" s="202" t="s">
        <v>1319</v>
      </c>
      <c r="F2031" s="204" t="s">
        <v>1330</v>
      </c>
      <c r="K2031" s="167">
        <v>0.35416666666666669</v>
      </c>
      <c r="L2031" s="186">
        <v>0.72916666666666663</v>
      </c>
      <c r="M2031" s="11">
        <f t="shared" si="34"/>
        <v>8.9999999999999982</v>
      </c>
      <c r="N2031" s="168" t="s">
        <v>0</v>
      </c>
    </row>
    <row r="2032" spans="1:14" hidden="1" x14ac:dyDescent="0.3">
      <c r="A2032" s="134" t="s">
        <v>20</v>
      </c>
      <c r="B2032" s="108">
        <v>46064</v>
      </c>
      <c r="C2032" s="32" t="s">
        <v>1249</v>
      </c>
      <c r="D2032" s="137" t="s">
        <v>65</v>
      </c>
      <c r="E2032" s="163" t="s">
        <v>1335</v>
      </c>
      <c r="F2032" s="139" t="s">
        <v>244</v>
      </c>
      <c r="K2032" s="167">
        <v>0.27083333333333331</v>
      </c>
      <c r="L2032" s="182">
        <v>0.45833333333333331</v>
      </c>
      <c r="M2032" s="11">
        <f t="shared" si="34"/>
        <v>4.5</v>
      </c>
      <c r="N2032" s="187" t="s">
        <v>0</v>
      </c>
    </row>
    <row r="2033" spans="1:14" hidden="1" x14ac:dyDescent="0.3">
      <c r="A2033" s="134" t="s">
        <v>20</v>
      </c>
      <c r="B2033" s="108">
        <v>46064</v>
      </c>
      <c r="C2033" s="32" t="s">
        <v>1250</v>
      </c>
      <c r="D2033" s="137" t="s">
        <v>1302</v>
      </c>
      <c r="E2033" s="163" t="s">
        <v>1302</v>
      </c>
      <c r="F2033" s="139"/>
      <c r="K2033" s="167">
        <v>0.27083333333333331</v>
      </c>
      <c r="L2033" s="182">
        <v>0.35416666666666669</v>
      </c>
      <c r="M2033" s="11">
        <f t="shared" si="34"/>
        <v>2.0000000000000009</v>
      </c>
      <c r="N2033" s="187" t="s">
        <v>1302</v>
      </c>
    </row>
    <row r="2034" spans="1:14" hidden="1" x14ac:dyDescent="0.3">
      <c r="A2034" s="134" t="s">
        <v>20</v>
      </c>
      <c r="B2034" s="108">
        <v>46064</v>
      </c>
      <c r="C2034" s="32" t="s">
        <v>1248</v>
      </c>
      <c r="D2034" s="137" t="s">
        <v>65</v>
      </c>
      <c r="E2034" s="163" t="s">
        <v>1239</v>
      </c>
      <c r="F2034" s="137" t="s">
        <v>1336</v>
      </c>
      <c r="K2034" s="182">
        <v>0.27083333333333331</v>
      </c>
      <c r="L2034" s="182">
        <v>0.72916666666666663</v>
      </c>
      <c r="M2034" s="11">
        <f t="shared" si="34"/>
        <v>11</v>
      </c>
      <c r="N2034" s="187" t="s">
        <v>0</v>
      </c>
    </row>
    <row r="2035" spans="1:14" hidden="1" x14ac:dyDescent="0.3">
      <c r="A2035" s="134" t="s">
        <v>20</v>
      </c>
      <c r="B2035" s="108">
        <v>46064</v>
      </c>
      <c r="C2035" s="32" t="s">
        <v>1251</v>
      </c>
      <c r="D2035" s="130" t="s">
        <v>1302</v>
      </c>
      <c r="E2035" s="164" t="s">
        <v>1302</v>
      </c>
      <c r="F2035" s="143" t="s">
        <v>1314</v>
      </c>
      <c r="K2035" s="182">
        <v>0.27083333333333331</v>
      </c>
      <c r="L2035" s="182">
        <v>0.72916666666666663</v>
      </c>
      <c r="M2035" s="11">
        <f t="shared" si="34"/>
        <v>11</v>
      </c>
      <c r="N2035" s="168" t="s">
        <v>1302</v>
      </c>
    </row>
    <row r="2036" spans="1:14" hidden="1" x14ac:dyDescent="0.3">
      <c r="A2036" s="124" t="s">
        <v>20</v>
      </c>
      <c r="B2036" s="108">
        <v>46064</v>
      </c>
      <c r="C2036" s="32" t="s">
        <v>1247</v>
      </c>
      <c r="D2036" s="134" t="s">
        <v>65</v>
      </c>
      <c r="E2036" s="162" t="s">
        <v>988</v>
      </c>
      <c r="F2036" s="134" t="s">
        <v>1337</v>
      </c>
      <c r="K2036" s="182">
        <v>0.27083333333333331</v>
      </c>
      <c r="L2036" s="182">
        <v>0.72916666666666663</v>
      </c>
      <c r="M2036" s="11">
        <f t="shared" si="34"/>
        <v>11</v>
      </c>
      <c r="N2036" s="187" t="s">
        <v>0</v>
      </c>
    </row>
    <row r="2037" spans="1:14" hidden="1" x14ac:dyDescent="0.3">
      <c r="A2037" s="124" t="s">
        <v>20</v>
      </c>
      <c r="B2037" s="108">
        <v>46064</v>
      </c>
      <c r="C2037" s="32" t="s">
        <v>1249</v>
      </c>
      <c r="D2037" s="134" t="s">
        <v>65</v>
      </c>
      <c r="E2037" s="162" t="s">
        <v>1338</v>
      </c>
      <c r="F2037" s="134" t="s">
        <v>1339</v>
      </c>
      <c r="K2037" s="182">
        <v>0.45833333333333331</v>
      </c>
      <c r="L2037" s="186">
        <v>0.66666666666666663</v>
      </c>
      <c r="M2037" s="11">
        <f t="shared" si="34"/>
        <v>5</v>
      </c>
      <c r="N2037" s="187" t="s">
        <v>0</v>
      </c>
    </row>
    <row r="2038" spans="1:14" hidden="1" x14ac:dyDescent="0.3">
      <c r="A2038" s="124" t="s">
        <v>20</v>
      </c>
      <c r="B2038" s="108">
        <v>46064</v>
      </c>
      <c r="C2038" s="32" t="s">
        <v>1246</v>
      </c>
      <c r="D2038" s="134" t="s">
        <v>65</v>
      </c>
      <c r="E2038" s="162" t="s">
        <v>1108</v>
      </c>
      <c r="F2038" s="134" t="s">
        <v>1340</v>
      </c>
      <c r="K2038" s="182">
        <v>0.27083333333333331</v>
      </c>
      <c r="L2038" s="182">
        <v>0.72916666666666663</v>
      </c>
      <c r="M2038" s="11">
        <f t="shared" si="34"/>
        <v>11</v>
      </c>
      <c r="N2038" s="187" t="s">
        <v>0</v>
      </c>
    </row>
    <row r="2039" spans="1:14" hidden="1" x14ac:dyDescent="0.3">
      <c r="A2039" s="134" t="s">
        <v>20</v>
      </c>
      <c r="B2039" s="108">
        <v>46064</v>
      </c>
      <c r="C2039" s="32" t="s">
        <v>1250</v>
      </c>
      <c r="D2039" s="143" t="s">
        <v>27</v>
      </c>
      <c r="E2039" s="164" t="s">
        <v>1316</v>
      </c>
      <c r="F2039" s="143" t="s">
        <v>1232</v>
      </c>
      <c r="K2039" s="182">
        <v>0.35416666666666669</v>
      </c>
      <c r="L2039" s="186">
        <v>0.64583333333333337</v>
      </c>
      <c r="M2039" s="22">
        <f t="shared" si="34"/>
        <v>7</v>
      </c>
      <c r="N2039" s="168" t="s">
        <v>0</v>
      </c>
    </row>
    <row r="2040" spans="1:14" x14ac:dyDescent="0.3">
      <c r="A2040" s="112" t="s">
        <v>21</v>
      </c>
      <c r="B2040" s="108">
        <v>46065</v>
      </c>
      <c r="C2040" s="32" t="s">
        <v>1284</v>
      </c>
      <c r="D2040" s="109" t="s">
        <v>24</v>
      </c>
      <c r="E2040" s="153" t="s">
        <v>1347</v>
      </c>
      <c r="F2040" s="111" t="s">
        <v>1300</v>
      </c>
      <c r="G2040" s="167">
        <v>0.35416666666666669</v>
      </c>
      <c r="H2040" s="167">
        <v>0.4375</v>
      </c>
      <c r="I2040" s="11">
        <v>1.9999999999999996</v>
      </c>
      <c r="J2040" s="168" t="s">
        <v>0</v>
      </c>
      <c r="K2040" s="167">
        <v>0.35416666666666669</v>
      </c>
      <c r="L2040" s="167">
        <v>0.72916666666666663</v>
      </c>
      <c r="M2040" s="11">
        <f t="shared" ref="M2040:M2041" si="35">MOD(L2040-K2040,1)*24</f>
        <v>8.9999999999999982</v>
      </c>
      <c r="N2040" s="168" t="s">
        <v>1</v>
      </c>
    </row>
    <row r="2041" spans="1:14" x14ac:dyDescent="0.3">
      <c r="A2041" s="107" t="s">
        <v>21</v>
      </c>
      <c r="B2041" s="108">
        <v>46065</v>
      </c>
      <c r="C2041" s="32" t="s">
        <v>1256</v>
      </c>
      <c r="D2041" s="109" t="s">
        <v>24</v>
      </c>
      <c r="E2041" s="153" t="s">
        <v>1348</v>
      </c>
      <c r="F2041" s="111" t="s">
        <v>1300</v>
      </c>
      <c r="G2041" s="167">
        <v>0.35416666666666669</v>
      </c>
      <c r="H2041" s="167">
        <v>0.54166666666666663</v>
      </c>
      <c r="I2041" s="11">
        <v>4.4999999999999982</v>
      </c>
      <c r="J2041" s="168" t="s">
        <v>0</v>
      </c>
      <c r="K2041" s="167">
        <v>0.35416666666666669</v>
      </c>
      <c r="L2041" s="167">
        <v>0.72916666666666663</v>
      </c>
      <c r="M2041" s="11">
        <f t="shared" si="35"/>
        <v>8.9999999999999982</v>
      </c>
      <c r="N2041" s="168" t="s">
        <v>1</v>
      </c>
    </row>
    <row r="2042" spans="1:14" x14ac:dyDescent="0.3">
      <c r="A2042" s="107" t="s">
        <v>21</v>
      </c>
      <c r="B2042" s="108">
        <v>46065</v>
      </c>
      <c r="C2042" s="32" t="s">
        <v>1261</v>
      </c>
      <c r="D2042" s="112" t="s">
        <v>27</v>
      </c>
      <c r="E2042" s="155" t="s">
        <v>1349</v>
      </c>
      <c r="F2042" s="119" t="s">
        <v>589</v>
      </c>
      <c r="G2042" s="167">
        <v>0.27083333333333331</v>
      </c>
      <c r="H2042" s="167">
        <v>0.72916666666666663</v>
      </c>
      <c r="I2042" s="11">
        <v>11</v>
      </c>
      <c r="J2042" s="198" t="s">
        <v>1</v>
      </c>
      <c r="K2042" s="167">
        <v>0.27083333333333331</v>
      </c>
      <c r="L2042" s="167">
        <v>0.54166666666666663</v>
      </c>
      <c r="M2042" s="11">
        <f t="shared" ref="M2042:M2043" si="36">MOD(L2042-K2042,1)*24</f>
        <v>6.5</v>
      </c>
      <c r="N2042" s="198" t="s">
        <v>1</v>
      </c>
    </row>
    <row r="2043" spans="1:14" x14ac:dyDescent="0.3">
      <c r="A2043" s="107" t="s">
        <v>21</v>
      </c>
      <c r="B2043" s="108">
        <v>46065</v>
      </c>
      <c r="C2043" s="32" t="s">
        <v>1282</v>
      </c>
      <c r="D2043" s="117" t="s">
        <v>1302</v>
      </c>
      <c r="E2043" s="156" t="s">
        <v>1302</v>
      </c>
      <c r="F2043" s="119" t="s">
        <v>1222</v>
      </c>
      <c r="G2043" s="167">
        <v>0.27083333333333331</v>
      </c>
      <c r="H2043" s="171">
        <v>0.72916666666666663</v>
      </c>
      <c r="I2043" s="11">
        <v>11</v>
      </c>
      <c r="J2043" s="199" t="s">
        <v>1302</v>
      </c>
      <c r="K2043" s="167">
        <v>0.27083333333333331</v>
      </c>
      <c r="L2043" s="167">
        <v>0.54166666666666663</v>
      </c>
      <c r="M2043" s="11">
        <f t="shared" si="36"/>
        <v>6.5</v>
      </c>
      <c r="N2043" s="199" t="s">
        <v>1302</v>
      </c>
    </row>
    <row r="2044" spans="1:14" x14ac:dyDescent="0.3">
      <c r="A2044" s="107" t="s">
        <v>21</v>
      </c>
      <c r="B2044" s="108">
        <v>46065</v>
      </c>
      <c r="C2044" s="32" t="s">
        <v>1261</v>
      </c>
      <c r="D2044" s="126" t="s">
        <v>27</v>
      </c>
      <c r="E2044" s="156" t="s">
        <v>1343</v>
      </c>
      <c r="F2044" s="119" t="s">
        <v>589</v>
      </c>
      <c r="G2044" s="167">
        <v>0.35416666666666669</v>
      </c>
      <c r="H2044" s="171">
        <v>0.72916666666666663</v>
      </c>
      <c r="I2044" s="11"/>
      <c r="J2044" s="168" t="s">
        <v>1</v>
      </c>
      <c r="K2044" s="167">
        <v>0.35416666666666669</v>
      </c>
      <c r="L2044" s="171">
        <v>0.72916666666666663</v>
      </c>
      <c r="M2044" s="11"/>
      <c r="N2044" s="168" t="s">
        <v>1</v>
      </c>
    </row>
    <row r="2045" spans="1:14" x14ac:dyDescent="0.3">
      <c r="A2045" s="107" t="s">
        <v>21</v>
      </c>
      <c r="B2045" s="108">
        <v>46065</v>
      </c>
      <c r="C2045" s="32" t="s">
        <v>1282</v>
      </c>
      <c r="D2045" s="126" t="s">
        <v>1302</v>
      </c>
      <c r="E2045" s="156" t="s">
        <v>1302</v>
      </c>
      <c r="F2045" s="119" t="s">
        <v>589</v>
      </c>
      <c r="G2045" s="167">
        <v>0.35416666666666669</v>
      </c>
      <c r="H2045" s="171">
        <v>0.72916666666666663</v>
      </c>
      <c r="I2045" s="11"/>
      <c r="J2045" s="199" t="s">
        <v>1302</v>
      </c>
      <c r="K2045" s="167">
        <v>0.35416666666666669</v>
      </c>
      <c r="L2045" s="171">
        <v>0.72916666666666663</v>
      </c>
      <c r="M2045" s="11"/>
      <c r="N2045" s="199" t="s">
        <v>1302</v>
      </c>
    </row>
    <row r="2046" spans="1:14" x14ac:dyDescent="0.3">
      <c r="A2046" s="107" t="s">
        <v>21</v>
      </c>
      <c r="B2046" s="108">
        <v>46065</v>
      </c>
      <c r="C2046" s="32" t="s">
        <v>771</v>
      </c>
      <c r="D2046" s="115" t="s">
        <v>43</v>
      </c>
      <c r="E2046" s="154" t="s">
        <v>271</v>
      </c>
      <c r="F2046" s="116" t="s">
        <v>1350</v>
      </c>
      <c r="G2046" s="167">
        <v>0.27083333333333331</v>
      </c>
      <c r="H2046" s="173">
        <v>0.35416666666666669</v>
      </c>
      <c r="I2046" s="11">
        <v>2.0000000000000009</v>
      </c>
      <c r="J2046" s="184" t="s">
        <v>0</v>
      </c>
      <c r="K2046" s="167">
        <v>0.27083333333333331</v>
      </c>
      <c r="L2046" s="173">
        <v>0.5</v>
      </c>
      <c r="M2046" s="11">
        <f t="shared" ref="M2046:M2050" si="37">MOD(L2046-K2046,1)*24</f>
        <v>5.5</v>
      </c>
      <c r="N2046" s="184" t="s">
        <v>0</v>
      </c>
    </row>
    <row r="2047" spans="1:14" x14ac:dyDescent="0.3">
      <c r="A2047" s="107" t="s">
        <v>21</v>
      </c>
      <c r="B2047" s="108">
        <v>46065</v>
      </c>
      <c r="C2047" s="32" t="s">
        <v>1262</v>
      </c>
      <c r="D2047" s="115" t="s">
        <v>43</v>
      </c>
      <c r="E2047" s="155" t="s">
        <v>1223</v>
      </c>
      <c r="F2047" s="116" t="s">
        <v>1341</v>
      </c>
      <c r="G2047" s="167">
        <v>0.35416666666666669</v>
      </c>
      <c r="H2047" s="173" t="s">
        <v>903</v>
      </c>
      <c r="I2047" s="11"/>
      <c r="J2047" s="174" t="s">
        <v>1</v>
      </c>
      <c r="K2047" s="167">
        <v>0.35416666666666669</v>
      </c>
      <c r="L2047" s="173">
        <v>0.5</v>
      </c>
      <c r="M2047" s="11">
        <f t="shared" si="37"/>
        <v>3.4999999999999996</v>
      </c>
      <c r="N2047" s="174" t="s">
        <v>0</v>
      </c>
    </row>
    <row r="2048" spans="1:14" x14ac:dyDescent="0.3">
      <c r="A2048" s="107" t="s">
        <v>21</v>
      </c>
      <c r="B2048" s="108">
        <v>46065</v>
      </c>
      <c r="C2048" s="32" t="s">
        <v>771</v>
      </c>
      <c r="D2048" s="115" t="s">
        <v>43</v>
      </c>
      <c r="E2048" s="155" t="s">
        <v>271</v>
      </c>
      <c r="F2048" s="116" t="s">
        <v>1342</v>
      </c>
      <c r="G2048" s="167">
        <v>0.35416666666666669</v>
      </c>
      <c r="H2048" s="173" t="s">
        <v>903</v>
      </c>
      <c r="I2048" s="11"/>
      <c r="J2048" s="174" t="s">
        <v>1</v>
      </c>
      <c r="K2048" s="167">
        <v>0.35416666666666669</v>
      </c>
      <c r="L2048" s="173">
        <v>0.5</v>
      </c>
      <c r="M2048" s="11">
        <f t="shared" si="37"/>
        <v>3.4999999999999996</v>
      </c>
      <c r="N2048" s="174" t="s">
        <v>1</v>
      </c>
    </row>
    <row r="2049" spans="1:14" x14ac:dyDescent="0.3">
      <c r="A2049" s="107" t="s">
        <v>21</v>
      </c>
      <c r="B2049" s="108">
        <v>46065</v>
      </c>
      <c r="C2049" s="32" t="s">
        <v>771</v>
      </c>
      <c r="D2049" s="115" t="s">
        <v>43</v>
      </c>
      <c r="E2049" s="155" t="s">
        <v>1359</v>
      </c>
      <c r="F2049" s="116" t="s">
        <v>589</v>
      </c>
      <c r="G2049" s="167"/>
      <c r="H2049" s="173"/>
      <c r="I2049" s="11"/>
      <c r="J2049" s="174"/>
      <c r="K2049" s="173">
        <v>0.5</v>
      </c>
      <c r="L2049" s="173">
        <v>0.64583333333333337</v>
      </c>
      <c r="M2049" s="11">
        <f t="shared" si="37"/>
        <v>3.5000000000000009</v>
      </c>
      <c r="N2049" s="174" t="s">
        <v>1</v>
      </c>
    </row>
    <row r="2050" spans="1:14" x14ac:dyDescent="0.3">
      <c r="A2050" s="107" t="s">
        <v>21</v>
      </c>
      <c r="B2050" s="108">
        <v>46065</v>
      </c>
      <c r="C2050" s="32" t="s">
        <v>1262</v>
      </c>
      <c r="D2050" s="115" t="s">
        <v>1302</v>
      </c>
      <c r="E2050" s="155" t="s">
        <v>1302</v>
      </c>
      <c r="F2050" s="116" t="s">
        <v>589</v>
      </c>
      <c r="G2050" s="167"/>
      <c r="H2050" s="173"/>
      <c r="I2050" s="11"/>
      <c r="J2050" s="174"/>
      <c r="K2050" s="173">
        <v>0.5</v>
      </c>
      <c r="L2050" s="173">
        <v>0.64583333333333337</v>
      </c>
      <c r="M2050" s="11">
        <f t="shared" si="37"/>
        <v>3.5000000000000009</v>
      </c>
      <c r="N2050" s="174" t="s">
        <v>1302</v>
      </c>
    </row>
    <row r="2051" spans="1:14" x14ac:dyDescent="0.3">
      <c r="A2051" s="107" t="s">
        <v>21</v>
      </c>
      <c r="B2051" s="108">
        <v>46065</v>
      </c>
      <c r="C2051" s="32" t="s">
        <v>1297</v>
      </c>
      <c r="D2051" s="126" t="s">
        <v>54</v>
      </c>
      <c r="E2051" s="155" t="s">
        <v>688</v>
      </c>
      <c r="F2051" s="112" t="s">
        <v>1327</v>
      </c>
      <c r="G2051" s="167">
        <v>0.35416666666666669</v>
      </c>
      <c r="H2051" s="167">
        <v>0.72916666666666663</v>
      </c>
      <c r="I2051" s="11">
        <v>8.9999999999999982</v>
      </c>
      <c r="J2051" s="169" t="s">
        <v>0</v>
      </c>
      <c r="K2051" s="167">
        <v>0.35416666666666669</v>
      </c>
      <c r="L2051" s="167">
        <v>0.72916666666666663</v>
      </c>
      <c r="M2051" s="11">
        <f t="shared" ref="M2051:M2074" si="38">MOD(L2051-K2051,1)*24</f>
        <v>8.9999999999999982</v>
      </c>
      <c r="N2051" s="169" t="s">
        <v>1</v>
      </c>
    </row>
    <row r="2052" spans="1:14" x14ac:dyDescent="0.3">
      <c r="A2052" s="107" t="s">
        <v>21</v>
      </c>
      <c r="B2052" s="108">
        <v>46065</v>
      </c>
      <c r="C2052" s="32" t="s">
        <v>1285</v>
      </c>
      <c r="D2052" s="117" t="s">
        <v>1302</v>
      </c>
      <c r="E2052" s="120" t="s">
        <v>1302</v>
      </c>
      <c r="F2052" s="112" t="s">
        <v>1327</v>
      </c>
      <c r="G2052" s="167">
        <v>0.35416666666666669</v>
      </c>
      <c r="H2052" s="167">
        <v>0.72916666666666663</v>
      </c>
      <c r="I2052" s="11">
        <v>8.9999999999999982</v>
      </c>
      <c r="J2052" s="178" t="s">
        <v>1302</v>
      </c>
      <c r="K2052" s="167">
        <v>0.35416666666666669</v>
      </c>
      <c r="L2052" s="167">
        <v>0.72916666666666663</v>
      </c>
      <c r="M2052" s="11">
        <f t="shared" si="38"/>
        <v>8.9999999999999982</v>
      </c>
      <c r="N2052" s="178" t="s">
        <v>1302</v>
      </c>
    </row>
    <row r="2053" spans="1:14" x14ac:dyDescent="0.3">
      <c r="A2053" s="117" t="s">
        <v>21</v>
      </c>
      <c r="B2053" s="108">
        <v>46065</v>
      </c>
      <c r="C2053" s="32" t="s">
        <v>1259</v>
      </c>
      <c r="D2053" s="122" t="s">
        <v>43</v>
      </c>
      <c r="E2053" s="157" t="s">
        <v>1227</v>
      </c>
      <c r="F2053" s="116" t="s">
        <v>1175</v>
      </c>
      <c r="G2053" s="171">
        <v>0.27083333333333331</v>
      </c>
      <c r="H2053" s="173">
        <v>0.64583333333333337</v>
      </c>
      <c r="I2053" s="11">
        <v>9.0000000000000018</v>
      </c>
      <c r="J2053" s="178" t="s">
        <v>1</v>
      </c>
      <c r="K2053" s="171">
        <v>0.27083333333333331</v>
      </c>
      <c r="L2053" s="173">
        <v>0.64583333333333337</v>
      </c>
      <c r="M2053" s="11">
        <f t="shared" si="38"/>
        <v>9.0000000000000018</v>
      </c>
      <c r="N2053" s="178" t="s">
        <v>1</v>
      </c>
    </row>
    <row r="2054" spans="1:14" x14ac:dyDescent="0.3">
      <c r="A2054" s="124" t="s">
        <v>19</v>
      </c>
      <c r="B2054" s="108">
        <v>46065</v>
      </c>
      <c r="C2054" s="32" t="s">
        <v>1280</v>
      </c>
      <c r="D2054" s="143" t="s">
        <v>8</v>
      </c>
      <c r="E2054" s="164" t="s">
        <v>1312</v>
      </c>
      <c r="F2054" s="143" t="s">
        <v>1331</v>
      </c>
      <c r="G2054" s="173">
        <v>0.27083333333333331</v>
      </c>
      <c r="H2054" s="167">
        <v>0.52083333333333337</v>
      </c>
      <c r="I2054" s="11">
        <v>6.0000000000000018</v>
      </c>
      <c r="J2054" s="187" t="s">
        <v>0</v>
      </c>
      <c r="K2054" s="173">
        <v>0.27083333333333331</v>
      </c>
      <c r="L2054" s="167">
        <v>0.52083333333333337</v>
      </c>
      <c r="M2054" s="11">
        <f t="shared" si="38"/>
        <v>6.0000000000000018</v>
      </c>
      <c r="N2054" s="187" t="s">
        <v>0</v>
      </c>
    </row>
    <row r="2055" spans="1:14" x14ac:dyDescent="0.3">
      <c r="A2055" s="124" t="s">
        <v>19</v>
      </c>
      <c r="B2055" s="108">
        <v>46065</v>
      </c>
      <c r="C2055" s="32" t="s">
        <v>1280</v>
      </c>
      <c r="D2055" s="130" t="s">
        <v>8</v>
      </c>
      <c r="E2055" s="160" t="s">
        <v>235</v>
      </c>
      <c r="F2055" s="130" t="s">
        <v>1358</v>
      </c>
      <c r="G2055" s="167">
        <v>0.35416666666666669</v>
      </c>
      <c r="H2055" s="173">
        <v>0.5625</v>
      </c>
      <c r="I2055" s="11">
        <v>5</v>
      </c>
      <c r="J2055" s="169" t="s">
        <v>1</v>
      </c>
      <c r="K2055" s="173">
        <v>0.27083333333333331</v>
      </c>
      <c r="L2055" s="173">
        <v>0.4375</v>
      </c>
      <c r="M2055" s="11">
        <f t="shared" si="38"/>
        <v>4</v>
      </c>
      <c r="N2055" s="169" t="s">
        <v>0</v>
      </c>
    </row>
    <row r="2056" spans="1:14" x14ac:dyDescent="0.3">
      <c r="A2056" s="128" t="s">
        <v>19</v>
      </c>
      <c r="B2056" s="108">
        <v>46065</v>
      </c>
      <c r="C2056" s="32" t="s">
        <v>1254</v>
      </c>
      <c r="D2056" s="133" t="s">
        <v>1302</v>
      </c>
      <c r="E2056" s="161" t="s">
        <v>1302</v>
      </c>
      <c r="F2056" s="130" t="s">
        <v>1308</v>
      </c>
      <c r="G2056" s="167">
        <v>0.35416666666666669</v>
      </c>
      <c r="H2056" s="173">
        <v>0.5625</v>
      </c>
      <c r="I2056" s="11">
        <v>5</v>
      </c>
      <c r="J2056" s="169" t="s">
        <v>1302</v>
      </c>
      <c r="K2056" s="173">
        <v>0.27083333333333331</v>
      </c>
      <c r="L2056" s="173">
        <v>0.4375</v>
      </c>
      <c r="M2056" s="11">
        <f t="shared" si="38"/>
        <v>4</v>
      </c>
      <c r="N2056" s="169" t="s">
        <v>1302</v>
      </c>
    </row>
    <row r="2057" spans="1:14" x14ac:dyDescent="0.3">
      <c r="A2057" s="124" t="s">
        <v>19</v>
      </c>
      <c r="B2057" s="108">
        <v>46065</v>
      </c>
      <c r="C2057" s="32" t="s">
        <v>1280</v>
      </c>
      <c r="D2057" s="130" t="s">
        <v>8</v>
      </c>
      <c r="E2057" s="158" t="s">
        <v>1360</v>
      </c>
      <c r="F2057" s="131" t="s">
        <v>1361</v>
      </c>
      <c r="G2057" s="173">
        <v>0.5625</v>
      </c>
      <c r="H2057" s="173">
        <v>0.72916666666666663</v>
      </c>
      <c r="I2057" s="11">
        <v>3.9999999999999991</v>
      </c>
      <c r="J2057" s="174" t="s">
        <v>0</v>
      </c>
      <c r="K2057" s="173">
        <v>0.5625</v>
      </c>
      <c r="L2057" s="173">
        <v>0.64583333333333337</v>
      </c>
      <c r="M2057" s="11">
        <f t="shared" si="38"/>
        <v>2.0000000000000009</v>
      </c>
      <c r="N2057" s="174" t="s">
        <v>1</v>
      </c>
    </row>
    <row r="2058" spans="1:14" x14ac:dyDescent="0.3">
      <c r="A2058" s="124" t="s">
        <v>19</v>
      </c>
      <c r="B2058" s="108">
        <v>46065</v>
      </c>
      <c r="C2058" s="32" t="s">
        <v>1254</v>
      </c>
      <c r="D2058" s="130" t="s">
        <v>1302</v>
      </c>
      <c r="E2058" s="159" t="s">
        <v>1302</v>
      </c>
      <c r="F2058" s="131" t="s">
        <v>1361</v>
      </c>
      <c r="G2058" s="173">
        <v>0.5625</v>
      </c>
      <c r="H2058" s="173">
        <v>0.64583333333333337</v>
      </c>
      <c r="I2058" s="11">
        <v>2.0000000000000009</v>
      </c>
      <c r="J2058" s="174" t="s">
        <v>1302</v>
      </c>
      <c r="K2058" s="173">
        <v>0.5625</v>
      </c>
      <c r="L2058" s="173">
        <v>0.64583333333333337</v>
      </c>
      <c r="M2058" s="11">
        <f t="shared" si="38"/>
        <v>2.0000000000000009</v>
      </c>
      <c r="N2058" s="174" t="s">
        <v>1302</v>
      </c>
    </row>
    <row r="2059" spans="1:14" x14ac:dyDescent="0.3">
      <c r="A2059" s="124" t="s">
        <v>19</v>
      </c>
      <c r="B2059" s="108">
        <v>46065</v>
      </c>
      <c r="C2059" s="32" t="s">
        <v>1280</v>
      </c>
      <c r="D2059" s="130" t="s">
        <v>8</v>
      </c>
      <c r="E2059" s="159" t="s">
        <v>1362</v>
      </c>
      <c r="F2059" s="132" t="s">
        <v>1361</v>
      </c>
      <c r="G2059" s="167">
        <v>0.35416666666666669</v>
      </c>
      <c r="H2059" s="173">
        <v>0.52083333333333337</v>
      </c>
      <c r="I2059" s="11">
        <v>4</v>
      </c>
      <c r="J2059" s="174" t="s">
        <v>0</v>
      </c>
      <c r="K2059" s="173">
        <v>0.64583333333333337</v>
      </c>
      <c r="L2059" s="173">
        <v>0.72916666666666663</v>
      </c>
      <c r="M2059" s="11">
        <f t="shared" si="38"/>
        <v>1.9999999999999982</v>
      </c>
      <c r="N2059" s="174" t="s">
        <v>1</v>
      </c>
    </row>
    <row r="2060" spans="1:14" x14ac:dyDescent="0.3">
      <c r="A2060" s="124" t="s">
        <v>19</v>
      </c>
      <c r="B2060" s="108">
        <v>46065</v>
      </c>
      <c r="C2060" s="32" t="s">
        <v>1278</v>
      </c>
      <c r="D2060" s="130" t="s">
        <v>44</v>
      </c>
      <c r="E2060" s="160" t="s">
        <v>1233</v>
      </c>
      <c r="F2060" s="130" t="s">
        <v>1328</v>
      </c>
      <c r="G2060" s="185">
        <v>0.35416666666666669</v>
      </c>
      <c r="H2060" s="173">
        <v>0.72916666666666663</v>
      </c>
      <c r="I2060" s="11">
        <v>8.9999999999999982</v>
      </c>
      <c r="J2060" s="174" t="s">
        <v>0</v>
      </c>
      <c r="K2060" s="185">
        <v>0.35416666666666669</v>
      </c>
      <c r="L2060" s="173">
        <v>0.72916666666666663</v>
      </c>
      <c r="M2060" s="11">
        <f t="shared" si="38"/>
        <v>8.9999999999999982</v>
      </c>
      <c r="N2060" s="174" t="s">
        <v>1</v>
      </c>
    </row>
    <row r="2061" spans="1:14" x14ac:dyDescent="0.3">
      <c r="A2061" s="124" t="s">
        <v>19</v>
      </c>
      <c r="B2061" s="108">
        <v>46065</v>
      </c>
      <c r="C2061" s="32" t="s">
        <v>1254</v>
      </c>
      <c r="D2061" s="130" t="s">
        <v>1302</v>
      </c>
      <c r="E2061" s="161" t="s">
        <v>1302</v>
      </c>
      <c r="F2061" s="130" t="s">
        <v>1328</v>
      </c>
      <c r="G2061" s="185">
        <v>0.35416666666666669</v>
      </c>
      <c r="H2061" s="186">
        <v>0.72916666666666663</v>
      </c>
      <c r="I2061" s="11">
        <v>8.9999999999999982</v>
      </c>
      <c r="J2061" s="174" t="s">
        <v>1302</v>
      </c>
      <c r="K2061" s="185">
        <v>0.35416666666666669</v>
      </c>
      <c r="L2061" s="186">
        <v>0.72916666666666663</v>
      </c>
      <c r="M2061" s="11">
        <f t="shared" si="38"/>
        <v>8.9999999999999982</v>
      </c>
      <c r="N2061" s="174" t="s">
        <v>1302</v>
      </c>
    </row>
    <row r="2062" spans="1:14" x14ac:dyDescent="0.3">
      <c r="A2062" s="134" t="s">
        <v>20</v>
      </c>
      <c r="B2062" s="108">
        <v>46065</v>
      </c>
      <c r="C2062" s="32" t="s">
        <v>1279</v>
      </c>
      <c r="D2062" s="136" t="s">
        <v>44</v>
      </c>
      <c r="E2062" s="202" t="s">
        <v>1319</v>
      </c>
      <c r="F2062" s="204" t="s">
        <v>1235</v>
      </c>
      <c r="G2062" s="167">
        <v>0.27083333333333331</v>
      </c>
      <c r="H2062" s="186">
        <v>0.64583333333333337</v>
      </c>
      <c r="I2062" s="11">
        <v>9.0000000000000018</v>
      </c>
      <c r="J2062" s="169" t="s">
        <v>0</v>
      </c>
      <c r="K2062" s="167">
        <v>0.27083333333333331</v>
      </c>
      <c r="L2062" s="186">
        <v>0.64583333333333337</v>
      </c>
      <c r="M2062" s="11">
        <f t="shared" si="38"/>
        <v>9.0000000000000018</v>
      </c>
      <c r="N2062" s="169" t="s">
        <v>1</v>
      </c>
    </row>
    <row r="2063" spans="1:14" x14ac:dyDescent="0.3">
      <c r="A2063" s="134" t="s">
        <v>20</v>
      </c>
      <c r="B2063" s="108">
        <v>46065</v>
      </c>
      <c r="C2063" s="32" t="s">
        <v>1244</v>
      </c>
      <c r="D2063" s="201" t="s">
        <v>1302</v>
      </c>
      <c r="E2063" s="203" t="s">
        <v>1302</v>
      </c>
      <c r="F2063" s="204" t="s">
        <v>1235</v>
      </c>
      <c r="G2063" s="167">
        <v>0.27083333333333331</v>
      </c>
      <c r="H2063" s="186">
        <v>0.64583333333333337</v>
      </c>
      <c r="I2063" s="11">
        <v>9.0000000000000018</v>
      </c>
      <c r="J2063" s="178" t="s">
        <v>1302</v>
      </c>
      <c r="K2063" s="167">
        <v>0.27083333333333331</v>
      </c>
      <c r="L2063" s="186">
        <v>0.64583333333333337</v>
      </c>
      <c r="M2063" s="11">
        <f t="shared" si="38"/>
        <v>9.0000000000000018</v>
      </c>
      <c r="N2063" s="178" t="s">
        <v>1302</v>
      </c>
    </row>
    <row r="2064" spans="1:14" x14ac:dyDescent="0.3">
      <c r="A2064" s="136" t="s">
        <v>20</v>
      </c>
      <c r="B2064" s="108">
        <v>46065</v>
      </c>
      <c r="C2064" s="32" t="s">
        <v>1299</v>
      </c>
      <c r="D2064" s="124" t="s">
        <v>44</v>
      </c>
      <c r="E2064" s="202" t="s">
        <v>1319</v>
      </c>
      <c r="F2064" s="204" t="s">
        <v>1329</v>
      </c>
      <c r="G2064" s="167">
        <v>0.27083333333333331</v>
      </c>
      <c r="H2064" s="186">
        <v>0.72916666666666663</v>
      </c>
      <c r="I2064" s="11">
        <v>11</v>
      </c>
      <c r="J2064" s="168" t="s">
        <v>0</v>
      </c>
      <c r="K2064" s="167">
        <v>0.27083333333333331</v>
      </c>
      <c r="L2064" s="186">
        <v>0.72916666666666663</v>
      </c>
      <c r="M2064" s="11">
        <f t="shared" si="38"/>
        <v>11</v>
      </c>
      <c r="N2064" s="168" t="s">
        <v>1</v>
      </c>
    </row>
    <row r="2065" spans="1:14" x14ac:dyDescent="0.3">
      <c r="A2065" s="136" t="s">
        <v>20</v>
      </c>
      <c r="B2065" s="108">
        <v>46065</v>
      </c>
      <c r="C2065" s="32" t="s">
        <v>1245</v>
      </c>
      <c r="D2065" s="124" t="s">
        <v>44</v>
      </c>
      <c r="E2065" s="202" t="s">
        <v>1319</v>
      </c>
      <c r="F2065" s="204" t="s">
        <v>1330</v>
      </c>
      <c r="G2065" s="167">
        <v>0.35416666666666669</v>
      </c>
      <c r="H2065" s="186">
        <v>0.72916666666666663</v>
      </c>
      <c r="I2065" s="11">
        <v>8.9999999999999982</v>
      </c>
      <c r="J2065" s="168" t="s">
        <v>0</v>
      </c>
      <c r="K2065" s="167">
        <v>0.35416666666666669</v>
      </c>
      <c r="L2065" s="186">
        <v>0.72916666666666663</v>
      </c>
      <c r="M2065" s="11">
        <f t="shared" si="38"/>
        <v>8.9999999999999982</v>
      </c>
      <c r="N2065" s="168" t="s">
        <v>1</v>
      </c>
    </row>
    <row r="2066" spans="1:14" x14ac:dyDescent="0.3">
      <c r="A2066" s="134" t="s">
        <v>20</v>
      </c>
      <c r="B2066" s="108">
        <v>46065</v>
      </c>
      <c r="C2066" s="32" t="s">
        <v>1247</v>
      </c>
      <c r="D2066" s="124" t="s">
        <v>44</v>
      </c>
      <c r="E2066" s="202" t="s">
        <v>1351</v>
      </c>
      <c r="F2066" s="204" t="s">
        <v>229</v>
      </c>
      <c r="G2066" s="167"/>
      <c r="H2066" s="186"/>
      <c r="I2066" s="11"/>
      <c r="J2066" s="168"/>
      <c r="K2066" s="167">
        <v>0.4375</v>
      </c>
      <c r="L2066" s="186">
        <v>0.72916666666666663</v>
      </c>
      <c r="M2066" s="11">
        <f t="shared" si="38"/>
        <v>6.9999999999999991</v>
      </c>
      <c r="N2066" s="168" t="s">
        <v>1</v>
      </c>
    </row>
    <row r="2067" spans="1:14" x14ac:dyDescent="0.3">
      <c r="A2067" s="134" t="s">
        <v>20</v>
      </c>
      <c r="B2067" s="108">
        <v>46065</v>
      </c>
      <c r="C2067" s="32" t="s">
        <v>1247</v>
      </c>
      <c r="D2067" s="124" t="s">
        <v>44</v>
      </c>
      <c r="E2067" s="202" t="s">
        <v>988</v>
      </c>
      <c r="F2067" s="204" t="s">
        <v>1306</v>
      </c>
      <c r="G2067" s="167"/>
      <c r="H2067" s="186"/>
      <c r="I2067" s="11"/>
      <c r="J2067" s="168"/>
      <c r="K2067" s="167">
        <v>0.27083333333333331</v>
      </c>
      <c r="L2067" s="186">
        <v>0.41666666666666669</v>
      </c>
      <c r="M2067" s="11">
        <f t="shared" si="38"/>
        <v>3.5000000000000009</v>
      </c>
      <c r="N2067" s="168" t="s">
        <v>0</v>
      </c>
    </row>
    <row r="2068" spans="1:14" x14ac:dyDescent="0.3">
      <c r="A2068" s="134" t="s">
        <v>20</v>
      </c>
      <c r="B2068" s="108">
        <v>46065</v>
      </c>
      <c r="C2068" s="32" t="s">
        <v>1249</v>
      </c>
      <c r="D2068" s="137" t="s">
        <v>65</v>
      </c>
      <c r="E2068" s="163" t="s">
        <v>1352</v>
      </c>
      <c r="F2068" s="139" t="s">
        <v>1337</v>
      </c>
      <c r="G2068" s="167">
        <v>0.27083333333333331</v>
      </c>
      <c r="H2068" s="182">
        <v>0.45833333333333331</v>
      </c>
      <c r="I2068" s="11">
        <v>4.5</v>
      </c>
      <c r="J2068" s="187" t="s">
        <v>0</v>
      </c>
      <c r="K2068" s="167">
        <v>0.27083333333333331</v>
      </c>
      <c r="L2068" s="182">
        <v>0.64583333333333337</v>
      </c>
      <c r="M2068" s="11">
        <f t="shared" si="38"/>
        <v>9.0000000000000018</v>
      </c>
      <c r="N2068" s="187" t="s">
        <v>1</v>
      </c>
    </row>
    <row r="2069" spans="1:14" x14ac:dyDescent="0.3">
      <c r="A2069" s="134" t="s">
        <v>20</v>
      </c>
      <c r="B2069" s="108">
        <v>46065</v>
      </c>
      <c r="C2069" s="32" t="s">
        <v>1250</v>
      </c>
      <c r="D2069" s="137" t="s">
        <v>1302</v>
      </c>
      <c r="E2069" s="163" t="s">
        <v>1302</v>
      </c>
      <c r="F2069" s="139"/>
      <c r="G2069" s="167">
        <v>0.27083333333333331</v>
      </c>
      <c r="H2069" s="182">
        <v>0.35416666666666669</v>
      </c>
      <c r="I2069" s="11">
        <v>2.0000000000000009</v>
      </c>
      <c r="J2069" s="187" t="s">
        <v>1302</v>
      </c>
      <c r="K2069" s="167">
        <v>0.27083333333333331</v>
      </c>
      <c r="L2069" s="182">
        <v>0.35416666666666669</v>
      </c>
      <c r="M2069" s="11">
        <f t="shared" si="38"/>
        <v>2.0000000000000009</v>
      </c>
      <c r="N2069" s="187" t="s">
        <v>1302</v>
      </c>
    </row>
    <row r="2070" spans="1:14" x14ac:dyDescent="0.3">
      <c r="A2070" s="134" t="s">
        <v>20</v>
      </c>
      <c r="B2070" s="108">
        <v>46065</v>
      </c>
      <c r="C2070" s="32" t="s">
        <v>1248</v>
      </c>
      <c r="D2070" s="137" t="s">
        <v>65</v>
      </c>
      <c r="E2070" s="163" t="s">
        <v>1239</v>
      </c>
      <c r="F2070" s="137" t="s">
        <v>1336</v>
      </c>
      <c r="G2070" s="182">
        <v>0.27083333333333331</v>
      </c>
      <c r="H2070" s="182">
        <v>0.72916666666666663</v>
      </c>
      <c r="I2070" s="11">
        <v>11</v>
      </c>
      <c r="J2070" s="187" t="s">
        <v>0</v>
      </c>
      <c r="K2070" s="182">
        <v>0.27083333333333331</v>
      </c>
      <c r="L2070" s="182">
        <v>0.72916666666666663</v>
      </c>
      <c r="M2070" s="11">
        <f t="shared" si="38"/>
        <v>11</v>
      </c>
      <c r="N2070" s="187" t="s">
        <v>1</v>
      </c>
    </row>
    <row r="2071" spans="1:14" x14ac:dyDescent="0.3">
      <c r="A2071" s="134" t="s">
        <v>20</v>
      </c>
      <c r="B2071" s="108">
        <v>46065</v>
      </c>
      <c r="C2071" s="32" t="s">
        <v>1251</v>
      </c>
      <c r="D2071" s="130" t="s">
        <v>1302</v>
      </c>
      <c r="E2071" s="164" t="s">
        <v>1302</v>
      </c>
      <c r="F2071" s="143" t="s">
        <v>1314</v>
      </c>
      <c r="G2071" s="182">
        <v>0.27083333333333331</v>
      </c>
      <c r="H2071" s="182">
        <v>0.72916666666666663</v>
      </c>
      <c r="I2071" s="11">
        <v>11</v>
      </c>
      <c r="J2071" s="168" t="s">
        <v>1302</v>
      </c>
      <c r="K2071" s="182">
        <v>0.27083333333333331</v>
      </c>
      <c r="L2071" s="182">
        <v>0.72916666666666663</v>
      </c>
      <c r="M2071" s="11">
        <f t="shared" si="38"/>
        <v>11</v>
      </c>
      <c r="N2071" s="168" t="s">
        <v>1302</v>
      </c>
    </row>
    <row r="2072" spans="1:14" x14ac:dyDescent="0.3">
      <c r="A2072" s="124" t="s">
        <v>20</v>
      </c>
      <c r="B2072" s="108">
        <v>46065</v>
      </c>
      <c r="C2072" s="32" t="s">
        <v>1246</v>
      </c>
      <c r="D2072" s="134" t="s">
        <v>65</v>
      </c>
      <c r="E2072" s="162" t="s">
        <v>1148</v>
      </c>
      <c r="F2072" s="134" t="s">
        <v>1353</v>
      </c>
      <c r="G2072" s="182">
        <v>0.27083333333333331</v>
      </c>
      <c r="H2072" s="182">
        <v>0.72916666666666663</v>
      </c>
      <c r="I2072" s="11">
        <v>11</v>
      </c>
      <c r="J2072" s="187" t="s">
        <v>0</v>
      </c>
      <c r="K2072" s="182">
        <v>0.27083333333333331</v>
      </c>
      <c r="L2072" s="182">
        <v>0.375</v>
      </c>
      <c r="M2072" s="11">
        <f t="shared" si="38"/>
        <v>2.5000000000000004</v>
      </c>
      <c r="N2072" s="187" t="s">
        <v>0</v>
      </c>
    </row>
    <row r="2073" spans="1:14" x14ac:dyDescent="0.3">
      <c r="A2073" s="124" t="s">
        <v>20</v>
      </c>
      <c r="B2073" s="108">
        <v>46065</v>
      </c>
      <c r="C2073" s="32" t="s">
        <v>1246</v>
      </c>
      <c r="D2073" s="134" t="s">
        <v>65</v>
      </c>
      <c r="E2073" s="162" t="s">
        <v>1354</v>
      </c>
      <c r="F2073" s="134" t="s">
        <v>1355</v>
      </c>
      <c r="G2073" s="182"/>
      <c r="H2073" s="182"/>
      <c r="I2073" s="11"/>
      <c r="J2073" s="187"/>
      <c r="K2073" s="182">
        <v>0.47916666666666669</v>
      </c>
      <c r="L2073" s="182">
        <v>0.72916666666666663</v>
      </c>
      <c r="M2073" s="11">
        <f t="shared" si="38"/>
        <v>5.9999999999999982</v>
      </c>
      <c r="N2073" s="187" t="s">
        <v>1</v>
      </c>
    </row>
    <row r="2074" spans="1:14" x14ac:dyDescent="0.3">
      <c r="A2074" s="134" t="s">
        <v>20</v>
      </c>
      <c r="B2074" s="108">
        <v>46065</v>
      </c>
      <c r="C2074" s="32" t="s">
        <v>1250</v>
      </c>
      <c r="D2074" s="134" t="s">
        <v>65</v>
      </c>
      <c r="E2074" s="164" t="s">
        <v>1129</v>
      </c>
      <c r="F2074" s="143" t="s">
        <v>1356</v>
      </c>
      <c r="G2074" s="182">
        <v>0.35416666666666669</v>
      </c>
      <c r="H2074" s="186">
        <v>0.64583333333333337</v>
      </c>
      <c r="I2074" s="22">
        <v>7</v>
      </c>
      <c r="J2074" s="168" t="s">
        <v>0</v>
      </c>
      <c r="K2074" s="182">
        <v>0.39583333333333331</v>
      </c>
      <c r="L2074" s="186">
        <v>0.47916666666666669</v>
      </c>
      <c r="M2074" s="22">
        <f t="shared" si="38"/>
        <v>2.0000000000000009</v>
      </c>
      <c r="N2074" s="168" t="s">
        <v>0</v>
      </c>
    </row>
  </sheetData>
  <autoFilter ref="A1:P2074" xr:uid="{00000000-0001-0000-0300-000000000000}">
    <filterColumn colId="1">
      <filters>
        <dateGroupItem year="2026" month="2" day="12" dateTimeGrouping="day"/>
      </filters>
    </filterColumn>
  </autoFilter>
  <dataConsolidate/>
  <mergeCells count="3512">
    <mergeCell ref="D1950:D1951"/>
    <mergeCell ref="E1950:E1951"/>
    <mergeCell ref="F1950:F1951"/>
    <mergeCell ref="D1957:D1958"/>
    <mergeCell ref="E1957:E1958"/>
    <mergeCell ref="F1957:F1958"/>
    <mergeCell ref="H1916:H1917"/>
    <mergeCell ref="I1916:I1917"/>
    <mergeCell ref="H1907:H1908"/>
    <mergeCell ref="G1916:G1917"/>
    <mergeCell ref="G1902:G1903"/>
    <mergeCell ref="H1902:H1903"/>
    <mergeCell ref="G1907:G1908"/>
    <mergeCell ref="G1875:G1876"/>
    <mergeCell ref="H1875:H1876"/>
    <mergeCell ref="G1886:G1887"/>
    <mergeCell ref="H1886:H1887"/>
    <mergeCell ref="I1886:I1887"/>
    <mergeCell ref="G1891:G1892"/>
    <mergeCell ref="H1891:H1892"/>
    <mergeCell ref="G1896:G1897"/>
    <mergeCell ref="H1896:H1897"/>
    <mergeCell ref="G1950:G1951"/>
    <mergeCell ref="H1950:H1951"/>
    <mergeCell ref="G1957:G1958"/>
    <mergeCell ref="H1957:H1958"/>
    <mergeCell ref="I1957:I1958"/>
    <mergeCell ref="I1902:I1903"/>
    <mergeCell ref="I1907:I1908"/>
    <mergeCell ref="G1930:G1931"/>
    <mergeCell ref="H1930:H1931"/>
    <mergeCell ref="G1937:G1938"/>
    <mergeCell ref="I1900:I1901"/>
    <mergeCell ref="D1902:D1903"/>
    <mergeCell ref="E1902:E1903"/>
    <mergeCell ref="F1902:F1903"/>
    <mergeCell ref="D1900:D1901"/>
    <mergeCell ref="E1900:E1901"/>
    <mergeCell ref="F1900:F1901"/>
    <mergeCell ref="D1886:D1887"/>
    <mergeCell ref="E1886:E1887"/>
    <mergeCell ref="F1886:F1887"/>
    <mergeCell ref="H1937:H1938"/>
    <mergeCell ref="G1942:G1943"/>
    <mergeCell ref="H1942:H1943"/>
    <mergeCell ref="I1942:I1943"/>
    <mergeCell ref="G1944:G1945"/>
    <mergeCell ref="H1944:H1945"/>
    <mergeCell ref="D1930:D1931"/>
    <mergeCell ref="E1930:E1931"/>
    <mergeCell ref="F1930:F1931"/>
    <mergeCell ref="D1937:D1938"/>
    <mergeCell ref="E1937:E1938"/>
    <mergeCell ref="F1937:F1938"/>
    <mergeCell ref="D1942:D1943"/>
    <mergeCell ref="E1942:E1943"/>
    <mergeCell ref="F1942:F1943"/>
    <mergeCell ref="D1944:D1945"/>
    <mergeCell ref="E1944:E1945"/>
    <mergeCell ref="F1944:F1945"/>
    <mergeCell ref="D1869:D1870"/>
    <mergeCell ref="E1869:E1870"/>
    <mergeCell ref="F1869:F1870"/>
    <mergeCell ref="D1875:D1876"/>
    <mergeCell ref="E1875:E1876"/>
    <mergeCell ref="F1875:F1876"/>
    <mergeCell ref="D1891:D1892"/>
    <mergeCell ref="E1891:E1892"/>
    <mergeCell ref="F1891:F1892"/>
    <mergeCell ref="D1896:D1897"/>
    <mergeCell ref="E1896:E1897"/>
    <mergeCell ref="F1896:F1897"/>
    <mergeCell ref="G1867:G1868"/>
    <mergeCell ref="H1867:H1868"/>
    <mergeCell ref="E1924:E1925"/>
    <mergeCell ref="D1916:D1917"/>
    <mergeCell ref="E1916:E1917"/>
    <mergeCell ref="F1916:F1917"/>
    <mergeCell ref="D1907:D1908"/>
    <mergeCell ref="E1907:E1908"/>
    <mergeCell ref="F1907:F1908"/>
    <mergeCell ref="G1900:G1901"/>
    <mergeCell ref="H1900:H1901"/>
    <mergeCell ref="I1867:I1868"/>
    <mergeCell ref="G1869:G1870"/>
    <mergeCell ref="H1869:H1870"/>
    <mergeCell ref="G1851:G1852"/>
    <mergeCell ref="H1851:H1852"/>
    <mergeCell ref="I1851:I1852"/>
    <mergeCell ref="N1851:N1852"/>
    <mergeCell ref="D1851:D1852"/>
    <mergeCell ref="E1851:E1852"/>
    <mergeCell ref="F1851:F1852"/>
    <mergeCell ref="D1857:D1858"/>
    <mergeCell ref="E1857:E1858"/>
    <mergeCell ref="F1857:F1858"/>
    <mergeCell ref="D1862:D1863"/>
    <mergeCell ref="E1862:E1863"/>
    <mergeCell ref="F1862:F1863"/>
    <mergeCell ref="I1838:I1839"/>
    <mergeCell ref="N1838:N1839"/>
    <mergeCell ref="D1840:D1841"/>
    <mergeCell ref="E1840:E1841"/>
    <mergeCell ref="F1840:F1841"/>
    <mergeCell ref="G1840:G1841"/>
    <mergeCell ref="H1840:H1841"/>
    <mergeCell ref="I1840:I1841"/>
    <mergeCell ref="N1840:N1841"/>
    <mergeCell ref="G1857:G1858"/>
    <mergeCell ref="H1857:H1858"/>
    <mergeCell ref="G1862:G1863"/>
    <mergeCell ref="H1862:H1863"/>
    <mergeCell ref="D1867:D1868"/>
    <mergeCell ref="E1867:E1868"/>
    <mergeCell ref="F1867:F1868"/>
    <mergeCell ref="G1833:G1834"/>
    <mergeCell ref="H1833:H1834"/>
    <mergeCell ref="I1833:I1834"/>
    <mergeCell ref="N1833:N1834"/>
    <mergeCell ref="D1838:D1839"/>
    <mergeCell ref="E1838:E1839"/>
    <mergeCell ref="F1838:F1839"/>
    <mergeCell ref="G1838:G1839"/>
    <mergeCell ref="H1838:H1839"/>
    <mergeCell ref="D1833:D1834"/>
    <mergeCell ref="E1833:E1834"/>
    <mergeCell ref="F1833:F1834"/>
    <mergeCell ref="N1823:N1824"/>
    <mergeCell ref="D1825:D1826"/>
    <mergeCell ref="E1825:E1826"/>
    <mergeCell ref="F1825:F1826"/>
    <mergeCell ref="G1825:G1826"/>
    <mergeCell ref="H1825:H1826"/>
    <mergeCell ref="N1825:N1826"/>
    <mergeCell ref="I1817:I1818"/>
    <mergeCell ref="N1817:N1818"/>
    <mergeCell ref="D1823:D1824"/>
    <mergeCell ref="E1823:E1824"/>
    <mergeCell ref="F1823:F1824"/>
    <mergeCell ref="G1823:G1824"/>
    <mergeCell ref="H1823:H1824"/>
    <mergeCell ref="G1815:G1816"/>
    <mergeCell ref="H1815:H1816"/>
    <mergeCell ref="I1815:I1816"/>
    <mergeCell ref="N1815:N1816"/>
    <mergeCell ref="D1817:D1818"/>
    <mergeCell ref="E1817:E1818"/>
    <mergeCell ref="F1817:F1818"/>
    <mergeCell ref="G1817:G1818"/>
    <mergeCell ref="H1817:H1818"/>
    <mergeCell ref="D1815:D1816"/>
    <mergeCell ref="E1815:E1816"/>
    <mergeCell ref="F1815:F1816"/>
    <mergeCell ref="I1801:I1802"/>
    <mergeCell ref="N1801:N1802"/>
    <mergeCell ref="D1811:D1812"/>
    <mergeCell ref="E1811:E1812"/>
    <mergeCell ref="F1811:F1812"/>
    <mergeCell ref="G1811:G1812"/>
    <mergeCell ref="H1811:H1812"/>
    <mergeCell ref="I1811:I1812"/>
    <mergeCell ref="N1811:N1812"/>
    <mergeCell ref="I1797:I1798"/>
    <mergeCell ref="N1797:N1798"/>
    <mergeCell ref="D1801:D1802"/>
    <mergeCell ref="E1801:E1802"/>
    <mergeCell ref="F1801:F1802"/>
    <mergeCell ref="G1801:G1802"/>
    <mergeCell ref="H1801:H1802"/>
    <mergeCell ref="N1792:N1793"/>
    <mergeCell ref="D1797:D1798"/>
    <mergeCell ref="E1797:E1798"/>
    <mergeCell ref="F1797:F1798"/>
    <mergeCell ref="G1797:G1798"/>
    <mergeCell ref="H1797:H1798"/>
    <mergeCell ref="G1786:G1787"/>
    <mergeCell ref="H1786:H1787"/>
    <mergeCell ref="I1786:I1787"/>
    <mergeCell ref="N1786:N1787"/>
    <mergeCell ref="D1792:D1793"/>
    <mergeCell ref="E1792:E1793"/>
    <mergeCell ref="F1792:F1793"/>
    <mergeCell ref="G1792:G1793"/>
    <mergeCell ref="H1792:H1793"/>
    <mergeCell ref="G1774:G1775"/>
    <mergeCell ref="H1774:H1775"/>
    <mergeCell ref="N1774:N1775"/>
    <mergeCell ref="D1786:D1787"/>
    <mergeCell ref="E1786:E1787"/>
    <mergeCell ref="F1786:F1787"/>
    <mergeCell ref="D1774:D1775"/>
    <mergeCell ref="E1774:E1775"/>
    <mergeCell ref="F1774:F1775"/>
    <mergeCell ref="G1769:G1770"/>
    <mergeCell ref="H1769:H1770"/>
    <mergeCell ref="I1769:I1770"/>
    <mergeCell ref="N1769:N1770"/>
    <mergeCell ref="D1772:D1773"/>
    <mergeCell ref="E1772:E1773"/>
    <mergeCell ref="F1772:F1773"/>
    <mergeCell ref="G1772:G1773"/>
    <mergeCell ref="H1772:H1773"/>
    <mergeCell ref="N1772:N1773"/>
    <mergeCell ref="H1767:H1768"/>
    <mergeCell ref="I1767:I1768"/>
    <mergeCell ref="N1767:N1768"/>
    <mergeCell ref="D1769:D1770"/>
    <mergeCell ref="E1769:E1770"/>
    <mergeCell ref="F1769:F1770"/>
    <mergeCell ref="I1759:I1760"/>
    <mergeCell ref="N1759:N1760"/>
    <mergeCell ref="D1767:D1768"/>
    <mergeCell ref="E1767:E1768"/>
    <mergeCell ref="F1767:F1768"/>
    <mergeCell ref="G1767:G1768"/>
    <mergeCell ref="N1753:N1754"/>
    <mergeCell ref="D1759:D1760"/>
    <mergeCell ref="E1759:E1760"/>
    <mergeCell ref="F1759:F1760"/>
    <mergeCell ref="G1759:G1760"/>
    <mergeCell ref="H1759:H1760"/>
    <mergeCell ref="G1751:G1752"/>
    <mergeCell ref="H1751:H1752"/>
    <mergeCell ref="I1751:I1752"/>
    <mergeCell ref="N1751:N1752"/>
    <mergeCell ref="E1753:E1754"/>
    <mergeCell ref="F1753:F1754"/>
    <mergeCell ref="G1753:G1754"/>
    <mergeCell ref="H1753:H1754"/>
    <mergeCell ref="I1753:I1754"/>
    <mergeCell ref="G1748:G1749"/>
    <mergeCell ref="H1748:H1749"/>
    <mergeCell ref="I1748:I1749"/>
    <mergeCell ref="N1748:N1749"/>
    <mergeCell ref="D1751:D1752"/>
    <mergeCell ref="E1751:E1752"/>
    <mergeCell ref="F1751:F1752"/>
    <mergeCell ref="H1744:H1745"/>
    <mergeCell ref="I1744:I1745"/>
    <mergeCell ref="N1744:N1745"/>
    <mergeCell ref="D1748:D1749"/>
    <mergeCell ref="E1748:E1749"/>
    <mergeCell ref="F1748:F1749"/>
    <mergeCell ref="I1741:I1742"/>
    <mergeCell ref="N1741:N1742"/>
    <mergeCell ref="D1744:D1745"/>
    <mergeCell ref="E1744:E1745"/>
    <mergeCell ref="F1744:F1745"/>
    <mergeCell ref="G1744:G1745"/>
    <mergeCell ref="G1739:G1740"/>
    <mergeCell ref="H1739:H1740"/>
    <mergeCell ref="I1739:I1740"/>
    <mergeCell ref="N1739:N1740"/>
    <mergeCell ref="D1741:D1742"/>
    <mergeCell ref="E1741:E1742"/>
    <mergeCell ref="F1741:F1742"/>
    <mergeCell ref="G1741:G1742"/>
    <mergeCell ref="H1741:H1742"/>
    <mergeCell ref="D1739:D1740"/>
    <mergeCell ref="E1739:E1740"/>
    <mergeCell ref="F1739:F1740"/>
    <mergeCell ref="I1725:I1726"/>
    <mergeCell ref="N1725:N1726"/>
    <mergeCell ref="D1733:D1734"/>
    <mergeCell ref="E1733:E1734"/>
    <mergeCell ref="F1733:F1734"/>
    <mergeCell ref="G1733:G1734"/>
    <mergeCell ref="H1733:H1734"/>
    <mergeCell ref="I1733:I1734"/>
    <mergeCell ref="N1733:N1734"/>
    <mergeCell ref="N1720:N1721"/>
    <mergeCell ref="D1725:D1726"/>
    <mergeCell ref="E1725:E1726"/>
    <mergeCell ref="F1725:F1726"/>
    <mergeCell ref="G1725:G1726"/>
    <mergeCell ref="H1725:H1726"/>
    <mergeCell ref="G1715:G1716"/>
    <mergeCell ref="H1715:H1716"/>
    <mergeCell ref="I1715:I1716"/>
    <mergeCell ref="N1715:N1716"/>
    <mergeCell ref="D1720:D1721"/>
    <mergeCell ref="E1720:E1721"/>
    <mergeCell ref="F1720:F1721"/>
    <mergeCell ref="G1720:G1721"/>
    <mergeCell ref="H1720:H1721"/>
    <mergeCell ref="I1720:I1721"/>
    <mergeCell ref="D1715:D1716"/>
    <mergeCell ref="E1715:E1716"/>
    <mergeCell ref="F1715:F1716"/>
    <mergeCell ref="G1711:G1712"/>
    <mergeCell ref="H1711:H1712"/>
    <mergeCell ref="I1711:I1712"/>
    <mergeCell ref="N1711:N1712"/>
    <mergeCell ref="G1704:G1705"/>
    <mergeCell ref="H1704:H1705"/>
    <mergeCell ref="I1704:I1705"/>
    <mergeCell ref="N1704:N1705"/>
    <mergeCell ref="D1711:D1712"/>
    <mergeCell ref="E1711:E1712"/>
    <mergeCell ref="F1711:F1712"/>
    <mergeCell ref="D1704:D1705"/>
    <mergeCell ref="E1704:E1705"/>
    <mergeCell ref="F1704:F1705"/>
    <mergeCell ref="G1702:G1703"/>
    <mergeCell ref="H1702:H1703"/>
    <mergeCell ref="I1702:I1703"/>
    <mergeCell ref="N1702:N1703"/>
    <mergeCell ref="G1698:G1699"/>
    <mergeCell ref="H1698:H1699"/>
    <mergeCell ref="I1698:I1699"/>
    <mergeCell ref="N1698:N1699"/>
    <mergeCell ref="D1702:D1703"/>
    <mergeCell ref="E1702:E1703"/>
    <mergeCell ref="F1702:F1703"/>
    <mergeCell ref="D1698:D1699"/>
    <mergeCell ref="E1698:E1699"/>
    <mergeCell ref="F1698:F1699"/>
    <mergeCell ref="D1695:D1696"/>
    <mergeCell ref="E1695:E1696"/>
    <mergeCell ref="F1695:F1696"/>
    <mergeCell ref="G1695:G1696"/>
    <mergeCell ref="H1695:H1696"/>
    <mergeCell ref="N1695:N1696"/>
    <mergeCell ref="G1693:G1694"/>
    <mergeCell ref="H1693:H1694"/>
    <mergeCell ref="I1693:I1694"/>
    <mergeCell ref="N1693:N1694"/>
    <mergeCell ref="G1691:G1692"/>
    <mergeCell ref="H1691:H1692"/>
    <mergeCell ref="I1691:I1692"/>
    <mergeCell ref="N1691:N1692"/>
    <mergeCell ref="D1693:D1694"/>
    <mergeCell ref="E1693:E1694"/>
    <mergeCell ref="F1693:F1694"/>
    <mergeCell ref="D1691:D1692"/>
    <mergeCell ref="E1691:E1692"/>
    <mergeCell ref="F1691:F1692"/>
    <mergeCell ref="D1686:D1687"/>
    <mergeCell ref="E1686:E1687"/>
    <mergeCell ref="F1686:F1687"/>
    <mergeCell ref="G1686:G1687"/>
    <mergeCell ref="H1686:H1687"/>
    <mergeCell ref="I1686:I1687"/>
    <mergeCell ref="G1682:G1683"/>
    <mergeCell ref="H1682:H1683"/>
    <mergeCell ref="I1682:I1683"/>
    <mergeCell ref="N1682:N1683"/>
    <mergeCell ref="N1686:N1687"/>
    <mergeCell ref="D1682:D1683"/>
    <mergeCell ref="E1682:E1683"/>
    <mergeCell ref="F1682:F1683"/>
    <mergeCell ref="G1676:G1677"/>
    <mergeCell ref="H1676:H1677"/>
    <mergeCell ref="I1676:I1677"/>
    <mergeCell ref="N1676:N1677"/>
    <mergeCell ref="G1673:G1674"/>
    <mergeCell ref="H1673:H1674"/>
    <mergeCell ref="I1673:I1674"/>
    <mergeCell ref="N1673:N1674"/>
    <mergeCell ref="D1676:D1677"/>
    <mergeCell ref="E1676:E1677"/>
    <mergeCell ref="F1676:F1677"/>
    <mergeCell ref="D1673:D1674"/>
    <mergeCell ref="E1673:E1674"/>
    <mergeCell ref="F1673:F1674"/>
    <mergeCell ref="G1669:G1670"/>
    <mergeCell ref="H1669:H1670"/>
    <mergeCell ref="I1669:I1670"/>
    <mergeCell ref="N1669:N1670"/>
    <mergeCell ref="G1664:G1665"/>
    <mergeCell ref="H1664:H1665"/>
    <mergeCell ref="I1664:I1665"/>
    <mergeCell ref="N1664:N1665"/>
    <mergeCell ref="D1669:D1670"/>
    <mergeCell ref="E1669:E1670"/>
    <mergeCell ref="F1669:F1670"/>
    <mergeCell ref="D1664:D1665"/>
    <mergeCell ref="E1664:E1665"/>
    <mergeCell ref="F1664:F1665"/>
    <mergeCell ref="G1660:G1661"/>
    <mergeCell ref="H1660:H1661"/>
    <mergeCell ref="I1660:I1661"/>
    <mergeCell ref="N1660:N1661"/>
    <mergeCell ref="G1658:G1659"/>
    <mergeCell ref="H1658:H1659"/>
    <mergeCell ref="I1658:I1659"/>
    <mergeCell ref="N1658:N1659"/>
    <mergeCell ref="D1660:D1661"/>
    <mergeCell ref="E1660:E1661"/>
    <mergeCell ref="F1660:F1661"/>
    <mergeCell ref="D1658:D1659"/>
    <mergeCell ref="E1658:E1659"/>
    <mergeCell ref="F1658:F1659"/>
    <mergeCell ref="G1651:G1652"/>
    <mergeCell ref="H1651:H1652"/>
    <mergeCell ref="I1651:I1652"/>
    <mergeCell ref="N1651:N1652"/>
    <mergeCell ref="G1646:G1648"/>
    <mergeCell ref="H1646:H1648"/>
    <mergeCell ref="I1646:I1648"/>
    <mergeCell ref="N1646:N1648"/>
    <mergeCell ref="D1651:D1652"/>
    <mergeCell ref="E1651:E1652"/>
    <mergeCell ref="F1651:F1652"/>
    <mergeCell ref="G1644:G1645"/>
    <mergeCell ref="H1644:H1645"/>
    <mergeCell ref="I1644:I1645"/>
    <mergeCell ref="N1644:N1645"/>
    <mergeCell ref="D1646:D1648"/>
    <mergeCell ref="E1646:E1648"/>
    <mergeCell ref="F1646:F1648"/>
    <mergeCell ref="G1638:G1639"/>
    <mergeCell ref="H1638:H1639"/>
    <mergeCell ref="I1638:I1639"/>
    <mergeCell ref="N1638:N1639"/>
    <mergeCell ref="D1644:D1645"/>
    <mergeCell ref="E1644:E1645"/>
    <mergeCell ref="F1644:F1645"/>
    <mergeCell ref="H1635:H1636"/>
    <mergeCell ref="I1635:I1636"/>
    <mergeCell ref="N1635:N1636"/>
    <mergeCell ref="D1638:D1639"/>
    <mergeCell ref="E1638:E1639"/>
    <mergeCell ref="F1638:F1639"/>
    <mergeCell ref="I1631:I1632"/>
    <mergeCell ref="N1631:N1632"/>
    <mergeCell ref="D1635:D1636"/>
    <mergeCell ref="E1635:E1636"/>
    <mergeCell ref="F1635:F1636"/>
    <mergeCell ref="G1635:G1636"/>
    <mergeCell ref="G1626:G1627"/>
    <mergeCell ref="H1626:H1627"/>
    <mergeCell ref="I1626:I1627"/>
    <mergeCell ref="N1626:N1627"/>
    <mergeCell ref="D1631:D1632"/>
    <mergeCell ref="E1631:E1632"/>
    <mergeCell ref="F1631:F1632"/>
    <mergeCell ref="G1631:G1632"/>
    <mergeCell ref="H1631:H1632"/>
    <mergeCell ref="G1623:G1624"/>
    <mergeCell ref="H1623:H1624"/>
    <mergeCell ref="I1623:I1624"/>
    <mergeCell ref="N1623:N1624"/>
    <mergeCell ref="D1626:D1627"/>
    <mergeCell ref="E1626:E1627"/>
    <mergeCell ref="F1626:F1627"/>
    <mergeCell ref="H1621:H1622"/>
    <mergeCell ref="I1621:I1622"/>
    <mergeCell ref="N1621:N1622"/>
    <mergeCell ref="D1623:D1624"/>
    <mergeCell ref="E1623:E1624"/>
    <mergeCell ref="F1623:F1624"/>
    <mergeCell ref="I1614:I1615"/>
    <mergeCell ref="N1614:N1615"/>
    <mergeCell ref="D1621:D1622"/>
    <mergeCell ref="E1621:E1622"/>
    <mergeCell ref="F1621:F1622"/>
    <mergeCell ref="G1621:G1622"/>
    <mergeCell ref="N1610:N1611"/>
    <mergeCell ref="D1614:D1615"/>
    <mergeCell ref="E1614:E1615"/>
    <mergeCell ref="F1614:F1615"/>
    <mergeCell ref="G1614:G1615"/>
    <mergeCell ref="H1614:H1615"/>
    <mergeCell ref="G1608:G1609"/>
    <mergeCell ref="H1608:H1609"/>
    <mergeCell ref="I1608:I1609"/>
    <mergeCell ref="N1608:N1609"/>
    <mergeCell ref="D1610:D1611"/>
    <mergeCell ref="E1610:E1611"/>
    <mergeCell ref="F1610:F1611"/>
    <mergeCell ref="G1610:G1611"/>
    <mergeCell ref="H1610:H1611"/>
    <mergeCell ref="D1608:D1609"/>
    <mergeCell ref="E1608:E1609"/>
    <mergeCell ref="F1608:F1609"/>
    <mergeCell ref="G1603:G1604"/>
    <mergeCell ref="H1603:H1604"/>
    <mergeCell ref="I1603:I1604"/>
    <mergeCell ref="N1603:N1604"/>
    <mergeCell ref="G1601:G1602"/>
    <mergeCell ref="H1601:H1602"/>
    <mergeCell ref="I1601:I1602"/>
    <mergeCell ref="N1601:N1602"/>
    <mergeCell ref="D1603:D1604"/>
    <mergeCell ref="E1603:E1604"/>
    <mergeCell ref="F1603:F1604"/>
    <mergeCell ref="G1599:G1600"/>
    <mergeCell ref="H1599:H1600"/>
    <mergeCell ref="I1599:I1600"/>
    <mergeCell ref="N1599:N1600"/>
    <mergeCell ref="D1601:D1602"/>
    <mergeCell ref="E1601:E1602"/>
    <mergeCell ref="F1601:F1602"/>
    <mergeCell ref="H1590:H1591"/>
    <mergeCell ref="I1590:I1591"/>
    <mergeCell ref="N1590:N1591"/>
    <mergeCell ref="D1599:D1600"/>
    <mergeCell ref="E1599:E1600"/>
    <mergeCell ref="F1599:F1600"/>
    <mergeCell ref="I1585:I1586"/>
    <mergeCell ref="N1585:N1586"/>
    <mergeCell ref="D1590:D1591"/>
    <mergeCell ref="E1590:E1591"/>
    <mergeCell ref="F1590:F1591"/>
    <mergeCell ref="G1590:G1591"/>
    <mergeCell ref="G1578:G1579"/>
    <mergeCell ref="H1578:H1579"/>
    <mergeCell ref="I1578:I1579"/>
    <mergeCell ref="N1578:N1579"/>
    <mergeCell ref="D1585:D1586"/>
    <mergeCell ref="E1585:E1586"/>
    <mergeCell ref="F1585:F1586"/>
    <mergeCell ref="G1585:G1586"/>
    <mergeCell ref="H1585:H1586"/>
    <mergeCell ref="D1578:D1579"/>
    <mergeCell ref="E1578:E1579"/>
    <mergeCell ref="F1578:F1579"/>
    <mergeCell ref="G1574:G1575"/>
    <mergeCell ref="H1574:H1575"/>
    <mergeCell ref="I1574:I1575"/>
    <mergeCell ref="N1574:N1575"/>
    <mergeCell ref="G1569:G1570"/>
    <mergeCell ref="H1569:H1570"/>
    <mergeCell ref="I1569:I1570"/>
    <mergeCell ref="N1569:N1570"/>
    <mergeCell ref="D1574:D1575"/>
    <mergeCell ref="E1574:E1575"/>
    <mergeCell ref="F1574:F1575"/>
    <mergeCell ref="D1569:D1570"/>
    <mergeCell ref="E1569:E1570"/>
    <mergeCell ref="F1569:F1570"/>
    <mergeCell ref="G1567:G1568"/>
    <mergeCell ref="H1567:H1568"/>
    <mergeCell ref="I1567:I1568"/>
    <mergeCell ref="N1567:N1568"/>
    <mergeCell ref="G1565:G1566"/>
    <mergeCell ref="H1565:H1566"/>
    <mergeCell ref="I1565:I1566"/>
    <mergeCell ref="N1565:N1566"/>
    <mergeCell ref="D1567:D1568"/>
    <mergeCell ref="E1567:E1568"/>
    <mergeCell ref="F1567:F1568"/>
    <mergeCell ref="D1565:D1566"/>
    <mergeCell ref="E1565:E1566"/>
    <mergeCell ref="F1565:F1566"/>
    <mergeCell ref="G1557:G1558"/>
    <mergeCell ref="H1557:H1558"/>
    <mergeCell ref="I1557:I1558"/>
    <mergeCell ref="N1557:N1558"/>
    <mergeCell ref="G1554:G1555"/>
    <mergeCell ref="H1554:H1555"/>
    <mergeCell ref="I1554:I1555"/>
    <mergeCell ref="N1554:N1555"/>
    <mergeCell ref="D1557:D1558"/>
    <mergeCell ref="E1557:E1558"/>
    <mergeCell ref="F1557:F1558"/>
    <mergeCell ref="D1554:D1555"/>
    <mergeCell ref="E1554:E1555"/>
    <mergeCell ref="F1554:F1555"/>
    <mergeCell ref="D1548:D1549"/>
    <mergeCell ref="E1548:E1549"/>
    <mergeCell ref="F1548:F1549"/>
    <mergeCell ref="G1548:G1549"/>
    <mergeCell ref="H1548:H1549"/>
    <mergeCell ref="I1548:I1549"/>
    <mergeCell ref="H1544:H1545"/>
    <mergeCell ref="I1544:I1545"/>
    <mergeCell ref="N1544:N1545"/>
    <mergeCell ref="N1548:N1549"/>
    <mergeCell ref="I1539:I1540"/>
    <mergeCell ref="N1539:N1540"/>
    <mergeCell ref="D1544:D1545"/>
    <mergeCell ref="E1544:E1545"/>
    <mergeCell ref="F1544:F1545"/>
    <mergeCell ref="G1544:G1545"/>
    <mergeCell ref="N1537:N1538"/>
    <mergeCell ref="D1539:D1540"/>
    <mergeCell ref="E1539:E1540"/>
    <mergeCell ref="F1539:F1540"/>
    <mergeCell ref="G1539:G1540"/>
    <mergeCell ref="H1539:H1540"/>
    <mergeCell ref="D1537:D1538"/>
    <mergeCell ref="E1537:E1538"/>
    <mergeCell ref="F1537:F1538"/>
    <mergeCell ref="G1537:G1538"/>
    <mergeCell ref="H1537:H1538"/>
    <mergeCell ref="I1537:I1538"/>
    <mergeCell ref="G1535:G1536"/>
    <mergeCell ref="H1535:H1536"/>
    <mergeCell ref="I1535:I1536"/>
    <mergeCell ref="N1535:N1536"/>
    <mergeCell ref="G1527:G1528"/>
    <mergeCell ref="H1527:H1528"/>
    <mergeCell ref="I1527:I1528"/>
    <mergeCell ref="N1527:N1528"/>
    <mergeCell ref="D1535:D1536"/>
    <mergeCell ref="E1535:E1536"/>
    <mergeCell ref="F1535:F1536"/>
    <mergeCell ref="D1527:D1528"/>
    <mergeCell ref="E1527:E1528"/>
    <mergeCell ref="F1527:F1528"/>
    <mergeCell ref="H1516:H1517"/>
    <mergeCell ref="I1516:I1517"/>
    <mergeCell ref="N1516:N1517"/>
    <mergeCell ref="D1523:D1524"/>
    <mergeCell ref="E1523:E1524"/>
    <mergeCell ref="F1523:F1524"/>
    <mergeCell ref="G1523:G1524"/>
    <mergeCell ref="H1523:H1524"/>
    <mergeCell ref="I1523:I1524"/>
    <mergeCell ref="N1523:N1524"/>
    <mergeCell ref="I1513:I1514"/>
    <mergeCell ref="N1513:N1514"/>
    <mergeCell ref="D1516:D1517"/>
    <mergeCell ref="E1516:E1517"/>
    <mergeCell ref="F1516:F1517"/>
    <mergeCell ref="G1516:G1517"/>
    <mergeCell ref="G1510:G1511"/>
    <mergeCell ref="H1510:H1511"/>
    <mergeCell ref="I1510:I1511"/>
    <mergeCell ref="N1510:N1511"/>
    <mergeCell ref="D1513:D1514"/>
    <mergeCell ref="E1513:E1514"/>
    <mergeCell ref="F1513:F1514"/>
    <mergeCell ref="G1513:G1514"/>
    <mergeCell ref="H1513:H1514"/>
    <mergeCell ref="G1505:G1506"/>
    <mergeCell ref="H1505:H1506"/>
    <mergeCell ref="I1505:I1506"/>
    <mergeCell ref="N1505:N1506"/>
    <mergeCell ref="D1510:D1511"/>
    <mergeCell ref="E1510:E1511"/>
    <mergeCell ref="F1510:F1511"/>
    <mergeCell ref="H1503:H1504"/>
    <mergeCell ref="I1503:I1504"/>
    <mergeCell ref="N1503:N1504"/>
    <mergeCell ref="D1505:D1506"/>
    <mergeCell ref="E1505:E1506"/>
    <mergeCell ref="F1505:F1506"/>
    <mergeCell ref="I1500:I1501"/>
    <mergeCell ref="N1500:N1501"/>
    <mergeCell ref="D1503:D1504"/>
    <mergeCell ref="E1503:E1504"/>
    <mergeCell ref="F1503:F1504"/>
    <mergeCell ref="G1503:G1504"/>
    <mergeCell ref="N1495:N1496"/>
    <mergeCell ref="D1500:D1501"/>
    <mergeCell ref="E1500:E1501"/>
    <mergeCell ref="F1500:F1501"/>
    <mergeCell ref="G1500:G1501"/>
    <mergeCell ref="H1500:H1501"/>
    <mergeCell ref="G1493:G1494"/>
    <mergeCell ref="H1493:H1494"/>
    <mergeCell ref="I1493:I1494"/>
    <mergeCell ref="N1493:N1494"/>
    <mergeCell ref="D1495:D1496"/>
    <mergeCell ref="E1495:E1496"/>
    <mergeCell ref="F1495:F1496"/>
    <mergeCell ref="G1495:G1496"/>
    <mergeCell ref="H1495:H1496"/>
    <mergeCell ref="I1495:I1496"/>
    <mergeCell ref="H1484:H1485"/>
    <mergeCell ref="I1484:I1485"/>
    <mergeCell ref="N1484:N1485"/>
    <mergeCell ref="D1493:D1494"/>
    <mergeCell ref="E1493:E1494"/>
    <mergeCell ref="F1493:F1494"/>
    <mergeCell ref="I1478:I1479"/>
    <mergeCell ref="N1478:N1479"/>
    <mergeCell ref="D1484:D1485"/>
    <mergeCell ref="E1484:E1485"/>
    <mergeCell ref="F1484:F1485"/>
    <mergeCell ref="G1484:G1485"/>
    <mergeCell ref="D1478:D1479"/>
    <mergeCell ref="E1478:E1479"/>
    <mergeCell ref="F1478:F1479"/>
    <mergeCell ref="G1478:G1479"/>
    <mergeCell ref="H1478:H1479"/>
    <mergeCell ref="G1473:G1474"/>
    <mergeCell ref="H1473:H1474"/>
    <mergeCell ref="I1473:I1474"/>
    <mergeCell ref="N1473:N1474"/>
    <mergeCell ref="G1471:G1472"/>
    <mergeCell ref="H1471:H1472"/>
    <mergeCell ref="I1471:I1472"/>
    <mergeCell ref="N1471:N1472"/>
    <mergeCell ref="D1473:D1474"/>
    <mergeCell ref="E1473:E1474"/>
    <mergeCell ref="F1473:F1474"/>
    <mergeCell ref="D1471:D1472"/>
    <mergeCell ref="E1471:E1472"/>
    <mergeCell ref="F1471:F1472"/>
    <mergeCell ref="G1468:G1469"/>
    <mergeCell ref="H1468:H1469"/>
    <mergeCell ref="I1468:I1469"/>
    <mergeCell ref="N1468:N1469"/>
    <mergeCell ref="N1462:N1463"/>
    <mergeCell ref="D1468:D1469"/>
    <mergeCell ref="E1468:E1469"/>
    <mergeCell ref="F1468:F1469"/>
    <mergeCell ref="N1453:N1454"/>
    <mergeCell ref="D1462:D1463"/>
    <mergeCell ref="E1462:E1463"/>
    <mergeCell ref="F1462:F1463"/>
    <mergeCell ref="G1462:G1463"/>
    <mergeCell ref="H1462:H1463"/>
    <mergeCell ref="I1462:I1463"/>
    <mergeCell ref="D1453:D1454"/>
    <mergeCell ref="E1453:E1454"/>
    <mergeCell ref="F1453:F1454"/>
    <mergeCell ref="G1453:G1454"/>
    <mergeCell ref="H1453:H1454"/>
    <mergeCell ref="I1453:I1454"/>
    <mergeCell ref="G1443:G1444"/>
    <mergeCell ref="H1443:H1444"/>
    <mergeCell ref="I1443:I1444"/>
    <mergeCell ref="N1443:N1444"/>
    <mergeCell ref="I1449:I1450"/>
    <mergeCell ref="D1443:D1444"/>
    <mergeCell ref="E1443:E1444"/>
    <mergeCell ref="F1443:F1444"/>
    <mergeCell ref="G1441:G1442"/>
    <mergeCell ref="H1441:H1442"/>
    <mergeCell ref="I1441:I1442"/>
    <mergeCell ref="N1441:N1442"/>
    <mergeCell ref="G1439:G1440"/>
    <mergeCell ref="H1439:H1440"/>
    <mergeCell ref="I1439:I1440"/>
    <mergeCell ref="N1439:N1440"/>
    <mergeCell ref="D1441:D1442"/>
    <mergeCell ref="E1441:E1442"/>
    <mergeCell ref="F1441:F1442"/>
    <mergeCell ref="G1437:G1438"/>
    <mergeCell ref="H1437:H1438"/>
    <mergeCell ref="I1437:I1438"/>
    <mergeCell ref="N1437:N1438"/>
    <mergeCell ref="D1439:D1440"/>
    <mergeCell ref="E1439:E1440"/>
    <mergeCell ref="F1439:F1440"/>
    <mergeCell ref="H1433:H1434"/>
    <mergeCell ref="I1433:I1434"/>
    <mergeCell ref="N1433:N1434"/>
    <mergeCell ref="D1437:D1438"/>
    <mergeCell ref="E1437:E1438"/>
    <mergeCell ref="F1437:F1438"/>
    <mergeCell ref="I1431:I1432"/>
    <mergeCell ref="N1431:N1432"/>
    <mergeCell ref="D1433:D1434"/>
    <mergeCell ref="E1433:E1434"/>
    <mergeCell ref="F1433:F1434"/>
    <mergeCell ref="G1433:G1434"/>
    <mergeCell ref="N1428:N1429"/>
    <mergeCell ref="D1431:D1432"/>
    <mergeCell ref="E1431:E1432"/>
    <mergeCell ref="F1431:F1432"/>
    <mergeCell ref="G1431:G1432"/>
    <mergeCell ref="H1431:H1432"/>
    <mergeCell ref="D1428:D1429"/>
    <mergeCell ref="E1428:E1429"/>
    <mergeCell ref="F1428:F1429"/>
    <mergeCell ref="G1428:G1429"/>
    <mergeCell ref="H1428:H1429"/>
    <mergeCell ref="I1428:I1429"/>
    <mergeCell ref="D1426:D1427"/>
    <mergeCell ref="E1426:E1427"/>
    <mergeCell ref="F1426:F1427"/>
    <mergeCell ref="G1426:G1427"/>
    <mergeCell ref="H1426:H1427"/>
    <mergeCell ref="N1426:N1427"/>
    <mergeCell ref="G1422:G1423"/>
    <mergeCell ref="H1422:H1423"/>
    <mergeCell ref="N1422:N1423"/>
    <mergeCell ref="D1424:D1425"/>
    <mergeCell ref="E1424:E1425"/>
    <mergeCell ref="F1424:F1425"/>
    <mergeCell ref="G1424:G1425"/>
    <mergeCell ref="H1424:H1425"/>
    <mergeCell ref="N1424:N1425"/>
    <mergeCell ref="D1422:D1423"/>
    <mergeCell ref="E1422:E1423"/>
    <mergeCell ref="F1422:F1423"/>
    <mergeCell ref="G1413:G1414"/>
    <mergeCell ref="H1413:H1414"/>
    <mergeCell ref="I1413:I1414"/>
    <mergeCell ref="N1413:N1414"/>
    <mergeCell ref="G1407:G1408"/>
    <mergeCell ref="H1407:H1408"/>
    <mergeCell ref="I1407:I1408"/>
    <mergeCell ref="N1407:N1408"/>
    <mergeCell ref="D1413:D1414"/>
    <mergeCell ref="E1413:E1414"/>
    <mergeCell ref="F1413:F1414"/>
    <mergeCell ref="D1407:D1408"/>
    <mergeCell ref="E1407:E1408"/>
    <mergeCell ref="F1407:F1408"/>
    <mergeCell ref="G1405:G1406"/>
    <mergeCell ref="H1405:H1406"/>
    <mergeCell ref="I1405:I1406"/>
    <mergeCell ref="N1405:N1406"/>
    <mergeCell ref="G1403:G1404"/>
    <mergeCell ref="H1403:H1404"/>
    <mergeCell ref="I1403:I1404"/>
    <mergeCell ref="N1403:N1404"/>
    <mergeCell ref="D1405:D1406"/>
    <mergeCell ref="E1405:E1406"/>
    <mergeCell ref="F1405:F1406"/>
    <mergeCell ref="D1403:D1404"/>
    <mergeCell ref="E1403:E1404"/>
    <mergeCell ref="F1403:F1404"/>
    <mergeCell ref="G1401:G1402"/>
    <mergeCell ref="H1401:H1402"/>
    <mergeCell ref="I1401:I1402"/>
    <mergeCell ref="N1401:N1402"/>
    <mergeCell ref="G1397:G1398"/>
    <mergeCell ref="H1397:H1398"/>
    <mergeCell ref="I1397:I1398"/>
    <mergeCell ref="N1397:N1398"/>
    <mergeCell ref="D1401:D1402"/>
    <mergeCell ref="E1401:E1402"/>
    <mergeCell ref="F1401:F1402"/>
    <mergeCell ref="G1395:G1396"/>
    <mergeCell ref="H1395:H1396"/>
    <mergeCell ref="I1395:I1396"/>
    <mergeCell ref="N1395:N1396"/>
    <mergeCell ref="D1397:D1398"/>
    <mergeCell ref="E1397:E1398"/>
    <mergeCell ref="F1397:F1398"/>
    <mergeCell ref="D1395:D1396"/>
    <mergeCell ref="E1395:E1396"/>
    <mergeCell ref="F1395:F1396"/>
    <mergeCell ref="G1387:G1389"/>
    <mergeCell ref="H1387:H1389"/>
    <mergeCell ref="I1387:I1389"/>
    <mergeCell ref="N1387:N1389"/>
    <mergeCell ref="G1384:G1385"/>
    <mergeCell ref="H1384:H1385"/>
    <mergeCell ref="I1384:I1385"/>
    <mergeCell ref="N1384:N1385"/>
    <mergeCell ref="D1387:D1389"/>
    <mergeCell ref="E1387:E1389"/>
    <mergeCell ref="F1387:F1389"/>
    <mergeCell ref="D1384:D1385"/>
    <mergeCell ref="E1384:E1385"/>
    <mergeCell ref="F1384:F1385"/>
    <mergeCell ref="G1381:G1382"/>
    <mergeCell ref="H1381:H1382"/>
    <mergeCell ref="I1381:I1382"/>
    <mergeCell ref="N1381:N1382"/>
    <mergeCell ref="G1378:G1379"/>
    <mergeCell ref="H1378:H1379"/>
    <mergeCell ref="I1378:I1379"/>
    <mergeCell ref="N1378:N1379"/>
    <mergeCell ref="D1381:D1382"/>
    <mergeCell ref="E1381:E1382"/>
    <mergeCell ref="F1381:F1382"/>
    <mergeCell ref="G1373:G1374"/>
    <mergeCell ref="H1373:H1374"/>
    <mergeCell ref="I1373:I1374"/>
    <mergeCell ref="N1373:N1374"/>
    <mergeCell ref="D1378:D1379"/>
    <mergeCell ref="E1378:E1379"/>
    <mergeCell ref="F1378:F1379"/>
    <mergeCell ref="D1373:D1374"/>
    <mergeCell ref="E1373:E1374"/>
    <mergeCell ref="F1373:F1374"/>
    <mergeCell ref="G1371:G1372"/>
    <mergeCell ref="H1371:H1372"/>
    <mergeCell ref="I1371:I1372"/>
    <mergeCell ref="N1371:N1372"/>
    <mergeCell ref="G1369:G1370"/>
    <mergeCell ref="H1369:H1370"/>
    <mergeCell ref="I1369:I1370"/>
    <mergeCell ref="N1369:N1370"/>
    <mergeCell ref="D1371:D1372"/>
    <mergeCell ref="E1371:E1372"/>
    <mergeCell ref="F1371:F1372"/>
    <mergeCell ref="G1367:G1368"/>
    <mergeCell ref="H1367:H1368"/>
    <mergeCell ref="I1367:I1368"/>
    <mergeCell ref="N1367:N1368"/>
    <mergeCell ref="D1369:D1370"/>
    <mergeCell ref="E1369:E1370"/>
    <mergeCell ref="F1369:F1370"/>
    <mergeCell ref="H1364:H1365"/>
    <mergeCell ref="I1364:I1365"/>
    <mergeCell ref="N1364:N1365"/>
    <mergeCell ref="D1367:D1368"/>
    <mergeCell ref="E1367:E1368"/>
    <mergeCell ref="F1367:F1368"/>
    <mergeCell ref="I1362:I1363"/>
    <mergeCell ref="N1362:N1363"/>
    <mergeCell ref="D1364:D1365"/>
    <mergeCell ref="E1364:E1365"/>
    <mergeCell ref="F1364:F1365"/>
    <mergeCell ref="G1364:G1365"/>
    <mergeCell ref="G1360:G1361"/>
    <mergeCell ref="H1360:H1361"/>
    <mergeCell ref="I1360:I1361"/>
    <mergeCell ref="N1360:N1361"/>
    <mergeCell ref="D1362:D1363"/>
    <mergeCell ref="E1362:E1363"/>
    <mergeCell ref="F1362:F1363"/>
    <mergeCell ref="G1362:G1363"/>
    <mergeCell ref="H1362:H1363"/>
    <mergeCell ref="D1360:D1361"/>
    <mergeCell ref="E1360:E1361"/>
    <mergeCell ref="F1360:F1361"/>
    <mergeCell ref="N1354:N1356"/>
    <mergeCell ref="D1358:D1359"/>
    <mergeCell ref="E1358:E1359"/>
    <mergeCell ref="F1358:F1359"/>
    <mergeCell ref="G1358:G1359"/>
    <mergeCell ref="H1358:H1359"/>
    <mergeCell ref="N1358:N1359"/>
    <mergeCell ref="D1354:D1356"/>
    <mergeCell ref="E1354:E1356"/>
    <mergeCell ref="F1354:F1356"/>
    <mergeCell ref="G1354:G1356"/>
    <mergeCell ref="H1354:H1356"/>
    <mergeCell ref="I1354:I1356"/>
    <mergeCell ref="G1351:G1352"/>
    <mergeCell ref="H1351:H1352"/>
    <mergeCell ref="I1351:I1352"/>
    <mergeCell ref="N1351:N1352"/>
    <mergeCell ref="G1348:G1349"/>
    <mergeCell ref="H1348:H1349"/>
    <mergeCell ref="I1348:I1349"/>
    <mergeCell ref="N1348:N1349"/>
    <mergeCell ref="D1351:D1352"/>
    <mergeCell ref="E1351:E1352"/>
    <mergeCell ref="F1351:F1352"/>
    <mergeCell ref="G1345:G1346"/>
    <mergeCell ref="H1345:H1346"/>
    <mergeCell ref="N1345:N1346"/>
    <mergeCell ref="D1348:D1349"/>
    <mergeCell ref="E1348:E1349"/>
    <mergeCell ref="F1348:F1349"/>
    <mergeCell ref="G1339:G1340"/>
    <mergeCell ref="H1339:H1340"/>
    <mergeCell ref="I1339:I1340"/>
    <mergeCell ref="N1339:N1340"/>
    <mergeCell ref="D1345:D1346"/>
    <mergeCell ref="E1345:E1346"/>
    <mergeCell ref="F1345:F1346"/>
    <mergeCell ref="D1339:D1340"/>
    <mergeCell ref="E1339:E1340"/>
    <mergeCell ref="F1339:F1340"/>
    <mergeCell ref="G1337:G1338"/>
    <mergeCell ref="H1337:H1338"/>
    <mergeCell ref="I1337:I1338"/>
    <mergeCell ref="N1337:N1338"/>
    <mergeCell ref="G1335:G1336"/>
    <mergeCell ref="H1335:H1336"/>
    <mergeCell ref="I1335:I1336"/>
    <mergeCell ref="N1335:N1336"/>
    <mergeCell ref="D1337:D1338"/>
    <mergeCell ref="E1337:E1338"/>
    <mergeCell ref="F1337:F1338"/>
    <mergeCell ref="G1333:G1334"/>
    <mergeCell ref="H1333:H1334"/>
    <mergeCell ref="I1333:I1334"/>
    <mergeCell ref="N1333:N1334"/>
    <mergeCell ref="D1335:D1336"/>
    <mergeCell ref="E1335:E1336"/>
    <mergeCell ref="F1335:F1336"/>
    <mergeCell ref="H1330:H1331"/>
    <mergeCell ref="I1330:I1331"/>
    <mergeCell ref="N1330:N1331"/>
    <mergeCell ref="D1333:D1334"/>
    <mergeCell ref="E1333:E1334"/>
    <mergeCell ref="F1333:F1334"/>
    <mergeCell ref="I1328:I1329"/>
    <mergeCell ref="N1328:N1329"/>
    <mergeCell ref="D1330:D1331"/>
    <mergeCell ref="E1330:E1331"/>
    <mergeCell ref="F1330:F1331"/>
    <mergeCell ref="G1330:G1331"/>
    <mergeCell ref="N1326:N1327"/>
    <mergeCell ref="D1328:D1329"/>
    <mergeCell ref="E1328:E1329"/>
    <mergeCell ref="F1328:F1329"/>
    <mergeCell ref="G1328:G1329"/>
    <mergeCell ref="H1328:H1329"/>
    <mergeCell ref="G1319:G1320"/>
    <mergeCell ref="H1319:H1320"/>
    <mergeCell ref="I1319:I1320"/>
    <mergeCell ref="N1319:N1320"/>
    <mergeCell ref="D1326:D1327"/>
    <mergeCell ref="E1326:E1327"/>
    <mergeCell ref="F1326:F1327"/>
    <mergeCell ref="G1326:G1327"/>
    <mergeCell ref="H1326:H1327"/>
    <mergeCell ref="G1317:G1318"/>
    <mergeCell ref="H1317:H1318"/>
    <mergeCell ref="N1317:N1318"/>
    <mergeCell ref="D1319:D1320"/>
    <mergeCell ref="E1319:E1320"/>
    <mergeCell ref="F1319:F1320"/>
    <mergeCell ref="G1315:G1316"/>
    <mergeCell ref="H1315:H1316"/>
    <mergeCell ref="I1315:I1316"/>
    <mergeCell ref="N1315:N1316"/>
    <mergeCell ref="D1317:D1318"/>
    <mergeCell ref="E1317:E1318"/>
    <mergeCell ref="F1317:F1318"/>
    <mergeCell ref="G1312:G1313"/>
    <mergeCell ref="H1312:H1313"/>
    <mergeCell ref="N1312:N1313"/>
    <mergeCell ref="D1315:D1316"/>
    <mergeCell ref="E1315:E1316"/>
    <mergeCell ref="F1315:F1316"/>
    <mergeCell ref="G1306:G1307"/>
    <mergeCell ref="H1306:H1307"/>
    <mergeCell ref="I1306:I1307"/>
    <mergeCell ref="N1306:N1307"/>
    <mergeCell ref="D1312:D1313"/>
    <mergeCell ref="E1312:E1313"/>
    <mergeCell ref="F1312:F1313"/>
    <mergeCell ref="D1306:D1307"/>
    <mergeCell ref="E1306:E1307"/>
    <mergeCell ref="F1306:F1307"/>
    <mergeCell ref="G1304:G1305"/>
    <mergeCell ref="H1304:H1305"/>
    <mergeCell ref="I1304:I1305"/>
    <mergeCell ref="N1304:N1305"/>
    <mergeCell ref="G1302:G1303"/>
    <mergeCell ref="H1302:H1303"/>
    <mergeCell ref="I1302:I1303"/>
    <mergeCell ref="N1302:N1303"/>
    <mergeCell ref="D1304:D1305"/>
    <mergeCell ref="E1304:E1305"/>
    <mergeCell ref="F1304:F1305"/>
    <mergeCell ref="D1302:D1303"/>
    <mergeCell ref="E1302:E1303"/>
    <mergeCell ref="F1302:F1303"/>
    <mergeCell ref="G1300:G1301"/>
    <mergeCell ref="H1300:H1301"/>
    <mergeCell ref="I1300:I1301"/>
    <mergeCell ref="N1300:N1301"/>
    <mergeCell ref="G1297:G1298"/>
    <mergeCell ref="H1297:H1298"/>
    <mergeCell ref="I1297:I1298"/>
    <mergeCell ref="N1297:N1298"/>
    <mergeCell ref="D1300:D1301"/>
    <mergeCell ref="E1300:E1301"/>
    <mergeCell ref="F1300:F1301"/>
    <mergeCell ref="G1295:G1296"/>
    <mergeCell ref="H1295:H1296"/>
    <mergeCell ref="I1295:I1296"/>
    <mergeCell ref="N1295:N1296"/>
    <mergeCell ref="D1297:D1298"/>
    <mergeCell ref="E1297:E1298"/>
    <mergeCell ref="F1297:F1298"/>
    <mergeCell ref="H1289:H1290"/>
    <mergeCell ref="I1289:I1290"/>
    <mergeCell ref="N1289:N1290"/>
    <mergeCell ref="D1295:D1296"/>
    <mergeCell ref="E1295:E1296"/>
    <mergeCell ref="F1295:F1296"/>
    <mergeCell ref="H1287:H1288"/>
    <mergeCell ref="N1287:N1288"/>
    <mergeCell ref="D1289:D1290"/>
    <mergeCell ref="E1289:E1290"/>
    <mergeCell ref="F1289:F1290"/>
    <mergeCell ref="G1289:G1290"/>
    <mergeCell ref="H1285:H1286"/>
    <mergeCell ref="I1285:I1286"/>
    <mergeCell ref="N1285:N1286"/>
    <mergeCell ref="D1287:D1288"/>
    <mergeCell ref="E1287:E1288"/>
    <mergeCell ref="F1287:F1288"/>
    <mergeCell ref="G1287:G1288"/>
    <mergeCell ref="G1282:G1283"/>
    <mergeCell ref="H1282:H1283"/>
    <mergeCell ref="N1282:N1283"/>
    <mergeCell ref="D1285:D1286"/>
    <mergeCell ref="E1285:E1286"/>
    <mergeCell ref="F1285:F1286"/>
    <mergeCell ref="G1285:G1286"/>
    <mergeCell ref="D1282:D1283"/>
    <mergeCell ref="E1282:E1283"/>
    <mergeCell ref="F1282:F1283"/>
    <mergeCell ref="G1276:G1277"/>
    <mergeCell ref="H1276:H1277"/>
    <mergeCell ref="I1276:I1277"/>
    <mergeCell ref="N1276:N1277"/>
    <mergeCell ref="G1274:G1275"/>
    <mergeCell ref="H1274:H1275"/>
    <mergeCell ref="I1274:I1275"/>
    <mergeCell ref="N1274:N1275"/>
    <mergeCell ref="D1276:D1277"/>
    <mergeCell ref="E1276:E1277"/>
    <mergeCell ref="F1276:F1277"/>
    <mergeCell ref="D1274:D1275"/>
    <mergeCell ref="E1274:E1275"/>
    <mergeCell ref="F1274:F1275"/>
    <mergeCell ref="G1272:G1273"/>
    <mergeCell ref="H1272:H1273"/>
    <mergeCell ref="I1272:I1273"/>
    <mergeCell ref="N1272:N1273"/>
    <mergeCell ref="G1270:G1271"/>
    <mergeCell ref="H1270:H1271"/>
    <mergeCell ref="I1270:I1271"/>
    <mergeCell ref="N1270:N1271"/>
    <mergeCell ref="D1272:D1273"/>
    <mergeCell ref="E1272:E1273"/>
    <mergeCell ref="F1272:F1273"/>
    <mergeCell ref="D1270:D1271"/>
    <mergeCell ref="E1270:E1271"/>
    <mergeCell ref="F1270:F1271"/>
    <mergeCell ref="G1267:G1268"/>
    <mergeCell ref="H1267:H1268"/>
    <mergeCell ref="I1267:I1268"/>
    <mergeCell ref="N1267:N1268"/>
    <mergeCell ref="G1265:G1266"/>
    <mergeCell ref="H1265:H1266"/>
    <mergeCell ref="I1265:I1266"/>
    <mergeCell ref="N1265:N1266"/>
    <mergeCell ref="D1267:D1268"/>
    <mergeCell ref="E1267:E1268"/>
    <mergeCell ref="F1267:F1268"/>
    <mergeCell ref="D1265:D1266"/>
    <mergeCell ref="E1265:E1266"/>
    <mergeCell ref="F1265:F1266"/>
    <mergeCell ref="H1260:H1261"/>
    <mergeCell ref="N1260:N1261"/>
    <mergeCell ref="D1263:D1264"/>
    <mergeCell ref="E1263:E1264"/>
    <mergeCell ref="F1263:F1264"/>
    <mergeCell ref="G1263:G1264"/>
    <mergeCell ref="H1263:H1264"/>
    <mergeCell ref="N1263:N1264"/>
    <mergeCell ref="H1257:H1258"/>
    <mergeCell ref="I1257:I1258"/>
    <mergeCell ref="N1257:N1258"/>
    <mergeCell ref="D1260:D1261"/>
    <mergeCell ref="E1260:E1261"/>
    <mergeCell ref="F1260:F1261"/>
    <mergeCell ref="G1260:G1261"/>
    <mergeCell ref="H1255:H1256"/>
    <mergeCell ref="N1255:N1256"/>
    <mergeCell ref="D1257:D1258"/>
    <mergeCell ref="E1257:E1258"/>
    <mergeCell ref="F1257:F1258"/>
    <mergeCell ref="G1257:G1258"/>
    <mergeCell ref="G1253:G1254"/>
    <mergeCell ref="H1253:H1254"/>
    <mergeCell ref="N1253:N1254"/>
    <mergeCell ref="D1255:D1256"/>
    <mergeCell ref="E1255:E1256"/>
    <mergeCell ref="F1255:F1256"/>
    <mergeCell ref="G1255:G1256"/>
    <mergeCell ref="G1250:G1251"/>
    <mergeCell ref="H1250:H1251"/>
    <mergeCell ref="N1250:N1251"/>
    <mergeCell ref="D1253:D1254"/>
    <mergeCell ref="E1253:E1254"/>
    <mergeCell ref="F1253:F1254"/>
    <mergeCell ref="G1244:G1245"/>
    <mergeCell ref="H1244:H1245"/>
    <mergeCell ref="I1244:I1245"/>
    <mergeCell ref="N1244:N1245"/>
    <mergeCell ref="D1250:D1251"/>
    <mergeCell ref="E1250:E1251"/>
    <mergeCell ref="F1250:F1251"/>
    <mergeCell ref="D1244:D1245"/>
    <mergeCell ref="E1244:E1245"/>
    <mergeCell ref="F1244:F1245"/>
    <mergeCell ref="G1242:G1243"/>
    <mergeCell ref="H1242:H1243"/>
    <mergeCell ref="I1242:I1243"/>
    <mergeCell ref="N1242:N1243"/>
    <mergeCell ref="G1240:G1241"/>
    <mergeCell ref="H1240:H1241"/>
    <mergeCell ref="I1240:I1241"/>
    <mergeCell ref="N1240:N1241"/>
    <mergeCell ref="D1242:D1243"/>
    <mergeCell ref="E1242:E1243"/>
    <mergeCell ref="F1242:F1243"/>
    <mergeCell ref="D1240:D1241"/>
    <mergeCell ref="E1240:E1241"/>
    <mergeCell ref="F1240:F1241"/>
    <mergeCell ref="G1238:G1239"/>
    <mergeCell ref="H1238:H1239"/>
    <mergeCell ref="I1238:I1239"/>
    <mergeCell ref="N1238:N1239"/>
    <mergeCell ref="G1235:G1236"/>
    <mergeCell ref="H1235:H1236"/>
    <mergeCell ref="I1235:I1236"/>
    <mergeCell ref="N1235:N1236"/>
    <mergeCell ref="D1238:D1239"/>
    <mergeCell ref="E1238:E1239"/>
    <mergeCell ref="F1238:F1239"/>
    <mergeCell ref="G1233:G1234"/>
    <mergeCell ref="H1233:H1234"/>
    <mergeCell ref="I1233:I1234"/>
    <mergeCell ref="N1233:N1234"/>
    <mergeCell ref="D1235:D1236"/>
    <mergeCell ref="E1235:E1236"/>
    <mergeCell ref="F1235:F1236"/>
    <mergeCell ref="D1233:D1234"/>
    <mergeCell ref="E1233:E1234"/>
    <mergeCell ref="F1233:F1234"/>
    <mergeCell ref="N1225:N1226"/>
    <mergeCell ref="D1230:D1231"/>
    <mergeCell ref="E1230:E1231"/>
    <mergeCell ref="F1230:F1231"/>
    <mergeCell ref="G1230:G1231"/>
    <mergeCell ref="H1230:H1231"/>
    <mergeCell ref="N1230:N1231"/>
    <mergeCell ref="N1223:N1224"/>
    <mergeCell ref="D1225:D1226"/>
    <mergeCell ref="E1225:E1226"/>
    <mergeCell ref="F1225:F1226"/>
    <mergeCell ref="G1225:G1226"/>
    <mergeCell ref="H1225:H1226"/>
    <mergeCell ref="I1225:I1226"/>
    <mergeCell ref="H1221:H1222"/>
    <mergeCell ref="N1221:N1222"/>
    <mergeCell ref="D1223:D1224"/>
    <mergeCell ref="E1223:E1224"/>
    <mergeCell ref="F1223:F1224"/>
    <mergeCell ref="G1223:G1224"/>
    <mergeCell ref="H1223:H1224"/>
    <mergeCell ref="G1218:G1219"/>
    <mergeCell ref="H1218:H1219"/>
    <mergeCell ref="N1218:N1219"/>
    <mergeCell ref="D1221:D1222"/>
    <mergeCell ref="E1221:E1222"/>
    <mergeCell ref="F1221:F1222"/>
    <mergeCell ref="G1221:G1222"/>
    <mergeCell ref="D1218:D1219"/>
    <mergeCell ref="E1218:E1219"/>
    <mergeCell ref="F1218:F1219"/>
    <mergeCell ref="G1212:G1213"/>
    <mergeCell ref="H1212:H1213"/>
    <mergeCell ref="I1212:I1213"/>
    <mergeCell ref="N1212:N1213"/>
    <mergeCell ref="G1210:G1211"/>
    <mergeCell ref="H1210:H1211"/>
    <mergeCell ref="I1210:I1211"/>
    <mergeCell ref="N1210:N1211"/>
    <mergeCell ref="D1212:D1213"/>
    <mergeCell ref="E1212:E1213"/>
    <mergeCell ref="F1212:F1213"/>
    <mergeCell ref="G1208:G1209"/>
    <mergeCell ref="H1208:H1209"/>
    <mergeCell ref="I1208:I1209"/>
    <mergeCell ref="N1208:N1209"/>
    <mergeCell ref="D1210:D1211"/>
    <mergeCell ref="E1210:E1211"/>
    <mergeCell ref="F1210:F1211"/>
    <mergeCell ref="H1206:H1207"/>
    <mergeCell ref="I1206:I1207"/>
    <mergeCell ref="N1206:N1207"/>
    <mergeCell ref="D1208:D1209"/>
    <mergeCell ref="E1208:E1209"/>
    <mergeCell ref="F1208:F1209"/>
    <mergeCell ref="I1203:I1204"/>
    <mergeCell ref="N1203:N1204"/>
    <mergeCell ref="D1206:D1207"/>
    <mergeCell ref="E1206:E1207"/>
    <mergeCell ref="F1206:F1207"/>
    <mergeCell ref="G1206:G1207"/>
    <mergeCell ref="I1201:I1202"/>
    <mergeCell ref="N1201:N1202"/>
    <mergeCell ref="D1203:D1204"/>
    <mergeCell ref="E1203:E1204"/>
    <mergeCell ref="F1203:F1204"/>
    <mergeCell ref="G1203:G1204"/>
    <mergeCell ref="H1203:H1204"/>
    <mergeCell ref="N1199:N1200"/>
    <mergeCell ref="D1201:D1202"/>
    <mergeCell ref="E1201:E1202"/>
    <mergeCell ref="F1201:F1202"/>
    <mergeCell ref="G1201:G1202"/>
    <mergeCell ref="H1201:H1202"/>
    <mergeCell ref="G1197:G1198"/>
    <mergeCell ref="H1197:H1198"/>
    <mergeCell ref="I1197:I1198"/>
    <mergeCell ref="N1197:N1198"/>
    <mergeCell ref="D1199:D1200"/>
    <mergeCell ref="E1199:E1200"/>
    <mergeCell ref="F1199:F1200"/>
    <mergeCell ref="G1199:G1200"/>
    <mergeCell ref="H1199:H1200"/>
    <mergeCell ref="I1199:I1200"/>
    <mergeCell ref="D1197:D1198"/>
    <mergeCell ref="E1197:E1198"/>
    <mergeCell ref="F1197:F1198"/>
    <mergeCell ref="N1191:N1192"/>
    <mergeCell ref="D1195:D1196"/>
    <mergeCell ref="E1195:E1196"/>
    <mergeCell ref="F1195:F1196"/>
    <mergeCell ref="G1195:G1196"/>
    <mergeCell ref="H1195:H1196"/>
    <mergeCell ref="N1195:N1196"/>
    <mergeCell ref="N1189:N1190"/>
    <mergeCell ref="D1191:D1192"/>
    <mergeCell ref="E1191:E1192"/>
    <mergeCell ref="F1191:F1192"/>
    <mergeCell ref="G1191:G1192"/>
    <mergeCell ref="H1191:H1192"/>
    <mergeCell ref="I1191:I1192"/>
    <mergeCell ref="D1189:D1190"/>
    <mergeCell ref="E1189:E1190"/>
    <mergeCell ref="F1189:F1190"/>
    <mergeCell ref="G1189:G1190"/>
    <mergeCell ref="H1189:H1190"/>
    <mergeCell ref="I1189:I1190"/>
    <mergeCell ref="G1184:G1185"/>
    <mergeCell ref="H1184:H1185"/>
    <mergeCell ref="I1184:I1185"/>
    <mergeCell ref="N1184:N1185"/>
    <mergeCell ref="D1187:D1188"/>
    <mergeCell ref="E1187:E1188"/>
    <mergeCell ref="F1187:F1188"/>
    <mergeCell ref="G1187:G1188"/>
    <mergeCell ref="H1187:H1188"/>
    <mergeCell ref="N1187:N1188"/>
    <mergeCell ref="D1184:D1185"/>
    <mergeCell ref="E1184:E1185"/>
    <mergeCell ref="F1184:F1185"/>
    <mergeCell ref="G1178:G1179"/>
    <mergeCell ref="H1178:H1179"/>
    <mergeCell ref="I1178:I1179"/>
    <mergeCell ref="N1178:N1179"/>
    <mergeCell ref="G1176:G1177"/>
    <mergeCell ref="H1176:H1177"/>
    <mergeCell ref="I1176:I1177"/>
    <mergeCell ref="N1176:N1177"/>
    <mergeCell ref="D1178:D1179"/>
    <mergeCell ref="E1178:E1179"/>
    <mergeCell ref="F1178:F1179"/>
    <mergeCell ref="D1176:D1177"/>
    <mergeCell ref="E1176:E1177"/>
    <mergeCell ref="F1176:F1177"/>
    <mergeCell ref="G1174:G1175"/>
    <mergeCell ref="H1174:H1175"/>
    <mergeCell ref="I1174:I1175"/>
    <mergeCell ref="N1174:N1175"/>
    <mergeCell ref="G1172:G1173"/>
    <mergeCell ref="H1172:H1173"/>
    <mergeCell ref="I1172:I1173"/>
    <mergeCell ref="N1172:N1173"/>
    <mergeCell ref="D1174:D1175"/>
    <mergeCell ref="E1174:E1175"/>
    <mergeCell ref="F1174:F1175"/>
    <mergeCell ref="G1169:G1170"/>
    <mergeCell ref="H1169:H1170"/>
    <mergeCell ref="I1169:I1170"/>
    <mergeCell ref="N1169:N1170"/>
    <mergeCell ref="D1172:D1173"/>
    <mergeCell ref="E1172:E1173"/>
    <mergeCell ref="F1172:F1173"/>
    <mergeCell ref="D1169:D1170"/>
    <mergeCell ref="E1169:E1170"/>
    <mergeCell ref="F1169:F1170"/>
    <mergeCell ref="I1165:I1166"/>
    <mergeCell ref="N1165:N1166"/>
    <mergeCell ref="D1167:D1168"/>
    <mergeCell ref="E1167:E1168"/>
    <mergeCell ref="F1167:F1168"/>
    <mergeCell ref="G1167:G1168"/>
    <mergeCell ref="H1167:H1168"/>
    <mergeCell ref="I1167:I1168"/>
    <mergeCell ref="N1167:N1168"/>
    <mergeCell ref="N1163:N1164"/>
    <mergeCell ref="D1165:D1166"/>
    <mergeCell ref="E1165:E1166"/>
    <mergeCell ref="F1165:F1166"/>
    <mergeCell ref="G1165:G1166"/>
    <mergeCell ref="H1165:H1166"/>
    <mergeCell ref="G1161:G1162"/>
    <mergeCell ref="H1161:H1162"/>
    <mergeCell ref="I1161:I1162"/>
    <mergeCell ref="N1161:N1162"/>
    <mergeCell ref="D1163:D1164"/>
    <mergeCell ref="E1163:E1164"/>
    <mergeCell ref="F1163:F1164"/>
    <mergeCell ref="G1163:G1164"/>
    <mergeCell ref="H1163:H1164"/>
    <mergeCell ref="I1163:I1164"/>
    <mergeCell ref="G1154:G1155"/>
    <mergeCell ref="H1154:H1155"/>
    <mergeCell ref="I1154:I1155"/>
    <mergeCell ref="N1154:N1155"/>
    <mergeCell ref="D1161:D1162"/>
    <mergeCell ref="E1161:E1162"/>
    <mergeCell ref="F1161:F1162"/>
    <mergeCell ref="G1149:G1150"/>
    <mergeCell ref="H1149:H1150"/>
    <mergeCell ref="N1149:N1150"/>
    <mergeCell ref="D1154:D1155"/>
    <mergeCell ref="E1154:E1155"/>
    <mergeCell ref="F1154:F1155"/>
    <mergeCell ref="G1143:G1144"/>
    <mergeCell ref="H1143:H1144"/>
    <mergeCell ref="I1143:I1144"/>
    <mergeCell ref="N1143:N1144"/>
    <mergeCell ref="D1149:D1150"/>
    <mergeCell ref="E1149:E1150"/>
    <mergeCell ref="F1149:F1150"/>
    <mergeCell ref="D1143:D1144"/>
    <mergeCell ref="E1143:E1144"/>
    <mergeCell ref="F1143:F1144"/>
    <mergeCell ref="G1141:G1142"/>
    <mergeCell ref="H1141:H1142"/>
    <mergeCell ref="I1141:I1142"/>
    <mergeCell ref="N1141:N1142"/>
    <mergeCell ref="G1139:G1140"/>
    <mergeCell ref="H1139:H1140"/>
    <mergeCell ref="I1139:I1140"/>
    <mergeCell ref="N1139:N1140"/>
    <mergeCell ref="D1141:D1142"/>
    <mergeCell ref="E1141:E1142"/>
    <mergeCell ref="F1141:F1142"/>
    <mergeCell ref="D1139:D1140"/>
    <mergeCell ref="E1139:E1140"/>
    <mergeCell ref="F1139:F1140"/>
    <mergeCell ref="D1137:D1138"/>
    <mergeCell ref="E1137:E1138"/>
    <mergeCell ref="F1137:F1138"/>
    <mergeCell ref="G1137:G1138"/>
    <mergeCell ref="G1134:G1135"/>
    <mergeCell ref="H1134:H1135"/>
    <mergeCell ref="I1134:I1135"/>
    <mergeCell ref="N1134:N1135"/>
    <mergeCell ref="H1137:H1138"/>
    <mergeCell ref="I1137:I1138"/>
    <mergeCell ref="N1137:N1138"/>
    <mergeCell ref="G1132:G1133"/>
    <mergeCell ref="H1132:H1133"/>
    <mergeCell ref="I1132:I1133"/>
    <mergeCell ref="N1132:N1133"/>
    <mergeCell ref="D1134:D1135"/>
    <mergeCell ref="E1134:E1135"/>
    <mergeCell ref="F1134:F1135"/>
    <mergeCell ref="G1129:G1130"/>
    <mergeCell ref="H1129:H1130"/>
    <mergeCell ref="N1129:N1130"/>
    <mergeCell ref="D1132:D1133"/>
    <mergeCell ref="E1132:E1133"/>
    <mergeCell ref="F1132:F1133"/>
    <mergeCell ref="G1126:G1127"/>
    <mergeCell ref="H1126:H1127"/>
    <mergeCell ref="N1126:N1127"/>
    <mergeCell ref="D1129:D1130"/>
    <mergeCell ref="E1129:E1130"/>
    <mergeCell ref="F1129:F1130"/>
    <mergeCell ref="G1122:G1123"/>
    <mergeCell ref="H1122:H1123"/>
    <mergeCell ref="I1122:I1123"/>
    <mergeCell ref="N1122:N1123"/>
    <mergeCell ref="D1126:D1127"/>
    <mergeCell ref="E1126:E1127"/>
    <mergeCell ref="F1126:F1127"/>
    <mergeCell ref="G1117:G1118"/>
    <mergeCell ref="H1117:H1118"/>
    <mergeCell ref="I1117:I1118"/>
    <mergeCell ref="N1117:N1118"/>
    <mergeCell ref="D1122:D1123"/>
    <mergeCell ref="E1122:E1123"/>
    <mergeCell ref="F1122:F1123"/>
    <mergeCell ref="D1117:D1118"/>
    <mergeCell ref="E1117:E1118"/>
    <mergeCell ref="F1117:F1118"/>
    <mergeCell ref="G1111:G1112"/>
    <mergeCell ref="H1111:H1112"/>
    <mergeCell ref="I1111:I1112"/>
    <mergeCell ref="N1111:N1112"/>
    <mergeCell ref="G1109:G1110"/>
    <mergeCell ref="H1109:H1110"/>
    <mergeCell ref="I1109:I1110"/>
    <mergeCell ref="N1109:N1110"/>
    <mergeCell ref="D1111:D1112"/>
    <mergeCell ref="E1111:E1112"/>
    <mergeCell ref="F1111:F1112"/>
    <mergeCell ref="D1109:D1110"/>
    <mergeCell ref="E1109:E1110"/>
    <mergeCell ref="F1109:F1110"/>
    <mergeCell ref="G1105:G1106"/>
    <mergeCell ref="H1105:H1106"/>
    <mergeCell ref="I1105:I1106"/>
    <mergeCell ref="N1105:N1106"/>
    <mergeCell ref="G1103:G1104"/>
    <mergeCell ref="H1103:H1104"/>
    <mergeCell ref="I1103:I1104"/>
    <mergeCell ref="N1103:N1104"/>
    <mergeCell ref="D1105:D1106"/>
    <mergeCell ref="E1105:E1106"/>
    <mergeCell ref="F1105:F1106"/>
    <mergeCell ref="D1103:D1104"/>
    <mergeCell ref="E1103:E1104"/>
    <mergeCell ref="F1103:F1104"/>
    <mergeCell ref="G1098:G1099"/>
    <mergeCell ref="H1098:H1099"/>
    <mergeCell ref="N1098:N1099"/>
    <mergeCell ref="D1100:D1101"/>
    <mergeCell ref="E1100:E1101"/>
    <mergeCell ref="F1100:F1101"/>
    <mergeCell ref="G1100:G1101"/>
    <mergeCell ref="H1100:H1101"/>
    <mergeCell ref="N1100:N1101"/>
    <mergeCell ref="H1096:H1097"/>
    <mergeCell ref="I1096:I1097"/>
    <mergeCell ref="N1096:N1097"/>
    <mergeCell ref="D1098:D1099"/>
    <mergeCell ref="E1098:E1099"/>
    <mergeCell ref="F1098:F1099"/>
    <mergeCell ref="I1094:I1095"/>
    <mergeCell ref="N1094:N1095"/>
    <mergeCell ref="D1096:D1097"/>
    <mergeCell ref="E1096:E1097"/>
    <mergeCell ref="F1096:F1097"/>
    <mergeCell ref="G1096:G1097"/>
    <mergeCell ref="N1091:N1093"/>
    <mergeCell ref="D1094:D1095"/>
    <mergeCell ref="E1094:E1095"/>
    <mergeCell ref="F1094:F1095"/>
    <mergeCell ref="G1094:G1095"/>
    <mergeCell ref="H1094:H1095"/>
    <mergeCell ref="D1091:D1093"/>
    <mergeCell ref="E1091:E1093"/>
    <mergeCell ref="F1091:F1093"/>
    <mergeCell ref="G1091:G1093"/>
    <mergeCell ref="H1091:H1093"/>
    <mergeCell ref="I1091:I1093"/>
    <mergeCell ref="D1089:D1090"/>
    <mergeCell ref="E1089:E1090"/>
    <mergeCell ref="F1089:F1090"/>
    <mergeCell ref="G1089:G1090"/>
    <mergeCell ref="H1089:H1090"/>
    <mergeCell ref="N1089:N1090"/>
    <mergeCell ref="G1082:G1083"/>
    <mergeCell ref="H1082:H1083"/>
    <mergeCell ref="N1082:N1083"/>
    <mergeCell ref="D1086:D1087"/>
    <mergeCell ref="E1086:E1087"/>
    <mergeCell ref="F1086:F1087"/>
    <mergeCell ref="G1086:G1087"/>
    <mergeCell ref="H1086:H1087"/>
    <mergeCell ref="N1086:N1087"/>
    <mergeCell ref="G1077:G1078"/>
    <mergeCell ref="H1077:H1078"/>
    <mergeCell ref="I1077:I1078"/>
    <mergeCell ref="N1077:N1078"/>
    <mergeCell ref="D1082:D1083"/>
    <mergeCell ref="E1082:E1083"/>
    <mergeCell ref="F1082:F1083"/>
    <mergeCell ref="G1072:G1073"/>
    <mergeCell ref="H1072:H1073"/>
    <mergeCell ref="I1072:I1073"/>
    <mergeCell ref="N1072:N1073"/>
    <mergeCell ref="D1077:D1078"/>
    <mergeCell ref="E1077:E1078"/>
    <mergeCell ref="F1077:F1078"/>
    <mergeCell ref="G1070:G1071"/>
    <mergeCell ref="H1070:H1071"/>
    <mergeCell ref="I1070:I1071"/>
    <mergeCell ref="N1070:N1071"/>
    <mergeCell ref="D1072:D1073"/>
    <mergeCell ref="E1072:E1073"/>
    <mergeCell ref="F1072:F1073"/>
    <mergeCell ref="D1070:D1071"/>
    <mergeCell ref="E1070:E1071"/>
    <mergeCell ref="F1070:F1071"/>
    <mergeCell ref="G1066:G1067"/>
    <mergeCell ref="H1066:H1067"/>
    <mergeCell ref="I1066:I1067"/>
    <mergeCell ref="N1066:N1067"/>
    <mergeCell ref="G1064:G1065"/>
    <mergeCell ref="H1064:H1065"/>
    <mergeCell ref="I1064:I1065"/>
    <mergeCell ref="N1064:N1065"/>
    <mergeCell ref="D1066:D1067"/>
    <mergeCell ref="E1066:E1067"/>
    <mergeCell ref="F1066:F1067"/>
    <mergeCell ref="D1064:D1065"/>
    <mergeCell ref="E1064:E1065"/>
    <mergeCell ref="F1064:F1065"/>
    <mergeCell ref="D1061:D1062"/>
    <mergeCell ref="E1061:E1062"/>
    <mergeCell ref="F1061:F1062"/>
    <mergeCell ref="G1061:G1062"/>
    <mergeCell ref="H1061:H1062"/>
    <mergeCell ref="N1061:N1062"/>
    <mergeCell ref="N1056:N1057"/>
    <mergeCell ref="D1058:D1059"/>
    <mergeCell ref="E1058:E1059"/>
    <mergeCell ref="F1058:F1059"/>
    <mergeCell ref="G1058:G1059"/>
    <mergeCell ref="H1058:H1059"/>
    <mergeCell ref="I1058:I1059"/>
    <mergeCell ref="N1058:N1059"/>
    <mergeCell ref="N1054:N1055"/>
    <mergeCell ref="D1056:D1057"/>
    <mergeCell ref="E1056:E1057"/>
    <mergeCell ref="F1056:F1057"/>
    <mergeCell ref="G1056:G1057"/>
    <mergeCell ref="H1056:H1057"/>
    <mergeCell ref="I1056:I1057"/>
    <mergeCell ref="G1051:G1052"/>
    <mergeCell ref="H1051:H1052"/>
    <mergeCell ref="I1051:I1052"/>
    <mergeCell ref="N1051:N1052"/>
    <mergeCell ref="D1054:D1055"/>
    <mergeCell ref="E1054:E1055"/>
    <mergeCell ref="F1054:F1055"/>
    <mergeCell ref="G1054:G1055"/>
    <mergeCell ref="H1054:H1055"/>
    <mergeCell ref="I1054:I1055"/>
    <mergeCell ref="G1049:G1050"/>
    <mergeCell ref="H1049:H1050"/>
    <mergeCell ref="I1049:I1050"/>
    <mergeCell ref="N1049:N1050"/>
    <mergeCell ref="D1051:D1052"/>
    <mergeCell ref="E1051:E1052"/>
    <mergeCell ref="F1051:F1052"/>
    <mergeCell ref="G1042:G1043"/>
    <mergeCell ref="H1042:H1043"/>
    <mergeCell ref="N1042:N1043"/>
    <mergeCell ref="D1049:D1050"/>
    <mergeCell ref="E1049:E1050"/>
    <mergeCell ref="F1049:F1050"/>
    <mergeCell ref="G1038:G1039"/>
    <mergeCell ref="H1038:H1039"/>
    <mergeCell ref="I1038:I1039"/>
    <mergeCell ref="N1038:N1039"/>
    <mergeCell ref="D1042:D1043"/>
    <mergeCell ref="E1042:E1043"/>
    <mergeCell ref="F1042:F1043"/>
    <mergeCell ref="G1033:G1034"/>
    <mergeCell ref="H1033:H1034"/>
    <mergeCell ref="I1033:I1034"/>
    <mergeCell ref="N1033:N1034"/>
    <mergeCell ref="D1038:D1039"/>
    <mergeCell ref="E1038:E1039"/>
    <mergeCell ref="F1038:F1039"/>
    <mergeCell ref="G1030:G1031"/>
    <mergeCell ref="H1030:H1031"/>
    <mergeCell ref="I1030:I1031"/>
    <mergeCell ref="N1030:N1031"/>
    <mergeCell ref="D1033:D1034"/>
    <mergeCell ref="E1033:E1034"/>
    <mergeCell ref="F1033:F1034"/>
    <mergeCell ref="G1027:G1028"/>
    <mergeCell ref="H1027:H1028"/>
    <mergeCell ref="I1027:I1028"/>
    <mergeCell ref="N1027:N1028"/>
    <mergeCell ref="D1030:D1031"/>
    <mergeCell ref="E1030:E1031"/>
    <mergeCell ref="F1030:F1031"/>
    <mergeCell ref="G1025:G1026"/>
    <mergeCell ref="H1025:H1026"/>
    <mergeCell ref="I1025:I1026"/>
    <mergeCell ref="N1025:N1026"/>
    <mergeCell ref="D1027:D1028"/>
    <mergeCell ref="E1027:E1028"/>
    <mergeCell ref="F1027:F1028"/>
    <mergeCell ref="H1019:H1020"/>
    <mergeCell ref="I1019:I1020"/>
    <mergeCell ref="N1019:N1020"/>
    <mergeCell ref="D1025:D1026"/>
    <mergeCell ref="E1025:E1026"/>
    <mergeCell ref="F1025:F1026"/>
    <mergeCell ref="H1016:H1017"/>
    <mergeCell ref="N1016:N1017"/>
    <mergeCell ref="D1019:D1020"/>
    <mergeCell ref="E1019:E1020"/>
    <mergeCell ref="F1019:F1020"/>
    <mergeCell ref="G1019:G1020"/>
    <mergeCell ref="H1014:H1015"/>
    <mergeCell ref="I1014:I1015"/>
    <mergeCell ref="N1014:N1015"/>
    <mergeCell ref="D1016:D1017"/>
    <mergeCell ref="E1016:E1017"/>
    <mergeCell ref="F1016:F1017"/>
    <mergeCell ref="G1016:G1017"/>
    <mergeCell ref="G1007:G1008"/>
    <mergeCell ref="H1007:H1008"/>
    <mergeCell ref="N1007:N1008"/>
    <mergeCell ref="D1014:D1015"/>
    <mergeCell ref="E1014:E1015"/>
    <mergeCell ref="F1014:F1015"/>
    <mergeCell ref="G1014:G1015"/>
    <mergeCell ref="D1007:D1008"/>
    <mergeCell ref="E1007:E1008"/>
    <mergeCell ref="F1007:F1008"/>
    <mergeCell ref="G1003:G1004"/>
    <mergeCell ref="H1003:H1004"/>
    <mergeCell ref="N1003:N1004"/>
    <mergeCell ref="D1003:D1004"/>
    <mergeCell ref="E1003:E1004"/>
    <mergeCell ref="F1003:F1004"/>
    <mergeCell ref="D999:D1000"/>
    <mergeCell ref="E999:E1000"/>
    <mergeCell ref="F999:F1000"/>
    <mergeCell ref="G999:G1000"/>
    <mergeCell ref="H999:H1000"/>
    <mergeCell ref="N999:N1000"/>
    <mergeCell ref="H994:H995"/>
    <mergeCell ref="I994:I995"/>
    <mergeCell ref="N994:N995"/>
    <mergeCell ref="D997:D998"/>
    <mergeCell ref="E997:E998"/>
    <mergeCell ref="F997:F998"/>
    <mergeCell ref="G997:G998"/>
    <mergeCell ref="H997:H998"/>
    <mergeCell ref="N997:N998"/>
    <mergeCell ref="I992:I993"/>
    <mergeCell ref="N992:N993"/>
    <mergeCell ref="D994:D995"/>
    <mergeCell ref="E994:E995"/>
    <mergeCell ref="F994:F995"/>
    <mergeCell ref="G994:G995"/>
    <mergeCell ref="N988:N989"/>
    <mergeCell ref="D992:D993"/>
    <mergeCell ref="E992:E993"/>
    <mergeCell ref="F992:F993"/>
    <mergeCell ref="G992:G993"/>
    <mergeCell ref="H992:H993"/>
    <mergeCell ref="G985:G986"/>
    <mergeCell ref="H985:H986"/>
    <mergeCell ref="I985:I986"/>
    <mergeCell ref="N985:N986"/>
    <mergeCell ref="D988:D989"/>
    <mergeCell ref="E988:E989"/>
    <mergeCell ref="F988:F989"/>
    <mergeCell ref="G988:G989"/>
    <mergeCell ref="H988:H989"/>
    <mergeCell ref="D985:D986"/>
    <mergeCell ref="E985:E986"/>
    <mergeCell ref="F985:F986"/>
    <mergeCell ref="G980:G981"/>
    <mergeCell ref="H980:H981"/>
    <mergeCell ref="N980:N981"/>
    <mergeCell ref="D982:D983"/>
    <mergeCell ref="E982:E983"/>
    <mergeCell ref="F982:F983"/>
    <mergeCell ref="G982:G983"/>
    <mergeCell ref="H982:H983"/>
    <mergeCell ref="N982:N983"/>
    <mergeCell ref="G973:G974"/>
    <mergeCell ref="H973:H974"/>
    <mergeCell ref="N973:N974"/>
    <mergeCell ref="D980:D981"/>
    <mergeCell ref="E980:E981"/>
    <mergeCell ref="F980:F981"/>
    <mergeCell ref="G971:G972"/>
    <mergeCell ref="H971:H972"/>
    <mergeCell ref="I971:I972"/>
    <mergeCell ref="N971:N972"/>
    <mergeCell ref="D973:D974"/>
    <mergeCell ref="E973:E974"/>
    <mergeCell ref="F973:F974"/>
    <mergeCell ref="D971:D972"/>
    <mergeCell ref="E971:E972"/>
    <mergeCell ref="F971:F972"/>
    <mergeCell ref="D969:D970"/>
    <mergeCell ref="E969:E970"/>
    <mergeCell ref="F969:F970"/>
    <mergeCell ref="G969:G970"/>
    <mergeCell ref="H969:H970"/>
    <mergeCell ref="N969:N970"/>
    <mergeCell ref="D967:D968"/>
    <mergeCell ref="E967:E968"/>
    <mergeCell ref="F967:F968"/>
    <mergeCell ref="G967:G968"/>
    <mergeCell ref="H967:H968"/>
    <mergeCell ref="N967:N968"/>
    <mergeCell ref="G959:G960"/>
    <mergeCell ref="H959:H960"/>
    <mergeCell ref="I959:I960"/>
    <mergeCell ref="N959:N960"/>
    <mergeCell ref="G957:G958"/>
    <mergeCell ref="H957:H958"/>
    <mergeCell ref="I957:I958"/>
    <mergeCell ref="N957:N958"/>
    <mergeCell ref="D959:D960"/>
    <mergeCell ref="E959:E960"/>
    <mergeCell ref="F959:F960"/>
    <mergeCell ref="G951:G952"/>
    <mergeCell ref="H951:H952"/>
    <mergeCell ref="I951:I952"/>
    <mergeCell ref="N951:N952"/>
    <mergeCell ref="D957:D958"/>
    <mergeCell ref="E957:E958"/>
    <mergeCell ref="F957:F958"/>
    <mergeCell ref="G946:G947"/>
    <mergeCell ref="H946:H947"/>
    <mergeCell ref="N946:N947"/>
    <mergeCell ref="D951:D952"/>
    <mergeCell ref="E951:E952"/>
    <mergeCell ref="F951:F952"/>
    <mergeCell ref="D946:D947"/>
    <mergeCell ref="E946:E947"/>
    <mergeCell ref="F946:F947"/>
    <mergeCell ref="N940:N941"/>
    <mergeCell ref="D943:D944"/>
    <mergeCell ref="E943:E944"/>
    <mergeCell ref="F943:F944"/>
    <mergeCell ref="G943:G944"/>
    <mergeCell ref="H943:H944"/>
    <mergeCell ref="N943:N944"/>
    <mergeCell ref="G938:G939"/>
    <mergeCell ref="H938:H939"/>
    <mergeCell ref="I938:I939"/>
    <mergeCell ref="N938:N939"/>
    <mergeCell ref="D940:D941"/>
    <mergeCell ref="E940:E941"/>
    <mergeCell ref="F940:F941"/>
    <mergeCell ref="G940:G941"/>
    <mergeCell ref="H940:H941"/>
    <mergeCell ref="D938:D939"/>
    <mergeCell ref="E938:E939"/>
    <mergeCell ref="F938:F939"/>
    <mergeCell ref="D936:D937"/>
    <mergeCell ref="E936:E937"/>
    <mergeCell ref="F936:F937"/>
    <mergeCell ref="G936:G937"/>
    <mergeCell ref="H936:H937"/>
    <mergeCell ref="N936:N937"/>
    <mergeCell ref="G925:G926"/>
    <mergeCell ref="H925:H926"/>
    <mergeCell ref="I925:I926"/>
    <mergeCell ref="N925:N926"/>
    <mergeCell ref="G923:G924"/>
    <mergeCell ref="H923:H924"/>
    <mergeCell ref="I923:I924"/>
    <mergeCell ref="N923:N924"/>
    <mergeCell ref="D925:D926"/>
    <mergeCell ref="E925:E926"/>
    <mergeCell ref="F925:F926"/>
    <mergeCell ref="G918:G919"/>
    <mergeCell ref="H918:H919"/>
    <mergeCell ref="I918:I919"/>
    <mergeCell ref="N918:N919"/>
    <mergeCell ref="D923:D924"/>
    <mergeCell ref="E923:E924"/>
    <mergeCell ref="F923:F924"/>
    <mergeCell ref="G914:G915"/>
    <mergeCell ref="H914:H915"/>
    <mergeCell ref="N914:N915"/>
    <mergeCell ref="D918:D919"/>
    <mergeCell ref="E918:E919"/>
    <mergeCell ref="F918:F919"/>
    <mergeCell ref="D914:D915"/>
    <mergeCell ref="E914:E915"/>
    <mergeCell ref="F914:F915"/>
    <mergeCell ref="I905:I906"/>
    <mergeCell ref="N905:N906"/>
    <mergeCell ref="D907:D908"/>
    <mergeCell ref="E907:E908"/>
    <mergeCell ref="F907:F908"/>
    <mergeCell ref="G907:G908"/>
    <mergeCell ref="H907:H908"/>
    <mergeCell ref="I907:I908"/>
    <mergeCell ref="N907:N908"/>
    <mergeCell ref="G896:G897"/>
    <mergeCell ref="H896:H897"/>
    <mergeCell ref="I896:I897"/>
    <mergeCell ref="N896:N897"/>
    <mergeCell ref="D905:D906"/>
    <mergeCell ref="E905:E906"/>
    <mergeCell ref="F905:F906"/>
    <mergeCell ref="G905:G906"/>
    <mergeCell ref="H905:H906"/>
    <mergeCell ref="D896:D897"/>
    <mergeCell ref="E896:E897"/>
    <mergeCell ref="F896:F897"/>
    <mergeCell ref="G893:G894"/>
    <mergeCell ref="H893:H894"/>
    <mergeCell ref="I893:I894"/>
    <mergeCell ref="N893:N894"/>
    <mergeCell ref="G888:G889"/>
    <mergeCell ref="H888:H889"/>
    <mergeCell ref="I888:I889"/>
    <mergeCell ref="N888:N889"/>
    <mergeCell ref="D893:D894"/>
    <mergeCell ref="E893:E894"/>
    <mergeCell ref="F893:F894"/>
    <mergeCell ref="G882:G883"/>
    <mergeCell ref="H882:H883"/>
    <mergeCell ref="N882:N883"/>
    <mergeCell ref="D888:D889"/>
    <mergeCell ref="E888:E889"/>
    <mergeCell ref="F888:F889"/>
    <mergeCell ref="G875:G877"/>
    <mergeCell ref="H875:H877"/>
    <mergeCell ref="I875:I877"/>
    <mergeCell ref="N875:N877"/>
    <mergeCell ref="D882:D883"/>
    <mergeCell ref="E882:E883"/>
    <mergeCell ref="F882:F883"/>
    <mergeCell ref="D875:D877"/>
    <mergeCell ref="E875:E877"/>
    <mergeCell ref="F875:F877"/>
    <mergeCell ref="G867:G868"/>
    <mergeCell ref="H867:H868"/>
    <mergeCell ref="I867:I868"/>
    <mergeCell ref="N867:N868"/>
    <mergeCell ref="D873:D874"/>
    <mergeCell ref="E873:E874"/>
    <mergeCell ref="F873:F874"/>
    <mergeCell ref="G873:G874"/>
    <mergeCell ref="H873:H874"/>
    <mergeCell ref="N873:N874"/>
    <mergeCell ref="H865:H866"/>
    <mergeCell ref="I865:I866"/>
    <mergeCell ref="N865:N866"/>
    <mergeCell ref="D867:D868"/>
    <mergeCell ref="E867:E868"/>
    <mergeCell ref="F867:F868"/>
    <mergeCell ref="I861:I862"/>
    <mergeCell ref="N861:N862"/>
    <mergeCell ref="D865:D866"/>
    <mergeCell ref="E865:E866"/>
    <mergeCell ref="F865:F866"/>
    <mergeCell ref="G865:G866"/>
    <mergeCell ref="N858:N859"/>
    <mergeCell ref="D861:D862"/>
    <mergeCell ref="E861:E862"/>
    <mergeCell ref="F861:F862"/>
    <mergeCell ref="G861:G862"/>
    <mergeCell ref="H861:H862"/>
    <mergeCell ref="D858:D859"/>
    <mergeCell ref="E858:E859"/>
    <mergeCell ref="F858:F859"/>
    <mergeCell ref="G858:G859"/>
    <mergeCell ref="H858:H859"/>
    <mergeCell ref="I858:I859"/>
    <mergeCell ref="I850:I852"/>
    <mergeCell ref="N850:N852"/>
    <mergeCell ref="D856:D857"/>
    <mergeCell ref="E856:E857"/>
    <mergeCell ref="F856:F857"/>
    <mergeCell ref="G856:G857"/>
    <mergeCell ref="H856:H857"/>
    <mergeCell ref="I856:I857"/>
    <mergeCell ref="N856:N857"/>
    <mergeCell ref="N846:N847"/>
    <mergeCell ref="D850:D852"/>
    <mergeCell ref="E850:E852"/>
    <mergeCell ref="F850:F852"/>
    <mergeCell ref="G850:G852"/>
    <mergeCell ref="H850:H852"/>
    <mergeCell ref="D846:D847"/>
    <mergeCell ref="E846:E847"/>
    <mergeCell ref="F846:F847"/>
    <mergeCell ref="G846:G847"/>
    <mergeCell ref="H846:H847"/>
    <mergeCell ref="I846:I847"/>
    <mergeCell ref="G841:G842"/>
    <mergeCell ref="H841:H842"/>
    <mergeCell ref="I841:I842"/>
    <mergeCell ref="N841:N842"/>
    <mergeCell ref="G839:G840"/>
    <mergeCell ref="H839:H840"/>
    <mergeCell ref="I839:I840"/>
    <mergeCell ref="N839:N840"/>
    <mergeCell ref="D841:D842"/>
    <mergeCell ref="E841:E842"/>
    <mergeCell ref="F841:F842"/>
    <mergeCell ref="G836:G837"/>
    <mergeCell ref="H836:H837"/>
    <mergeCell ref="I836:I837"/>
    <mergeCell ref="N836:N837"/>
    <mergeCell ref="D839:D840"/>
    <mergeCell ref="E839:E840"/>
    <mergeCell ref="F839:F840"/>
    <mergeCell ref="H834:H835"/>
    <mergeCell ref="I834:I835"/>
    <mergeCell ref="N834:N835"/>
    <mergeCell ref="D836:D837"/>
    <mergeCell ref="E836:E837"/>
    <mergeCell ref="F836:F837"/>
    <mergeCell ref="I831:I833"/>
    <mergeCell ref="N831:N833"/>
    <mergeCell ref="D834:D835"/>
    <mergeCell ref="E834:E835"/>
    <mergeCell ref="F834:F835"/>
    <mergeCell ref="G834:G835"/>
    <mergeCell ref="N828:N829"/>
    <mergeCell ref="D831:D833"/>
    <mergeCell ref="E831:E833"/>
    <mergeCell ref="F831:F833"/>
    <mergeCell ref="G831:G833"/>
    <mergeCell ref="H831:H833"/>
    <mergeCell ref="G824:G825"/>
    <mergeCell ref="H824:H825"/>
    <mergeCell ref="I824:I825"/>
    <mergeCell ref="N824:N825"/>
    <mergeCell ref="D828:D829"/>
    <mergeCell ref="E828:E829"/>
    <mergeCell ref="F828:F829"/>
    <mergeCell ref="G828:G829"/>
    <mergeCell ref="H828:H829"/>
    <mergeCell ref="D824:D825"/>
    <mergeCell ref="E824:E825"/>
    <mergeCell ref="F824:F825"/>
    <mergeCell ref="G816:G817"/>
    <mergeCell ref="H816:H817"/>
    <mergeCell ref="I816:I817"/>
    <mergeCell ref="N816:N817"/>
    <mergeCell ref="G812:G813"/>
    <mergeCell ref="H812:H813"/>
    <mergeCell ref="I812:I813"/>
    <mergeCell ref="N812:N813"/>
    <mergeCell ref="D816:D817"/>
    <mergeCell ref="E816:E817"/>
    <mergeCell ref="F816:F817"/>
    <mergeCell ref="D812:D813"/>
    <mergeCell ref="E812:E813"/>
    <mergeCell ref="F812:F813"/>
    <mergeCell ref="G809:G810"/>
    <mergeCell ref="H809:H810"/>
    <mergeCell ref="I809:I810"/>
    <mergeCell ref="N809:N810"/>
    <mergeCell ref="G807:G808"/>
    <mergeCell ref="H807:H808"/>
    <mergeCell ref="I807:I808"/>
    <mergeCell ref="N807:N808"/>
    <mergeCell ref="D809:D810"/>
    <mergeCell ref="E809:E810"/>
    <mergeCell ref="F809:F810"/>
    <mergeCell ref="D807:D808"/>
    <mergeCell ref="E807:E808"/>
    <mergeCell ref="F807:F808"/>
    <mergeCell ref="G804:G806"/>
    <mergeCell ref="H804:H806"/>
    <mergeCell ref="I804:I806"/>
    <mergeCell ref="N804:N806"/>
    <mergeCell ref="G802:G803"/>
    <mergeCell ref="H802:H803"/>
    <mergeCell ref="I802:I803"/>
    <mergeCell ref="N802:N803"/>
    <mergeCell ref="D804:D806"/>
    <mergeCell ref="E804:E806"/>
    <mergeCell ref="F804:F806"/>
    <mergeCell ref="D802:D803"/>
    <mergeCell ref="E802:E803"/>
    <mergeCell ref="F802:F803"/>
    <mergeCell ref="I796:I797"/>
    <mergeCell ref="N796:N797"/>
    <mergeCell ref="D798:D799"/>
    <mergeCell ref="E798:E799"/>
    <mergeCell ref="F798:F799"/>
    <mergeCell ref="G798:G799"/>
    <mergeCell ref="H798:H799"/>
    <mergeCell ref="I798:I799"/>
    <mergeCell ref="N798:N799"/>
    <mergeCell ref="G789:G790"/>
    <mergeCell ref="H789:H790"/>
    <mergeCell ref="I789:I790"/>
    <mergeCell ref="N789:N790"/>
    <mergeCell ref="D796:D797"/>
    <mergeCell ref="E796:E797"/>
    <mergeCell ref="F796:F797"/>
    <mergeCell ref="G796:G797"/>
    <mergeCell ref="H796:H797"/>
    <mergeCell ref="D789:D790"/>
    <mergeCell ref="E789:E790"/>
    <mergeCell ref="F789:F790"/>
    <mergeCell ref="G781:G782"/>
    <mergeCell ref="H781:H782"/>
    <mergeCell ref="I781:I782"/>
    <mergeCell ref="N781:N782"/>
    <mergeCell ref="G777:G778"/>
    <mergeCell ref="H777:H778"/>
    <mergeCell ref="I777:I778"/>
    <mergeCell ref="N777:N778"/>
    <mergeCell ref="D781:D782"/>
    <mergeCell ref="E781:E782"/>
    <mergeCell ref="F781:F782"/>
    <mergeCell ref="D777:D778"/>
    <mergeCell ref="E777:E778"/>
    <mergeCell ref="F777:F778"/>
    <mergeCell ref="G774:G775"/>
    <mergeCell ref="H774:H775"/>
    <mergeCell ref="I774:I775"/>
    <mergeCell ref="N774:N775"/>
    <mergeCell ref="G772:G773"/>
    <mergeCell ref="H772:H773"/>
    <mergeCell ref="I772:I773"/>
    <mergeCell ref="N772:N773"/>
    <mergeCell ref="D774:D775"/>
    <mergeCell ref="E774:E775"/>
    <mergeCell ref="F774:F775"/>
    <mergeCell ref="D772:D773"/>
    <mergeCell ref="E772:E773"/>
    <mergeCell ref="F772:F773"/>
    <mergeCell ref="N766:N767"/>
    <mergeCell ref="D769:D771"/>
    <mergeCell ref="E769:E771"/>
    <mergeCell ref="F769:F771"/>
    <mergeCell ref="G769:G771"/>
    <mergeCell ref="H769:H771"/>
    <mergeCell ref="I769:I771"/>
    <mergeCell ref="N769:N771"/>
    <mergeCell ref="D766:D767"/>
    <mergeCell ref="E766:E767"/>
    <mergeCell ref="F766:F767"/>
    <mergeCell ref="G766:G767"/>
    <mergeCell ref="H766:H767"/>
    <mergeCell ref="I766:I767"/>
    <mergeCell ref="N762:N763"/>
    <mergeCell ref="D764:D765"/>
    <mergeCell ref="E764:E765"/>
    <mergeCell ref="F764:F765"/>
    <mergeCell ref="G764:G765"/>
    <mergeCell ref="H764:H765"/>
    <mergeCell ref="I764:I765"/>
    <mergeCell ref="N764:N765"/>
    <mergeCell ref="D762:D763"/>
    <mergeCell ref="E762:E763"/>
    <mergeCell ref="F762:F763"/>
    <mergeCell ref="G762:G763"/>
    <mergeCell ref="H762:H763"/>
    <mergeCell ref="I762:I763"/>
    <mergeCell ref="G755:G756"/>
    <mergeCell ref="H755:H756"/>
    <mergeCell ref="I755:I756"/>
    <mergeCell ref="N755:N756"/>
    <mergeCell ref="G743:G744"/>
    <mergeCell ref="H743:H744"/>
    <mergeCell ref="I743:I744"/>
    <mergeCell ref="N743:N744"/>
    <mergeCell ref="D755:D756"/>
    <mergeCell ref="E755:E756"/>
    <mergeCell ref="F755:F756"/>
    <mergeCell ref="D743:D744"/>
    <mergeCell ref="E743:E744"/>
    <mergeCell ref="F743:F744"/>
    <mergeCell ref="G741:G742"/>
    <mergeCell ref="H741:H742"/>
    <mergeCell ref="I741:I742"/>
    <mergeCell ref="N741:N742"/>
    <mergeCell ref="G739:G740"/>
    <mergeCell ref="H739:H740"/>
    <mergeCell ref="I739:I740"/>
    <mergeCell ref="N739:N740"/>
    <mergeCell ref="D741:D742"/>
    <mergeCell ref="E741:E742"/>
    <mergeCell ref="F741:F742"/>
    <mergeCell ref="D739:D740"/>
    <mergeCell ref="E739:E740"/>
    <mergeCell ref="F739:F740"/>
    <mergeCell ref="G736:G737"/>
    <mergeCell ref="H736:H737"/>
    <mergeCell ref="I736:I737"/>
    <mergeCell ref="N736:N737"/>
    <mergeCell ref="G734:G735"/>
    <mergeCell ref="H734:H735"/>
    <mergeCell ref="I734:I735"/>
    <mergeCell ref="N734:N735"/>
    <mergeCell ref="D736:D737"/>
    <mergeCell ref="E736:E737"/>
    <mergeCell ref="F736:F737"/>
    <mergeCell ref="G730:G732"/>
    <mergeCell ref="H730:H732"/>
    <mergeCell ref="I730:I732"/>
    <mergeCell ref="N730:N732"/>
    <mergeCell ref="D734:D735"/>
    <mergeCell ref="E734:E735"/>
    <mergeCell ref="F734:F735"/>
    <mergeCell ref="D730:D732"/>
    <mergeCell ref="E730:E732"/>
    <mergeCell ref="F730:F732"/>
    <mergeCell ref="N719:N720"/>
    <mergeCell ref="D728:D729"/>
    <mergeCell ref="E728:E729"/>
    <mergeCell ref="F728:F729"/>
    <mergeCell ref="N728:N729"/>
    <mergeCell ref="D719:D720"/>
    <mergeCell ref="E719:E720"/>
    <mergeCell ref="F719:F720"/>
    <mergeCell ref="G719:G720"/>
    <mergeCell ref="H719:H720"/>
    <mergeCell ref="I719:I720"/>
    <mergeCell ref="G713:G714"/>
    <mergeCell ref="H713:H714"/>
    <mergeCell ref="I713:I714"/>
    <mergeCell ref="N713:N714"/>
    <mergeCell ref="G711:G712"/>
    <mergeCell ref="H711:H712"/>
    <mergeCell ref="I711:I712"/>
    <mergeCell ref="N711:N712"/>
    <mergeCell ref="D713:D714"/>
    <mergeCell ref="E713:E714"/>
    <mergeCell ref="F713:F714"/>
    <mergeCell ref="D711:D712"/>
    <mergeCell ref="E711:E712"/>
    <mergeCell ref="F711:F712"/>
    <mergeCell ref="G709:G710"/>
    <mergeCell ref="H709:H710"/>
    <mergeCell ref="I709:I710"/>
    <mergeCell ref="N709:N710"/>
    <mergeCell ref="G706:G707"/>
    <mergeCell ref="H706:H707"/>
    <mergeCell ref="I706:I707"/>
    <mergeCell ref="N706:N707"/>
    <mergeCell ref="D709:D710"/>
    <mergeCell ref="E709:E710"/>
    <mergeCell ref="F709:F710"/>
    <mergeCell ref="D706:D707"/>
    <mergeCell ref="E706:E707"/>
    <mergeCell ref="F706:F707"/>
    <mergeCell ref="N699:N700"/>
    <mergeCell ref="D704:D705"/>
    <mergeCell ref="E704:E705"/>
    <mergeCell ref="F704:F705"/>
    <mergeCell ref="G704:G705"/>
    <mergeCell ref="H704:H705"/>
    <mergeCell ref="I704:I705"/>
    <mergeCell ref="N704:N705"/>
    <mergeCell ref="N687:N688"/>
    <mergeCell ref="D699:D700"/>
    <mergeCell ref="E699:E700"/>
    <mergeCell ref="F699:F700"/>
    <mergeCell ref="G699:G700"/>
    <mergeCell ref="H699:H700"/>
    <mergeCell ref="I685:I686"/>
    <mergeCell ref="N685:N686"/>
    <mergeCell ref="D687:D688"/>
    <mergeCell ref="E687:E688"/>
    <mergeCell ref="F687:F688"/>
    <mergeCell ref="G687:G688"/>
    <mergeCell ref="H687:H688"/>
    <mergeCell ref="N683:N684"/>
    <mergeCell ref="D685:D686"/>
    <mergeCell ref="E685:E686"/>
    <mergeCell ref="F685:F686"/>
    <mergeCell ref="G685:G686"/>
    <mergeCell ref="H685:H686"/>
    <mergeCell ref="D683:D684"/>
    <mergeCell ref="E683:E684"/>
    <mergeCell ref="F683:F684"/>
    <mergeCell ref="G683:G684"/>
    <mergeCell ref="H683:H684"/>
    <mergeCell ref="I683:I684"/>
    <mergeCell ref="G676:G677"/>
    <mergeCell ref="H676:H677"/>
    <mergeCell ref="I676:I677"/>
    <mergeCell ref="N676:N677"/>
    <mergeCell ref="G673:G674"/>
    <mergeCell ref="H673:H674"/>
    <mergeCell ref="I673:I674"/>
    <mergeCell ref="N673:N674"/>
    <mergeCell ref="D676:D677"/>
    <mergeCell ref="E676:E677"/>
    <mergeCell ref="F676:F677"/>
    <mergeCell ref="G671:G672"/>
    <mergeCell ref="H671:H672"/>
    <mergeCell ref="I671:I672"/>
    <mergeCell ref="N671:N672"/>
    <mergeCell ref="D673:D674"/>
    <mergeCell ref="E673:E674"/>
    <mergeCell ref="F673:F674"/>
    <mergeCell ref="D671:D672"/>
    <mergeCell ref="E671:E672"/>
    <mergeCell ref="F671:F672"/>
    <mergeCell ref="G668:G669"/>
    <mergeCell ref="H668:H669"/>
    <mergeCell ref="I668:I669"/>
    <mergeCell ref="N668:N669"/>
    <mergeCell ref="G666:G667"/>
    <mergeCell ref="H666:H667"/>
    <mergeCell ref="I666:I667"/>
    <mergeCell ref="N666:N667"/>
    <mergeCell ref="D668:D669"/>
    <mergeCell ref="E668:E669"/>
    <mergeCell ref="F668:F669"/>
    <mergeCell ref="D666:D667"/>
    <mergeCell ref="E666:E667"/>
    <mergeCell ref="F666:F667"/>
    <mergeCell ref="D661:D663"/>
    <mergeCell ref="E661:E663"/>
    <mergeCell ref="F661:F663"/>
    <mergeCell ref="G661:G663"/>
    <mergeCell ref="H661:H663"/>
    <mergeCell ref="I661:I663"/>
    <mergeCell ref="G658:G659"/>
    <mergeCell ref="H658:H659"/>
    <mergeCell ref="I658:I659"/>
    <mergeCell ref="N658:N659"/>
    <mergeCell ref="N661:N663"/>
    <mergeCell ref="G656:G657"/>
    <mergeCell ref="H656:H657"/>
    <mergeCell ref="N656:N657"/>
    <mergeCell ref="D658:D659"/>
    <mergeCell ref="E658:E659"/>
    <mergeCell ref="F658:F659"/>
    <mergeCell ref="D656:D657"/>
    <mergeCell ref="E656:E657"/>
    <mergeCell ref="F656:F657"/>
    <mergeCell ref="G654:G655"/>
    <mergeCell ref="H654:H655"/>
    <mergeCell ref="I654:I655"/>
    <mergeCell ref="N654:N655"/>
    <mergeCell ref="N651:N652"/>
    <mergeCell ref="D654:D655"/>
    <mergeCell ref="E654:E655"/>
    <mergeCell ref="F654:F655"/>
    <mergeCell ref="D651:D652"/>
    <mergeCell ref="E651:E652"/>
    <mergeCell ref="F651:F652"/>
    <mergeCell ref="G651:G652"/>
    <mergeCell ref="H651:H652"/>
    <mergeCell ref="I651:I652"/>
    <mergeCell ref="G646:G647"/>
    <mergeCell ref="H646:H647"/>
    <mergeCell ref="I646:I647"/>
    <mergeCell ref="N646:N647"/>
    <mergeCell ref="G643:G644"/>
    <mergeCell ref="H643:H644"/>
    <mergeCell ref="I643:I644"/>
    <mergeCell ref="N643:N644"/>
    <mergeCell ref="D646:D647"/>
    <mergeCell ref="E646:E647"/>
    <mergeCell ref="F646:F647"/>
    <mergeCell ref="D643:D644"/>
    <mergeCell ref="E643:E644"/>
    <mergeCell ref="F643:F644"/>
    <mergeCell ref="G641:G642"/>
    <mergeCell ref="H641:H642"/>
    <mergeCell ref="I641:I642"/>
    <mergeCell ref="N641:N642"/>
    <mergeCell ref="G638:G639"/>
    <mergeCell ref="H638:H639"/>
    <mergeCell ref="I638:I639"/>
    <mergeCell ref="N638:N639"/>
    <mergeCell ref="D641:D642"/>
    <mergeCell ref="E641:E642"/>
    <mergeCell ref="F641:F642"/>
    <mergeCell ref="D638:D639"/>
    <mergeCell ref="E638:E639"/>
    <mergeCell ref="F638:F639"/>
    <mergeCell ref="N634:N635"/>
    <mergeCell ref="D636:D637"/>
    <mergeCell ref="E636:E637"/>
    <mergeCell ref="F636:F637"/>
    <mergeCell ref="G636:G637"/>
    <mergeCell ref="H636:H637"/>
    <mergeCell ref="I636:I637"/>
    <mergeCell ref="N636:N637"/>
    <mergeCell ref="G632:G633"/>
    <mergeCell ref="H632:H633"/>
    <mergeCell ref="I632:I633"/>
    <mergeCell ref="N632:N633"/>
    <mergeCell ref="D634:D635"/>
    <mergeCell ref="E634:E635"/>
    <mergeCell ref="F634:F635"/>
    <mergeCell ref="G634:G635"/>
    <mergeCell ref="H634:H635"/>
    <mergeCell ref="I634:I635"/>
    <mergeCell ref="H628:H630"/>
    <mergeCell ref="I628:I630"/>
    <mergeCell ref="N628:N630"/>
    <mergeCell ref="D632:D633"/>
    <mergeCell ref="E632:E633"/>
    <mergeCell ref="F632:F633"/>
    <mergeCell ref="I625:I626"/>
    <mergeCell ref="N625:N626"/>
    <mergeCell ref="D628:D630"/>
    <mergeCell ref="E628:E630"/>
    <mergeCell ref="F628:F630"/>
    <mergeCell ref="G628:G630"/>
    <mergeCell ref="H623:H624"/>
    <mergeCell ref="I623:I624"/>
    <mergeCell ref="N623:N624"/>
    <mergeCell ref="D625:D626"/>
    <mergeCell ref="E625:E626"/>
    <mergeCell ref="F625:F626"/>
    <mergeCell ref="G625:G626"/>
    <mergeCell ref="H625:H626"/>
    <mergeCell ref="G621:G622"/>
    <mergeCell ref="H621:H622"/>
    <mergeCell ref="N621:N622"/>
    <mergeCell ref="D623:D624"/>
    <mergeCell ref="E623:E624"/>
    <mergeCell ref="F623:F624"/>
    <mergeCell ref="G623:G624"/>
    <mergeCell ref="G619:G620"/>
    <mergeCell ref="H619:H620"/>
    <mergeCell ref="I619:I620"/>
    <mergeCell ref="N619:N620"/>
    <mergeCell ref="D621:D622"/>
    <mergeCell ref="E621:E622"/>
    <mergeCell ref="F621:F622"/>
    <mergeCell ref="D619:D620"/>
    <mergeCell ref="E619:E620"/>
    <mergeCell ref="F619:F620"/>
    <mergeCell ref="G616:G617"/>
    <mergeCell ref="H616:H617"/>
    <mergeCell ref="I616:I617"/>
    <mergeCell ref="N616:N617"/>
    <mergeCell ref="G609:G610"/>
    <mergeCell ref="H609:H610"/>
    <mergeCell ref="I609:I610"/>
    <mergeCell ref="N609:N610"/>
    <mergeCell ref="D616:D617"/>
    <mergeCell ref="E616:E617"/>
    <mergeCell ref="F616:F617"/>
    <mergeCell ref="D609:D610"/>
    <mergeCell ref="E609:E610"/>
    <mergeCell ref="F609:F610"/>
    <mergeCell ref="G607:G608"/>
    <mergeCell ref="H607:H608"/>
    <mergeCell ref="I607:I608"/>
    <mergeCell ref="N607:N608"/>
    <mergeCell ref="G605:G606"/>
    <mergeCell ref="H605:H606"/>
    <mergeCell ref="I605:I606"/>
    <mergeCell ref="N605:N606"/>
    <mergeCell ref="D607:D608"/>
    <mergeCell ref="E607:E608"/>
    <mergeCell ref="F607:F608"/>
    <mergeCell ref="D605:D606"/>
    <mergeCell ref="E605:E606"/>
    <mergeCell ref="F605:F606"/>
    <mergeCell ref="G601:G602"/>
    <mergeCell ref="H601:H602"/>
    <mergeCell ref="I601:I602"/>
    <mergeCell ref="N601:N602"/>
    <mergeCell ref="G599:G600"/>
    <mergeCell ref="H599:H600"/>
    <mergeCell ref="I599:I600"/>
    <mergeCell ref="N599:N600"/>
    <mergeCell ref="D601:D602"/>
    <mergeCell ref="E601:E602"/>
    <mergeCell ref="F601:F602"/>
    <mergeCell ref="D599:D600"/>
    <mergeCell ref="E599:E600"/>
    <mergeCell ref="F599:F600"/>
    <mergeCell ref="N592:N593"/>
    <mergeCell ref="D594:D595"/>
    <mergeCell ref="E594:E595"/>
    <mergeCell ref="F594:F595"/>
    <mergeCell ref="G594:G595"/>
    <mergeCell ref="H594:H595"/>
    <mergeCell ref="I594:I595"/>
    <mergeCell ref="N594:N595"/>
    <mergeCell ref="N589:N590"/>
    <mergeCell ref="D592:D593"/>
    <mergeCell ref="E592:E593"/>
    <mergeCell ref="F592:F593"/>
    <mergeCell ref="G592:G593"/>
    <mergeCell ref="H592:H593"/>
    <mergeCell ref="I592:I593"/>
    <mergeCell ref="D589:D590"/>
    <mergeCell ref="E589:E590"/>
    <mergeCell ref="F589:F590"/>
    <mergeCell ref="G589:G590"/>
    <mergeCell ref="H589:H590"/>
    <mergeCell ref="I589:I590"/>
    <mergeCell ref="N584:N585"/>
    <mergeCell ref="D587:D588"/>
    <mergeCell ref="E587:E588"/>
    <mergeCell ref="F587:F588"/>
    <mergeCell ref="G587:G588"/>
    <mergeCell ref="H587:H588"/>
    <mergeCell ref="I587:I588"/>
    <mergeCell ref="N587:N588"/>
    <mergeCell ref="G582:G583"/>
    <mergeCell ref="H582:H583"/>
    <mergeCell ref="I582:I583"/>
    <mergeCell ref="N582:N583"/>
    <mergeCell ref="D584:D585"/>
    <mergeCell ref="E584:E585"/>
    <mergeCell ref="F584:F585"/>
    <mergeCell ref="G584:G585"/>
    <mergeCell ref="H584:H585"/>
    <mergeCell ref="G579:G580"/>
    <mergeCell ref="H579:H580"/>
    <mergeCell ref="I579:I580"/>
    <mergeCell ref="N579:N580"/>
    <mergeCell ref="D582:D583"/>
    <mergeCell ref="E582:E583"/>
    <mergeCell ref="F582:F583"/>
    <mergeCell ref="D579:D580"/>
    <mergeCell ref="E579:E580"/>
    <mergeCell ref="F579:F580"/>
    <mergeCell ref="G572:G573"/>
    <mergeCell ref="H572:H573"/>
    <mergeCell ref="I572:I573"/>
    <mergeCell ref="N572:N573"/>
    <mergeCell ref="G570:G571"/>
    <mergeCell ref="H570:H571"/>
    <mergeCell ref="I570:I571"/>
    <mergeCell ref="N570:N571"/>
    <mergeCell ref="D572:D573"/>
    <mergeCell ref="E572:E573"/>
    <mergeCell ref="F572:F573"/>
    <mergeCell ref="D570:D571"/>
    <mergeCell ref="E570:E571"/>
    <mergeCell ref="F570:F571"/>
    <mergeCell ref="G568:G569"/>
    <mergeCell ref="H568:H569"/>
    <mergeCell ref="I568:I569"/>
    <mergeCell ref="N568:N569"/>
    <mergeCell ref="G566:G567"/>
    <mergeCell ref="H566:H567"/>
    <mergeCell ref="I566:I567"/>
    <mergeCell ref="N566:N567"/>
    <mergeCell ref="D568:D569"/>
    <mergeCell ref="E568:E569"/>
    <mergeCell ref="F568:F569"/>
    <mergeCell ref="D566:D567"/>
    <mergeCell ref="E566:E567"/>
    <mergeCell ref="F566:F567"/>
    <mergeCell ref="G563:G564"/>
    <mergeCell ref="H563:H564"/>
    <mergeCell ref="I563:I564"/>
    <mergeCell ref="N563:N564"/>
    <mergeCell ref="G561:G562"/>
    <mergeCell ref="H561:H562"/>
    <mergeCell ref="I561:I562"/>
    <mergeCell ref="N561:N562"/>
    <mergeCell ref="D563:D564"/>
    <mergeCell ref="E563:E564"/>
    <mergeCell ref="F563:F564"/>
    <mergeCell ref="D561:D562"/>
    <mergeCell ref="E561:E562"/>
    <mergeCell ref="F561:F562"/>
    <mergeCell ref="D559:D560"/>
    <mergeCell ref="E559:E560"/>
    <mergeCell ref="F559:F560"/>
    <mergeCell ref="G559:G560"/>
    <mergeCell ref="H559:H560"/>
    <mergeCell ref="N559:N560"/>
    <mergeCell ref="G557:G558"/>
    <mergeCell ref="H557:H558"/>
    <mergeCell ref="I557:I558"/>
    <mergeCell ref="N557:N558"/>
    <mergeCell ref="G555:G556"/>
    <mergeCell ref="H555:H556"/>
    <mergeCell ref="I555:I556"/>
    <mergeCell ref="N555:N556"/>
    <mergeCell ref="D557:D558"/>
    <mergeCell ref="E557:E558"/>
    <mergeCell ref="F557:F558"/>
    <mergeCell ref="D555:D556"/>
    <mergeCell ref="E555:E556"/>
    <mergeCell ref="F555:F556"/>
    <mergeCell ref="D552:D553"/>
    <mergeCell ref="E552:E553"/>
    <mergeCell ref="F552:F553"/>
    <mergeCell ref="G552:G553"/>
    <mergeCell ref="H552:H553"/>
    <mergeCell ref="N552:N553"/>
    <mergeCell ref="G546:G547"/>
    <mergeCell ref="H546:H547"/>
    <mergeCell ref="I546:I547"/>
    <mergeCell ref="N546:N547"/>
    <mergeCell ref="G544:G545"/>
    <mergeCell ref="H544:H545"/>
    <mergeCell ref="I544:I545"/>
    <mergeCell ref="N544:N545"/>
    <mergeCell ref="D546:D547"/>
    <mergeCell ref="E546:E547"/>
    <mergeCell ref="F546:F547"/>
    <mergeCell ref="G537:G538"/>
    <mergeCell ref="H537:H538"/>
    <mergeCell ref="I537:I538"/>
    <mergeCell ref="N537:N538"/>
    <mergeCell ref="D544:D545"/>
    <mergeCell ref="E544:E545"/>
    <mergeCell ref="F544:F545"/>
    <mergeCell ref="G535:G536"/>
    <mergeCell ref="H535:H536"/>
    <mergeCell ref="I535:I536"/>
    <mergeCell ref="N535:N536"/>
    <mergeCell ref="D537:D538"/>
    <mergeCell ref="E537:E538"/>
    <mergeCell ref="G533:G534"/>
    <mergeCell ref="H533:H534"/>
    <mergeCell ref="I533:I534"/>
    <mergeCell ref="N533:N534"/>
    <mergeCell ref="D535:D536"/>
    <mergeCell ref="E535:E536"/>
    <mergeCell ref="G531:G532"/>
    <mergeCell ref="H531:H532"/>
    <mergeCell ref="I531:I532"/>
    <mergeCell ref="N531:N532"/>
    <mergeCell ref="D533:D534"/>
    <mergeCell ref="E533:E534"/>
    <mergeCell ref="G528:G529"/>
    <mergeCell ref="H528:H529"/>
    <mergeCell ref="I528:I529"/>
    <mergeCell ref="N528:N529"/>
    <mergeCell ref="D531:D532"/>
    <mergeCell ref="E531:E532"/>
    <mergeCell ref="G526:G527"/>
    <mergeCell ref="H526:H527"/>
    <mergeCell ref="I526:I527"/>
    <mergeCell ref="N526:N527"/>
    <mergeCell ref="D528:D529"/>
    <mergeCell ref="E528:E529"/>
    <mergeCell ref="D526:D527"/>
    <mergeCell ref="E526:E527"/>
    <mergeCell ref="G522:G523"/>
    <mergeCell ref="H522:H523"/>
    <mergeCell ref="I522:I523"/>
    <mergeCell ref="N522:N523"/>
    <mergeCell ref="D524:D525"/>
    <mergeCell ref="E524:E525"/>
    <mergeCell ref="G524:G525"/>
    <mergeCell ref="H524:H525"/>
    <mergeCell ref="I524:I525"/>
    <mergeCell ref="N524:N525"/>
    <mergeCell ref="G517:G518"/>
    <mergeCell ref="H517:H518"/>
    <mergeCell ref="I517:I518"/>
    <mergeCell ref="N517:N518"/>
    <mergeCell ref="D522:D523"/>
    <mergeCell ref="E522:E523"/>
    <mergeCell ref="D517:D518"/>
    <mergeCell ref="E517:E518"/>
    <mergeCell ref="G512:G513"/>
    <mergeCell ref="H512:H513"/>
    <mergeCell ref="I512:I513"/>
    <mergeCell ref="N512:N513"/>
    <mergeCell ref="D515:D516"/>
    <mergeCell ref="E515:E516"/>
    <mergeCell ref="G515:G516"/>
    <mergeCell ref="H515:H516"/>
    <mergeCell ref="I515:I516"/>
    <mergeCell ref="N515:N516"/>
    <mergeCell ref="G509:G510"/>
    <mergeCell ref="H509:H510"/>
    <mergeCell ref="I509:I510"/>
    <mergeCell ref="N509:N510"/>
    <mergeCell ref="D512:D513"/>
    <mergeCell ref="E512:E513"/>
    <mergeCell ref="G507:G508"/>
    <mergeCell ref="H507:H508"/>
    <mergeCell ref="I507:I508"/>
    <mergeCell ref="N507:N508"/>
    <mergeCell ref="D509:D510"/>
    <mergeCell ref="E509:E510"/>
    <mergeCell ref="G504:G505"/>
    <mergeCell ref="H504:H505"/>
    <mergeCell ref="I504:I505"/>
    <mergeCell ref="N504:N505"/>
    <mergeCell ref="D507:D508"/>
    <mergeCell ref="E507:E508"/>
    <mergeCell ref="D504:D505"/>
    <mergeCell ref="E504:E505"/>
    <mergeCell ref="H498:H499"/>
    <mergeCell ref="I498:I499"/>
    <mergeCell ref="N498:N499"/>
    <mergeCell ref="D500:D501"/>
    <mergeCell ref="E500:E501"/>
    <mergeCell ref="G500:G501"/>
    <mergeCell ref="H500:H501"/>
    <mergeCell ref="I500:I501"/>
    <mergeCell ref="N500:N501"/>
    <mergeCell ref="G495:G497"/>
    <mergeCell ref="H495:H497"/>
    <mergeCell ref="I495:I497"/>
    <mergeCell ref="N495:N497"/>
    <mergeCell ref="D498:D499"/>
    <mergeCell ref="E498:E499"/>
    <mergeCell ref="G498:G499"/>
    <mergeCell ref="D495:D497"/>
    <mergeCell ref="E495:E497"/>
    <mergeCell ref="D492:D493"/>
    <mergeCell ref="E492:E493"/>
    <mergeCell ref="G492:G493"/>
    <mergeCell ref="H492:H493"/>
    <mergeCell ref="I492:I493"/>
    <mergeCell ref="N492:N493"/>
    <mergeCell ref="D490:D491"/>
    <mergeCell ref="E490:E491"/>
    <mergeCell ref="G490:G491"/>
    <mergeCell ref="H490:H491"/>
    <mergeCell ref="I490:I491"/>
    <mergeCell ref="N490:N491"/>
    <mergeCell ref="D488:D489"/>
    <mergeCell ref="E488:E489"/>
    <mergeCell ref="G488:G489"/>
    <mergeCell ref="H488:H489"/>
    <mergeCell ref="I488:I489"/>
    <mergeCell ref="N488:N489"/>
    <mergeCell ref="H483:H484"/>
    <mergeCell ref="I483:I484"/>
    <mergeCell ref="N483:N484"/>
    <mergeCell ref="G480:G482"/>
    <mergeCell ref="H480:H482"/>
    <mergeCell ref="I480:I482"/>
    <mergeCell ref="N480:N482"/>
    <mergeCell ref="D483:D484"/>
    <mergeCell ref="E483:E484"/>
    <mergeCell ref="G483:G484"/>
    <mergeCell ref="G473:G474"/>
    <mergeCell ref="H473:H474"/>
    <mergeCell ref="I473:I474"/>
    <mergeCell ref="N473:N474"/>
    <mergeCell ref="D480:D482"/>
    <mergeCell ref="E480:E482"/>
    <mergeCell ref="G470:G471"/>
    <mergeCell ref="H470:H471"/>
    <mergeCell ref="I470:I471"/>
    <mergeCell ref="N470:N471"/>
    <mergeCell ref="D473:D474"/>
    <mergeCell ref="E473:E474"/>
    <mergeCell ref="G468:G469"/>
    <mergeCell ref="H468:H469"/>
    <mergeCell ref="I468:I469"/>
    <mergeCell ref="N468:N469"/>
    <mergeCell ref="D470:D471"/>
    <mergeCell ref="E470:E471"/>
    <mergeCell ref="G466:G467"/>
    <mergeCell ref="H466:H467"/>
    <mergeCell ref="I466:I467"/>
    <mergeCell ref="N466:N467"/>
    <mergeCell ref="D468:D469"/>
    <mergeCell ref="E468:E469"/>
    <mergeCell ref="G463:G464"/>
    <mergeCell ref="H463:H464"/>
    <mergeCell ref="I463:I464"/>
    <mergeCell ref="N463:N464"/>
    <mergeCell ref="D466:D467"/>
    <mergeCell ref="E466:E467"/>
    <mergeCell ref="G461:G462"/>
    <mergeCell ref="H461:H462"/>
    <mergeCell ref="I461:I462"/>
    <mergeCell ref="N461:N462"/>
    <mergeCell ref="D463:D464"/>
    <mergeCell ref="E463:E464"/>
    <mergeCell ref="D461:D462"/>
    <mergeCell ref="E461:E462"/>
    <mergeCell ref="G452:G453"/>
    <mergeCell ref="H452:H453"/>
    <mergeCell ref="I452:I453"/>
    <mergeCell ref="N452:N453"/>
    <mergeCell ref="D457:D459"/>
    <mergeCell ref="E457:E459"/>
    <mergeCell ref="G457:G459"/>
    <mergeCell ref="H457:H459"/>
    <mergeCell ref="I457:I459"/>
    <mergeCell ref="N457:N459"/>
    <mergeCell ref="D452:D453"/>
    <mergeCell ref="E452:E453"/>
    <mergeCell ref="I447:I448"/>
    <mergeCell ref="N447:N448"/>
    <mergeCell ref="D449:D450"/>
    <mergeCell ref="E449:E450"/>
    <mergeCell ref="G449:G450"/>
    <mergeCell ref="H449:H450"/>
    <mergeCell ref="N449:N450"/>
    <mergeCell ref="I440:I441"/>
    <mergeCell ref="N440:N441"/>
    <mergeCell ref="D447:D448"/>
    <mergeCell ref="E447:E448"/>
    <mergeCell ref="G447:G448"/>
    <mergeCell ref="H447:H448"/>
    <mergeCell ref="D440:D441"/>
    <mergeCell ref="E440:E441"/>
    <mergeCell ref="G440:G441"/>
    <mergeCell ref="H440:H441"/>
    <mergeCell ref="I436:I437"/>
    <mergeCell ref="N436:N437"/>
    <mergeCell ref="D438:D439"/>
    <mergeCell ref="E438:E439"/>
    <mergeCell ref="G438:G439"/>
    <mergeCell ref="H438:H439"/>
    <mergeCell ref="I438:I439"/>
    <mergeCell ref="N438:N439"/>
    <mergeCell ref="D436:D437"/>
    <mergeCell ref="E436:E437"/>
    <mergeCell ref="G436:G437"/>
    <mergeCell ref="H436:H437"/>
    <mergeCell ref="I432:I433"/>
    <mergeCell ref="N432:N433"/>
    <mergeCell ref="D434:D435"/>
    <mergeCell ref="E434:E435"/>
    <mergeCell ref="G434:G435"/>
    <mergeCell ref="H434:H435"/>
    <mergeCell ref="I434:I435"/>
    <mergeCell ref="N434:N435"/>
    <mergeCell ref="D432:D433"/>
    <mergeCell ref="E432:E433"/>
    <mergeCell ref="G432:G433"/>
    <mergeCell ref="H432:H433"/>
    <mergeCell ref="I427:I428"/>
    <mergeCell ref="N427:N428"/>
    <mergeCell ref="D429:D430"/>
    <mergeCell ref="E429:E430"/>
    <mergeCell ref="G429:G430"/>
    <mergeCell ref="H429:H430"/>
    <mergeCell ref="I429:I430"/>
    <mergeCell ref="N429:N430"/>
    <mergeCell ref="D427:D428"/>
    <mergeCell ref="E427:E428"/>
    <mergeCell ref="G427:G428"/>
    <mergeCell ref="H427:H428"/>
    <mergeCell ref="N422:N423"/>
    <mergeCell ref="D424:D425"/>
    <mergeCell ref="E424:E425"/>
    <mergeCell ref="G424:G425"/>
    <mergeCell ref="H424:H425"/>
    <mergeCell ref="I424:I425"/>
    <mergeCell ref="N424:N425"/>
    <mergeCell ref="D422:D423"/>
    <mergeCell ref="G422:G423"/>
    <mergeCell ref="H422:H423"/>
    <mergeCell ref="I422:I423"/>
    <mergeCell ref="N411:N412"/>
    <mergeCell ref="D417:D418"/>
    <mergeCell ref="E417:E418"/>
    <mergeCell ref="G417:G418"/>
    <mergeCell ref="H417:H418"/>
    <mergeCell ref="I417:I418"/>
    <mergeCell ref="N417:N418"/>
    <mergeCell ref="H404:H405"/>
    <mergeCell ref="I404:I405"/>
    <mergeCell ref="N404:N405"/>
    <mergeCell ref="D411:D412"/>
    <mergeCell ref="E411:E412"/>
    <mergeCell ref="G411:G412"/>
    <mergeCell ref="H411:H412"/>
    <mergeCell ref="I411:I412"/>
    <mergeCell ref="G402:G403"/>
    <mergeCell ref="H402:H403"/>
    <mergeCell ref="I402:I403"/>
    <mergeCell ref="D404:D405"/>
    <mergeCell ref="E404:E405"/>
    <mergeCell ref="G404:G405"/>
    <mergeCell ref="G400:G401"/>
    <mergeCell ref="H400:H401"/>
    <mergeCell ref="I400:I401"/>
    <mergeCell ref="N400:N401"/>
    <mergeCell ref="D402:D403"/>
    <mergeCell ref="E402:E403"/>
    <mergeCell ref="G398:G399"/>
    <mergeCell ref="H398:H399"/>
    <mergeCell ref="I398:I399"/>
    <mergeCell ref="N398:N399"/>
    <mergeCell ref="D400:D401"/>
    <mergeCell ref="E400:E401"/>
    <mergeCell ref="G396:G397"/>
    <mergeCell ref="H396:H397"/>
    <mergeCell ref="I396:I397"/>
    <mergeCell ref="N396:N397"/>
    <mergeCell ref="D398:D399"/>
    <mergeCell ref="E398:E399"/>
    <mergeCell ref="G393:G394"/>
    <mergeCell ref="H393:H394"/>
    <mergeCell ref="I393:I394"/>
    <mergeCell ref="N393:N394"/>
    <mergeCell ref="D396:D397"/>
    <mergeCell ref="E396:E397"/>
    <mergeCell ref="G391:G392"/>
    <mergeCell ref="H391:H392"/>
    <mergeCell ref="I391:I392"/>
    <mergeCell ref="N391:N392"/>
    <mergeCell ref="D393:D394"/>
    <mergeCell ref="E393:E394"/>
    <mergeCell ref="G385:G386"/>
    <mergeCell ref="H385:H386"/>
    <mergeCell ref="I385:I386"/>
    <mergeCell ref="N385:N386"/>
    <mergeCell ref="D391:D392"/>
    <mergeCell ref="E391:E392"/>
    <mergeCell ref="G383:G384"/>
    <mergeCell ref="H383:H384"/>
    <mergeCell ref="I383:I384"/>
    <mergeCell ref="N383:N384"/>
    <mergeCell ref="D385:D386"/>
    <mergeCell ref="E385:E386"/>
    <mergeCell ref="D380:D381"/>
    <mergeCell ref="E380:E381"/>
    <mergeCell ref="D383:D384"/>
    <mergeCell ref="G374:G375"/>
    <mergeCell ref="H374:H375"/>
    <mergeCell ref="I374:I375"/>
    <mergeCell ref="N374:N375"/>
    <mergeCell ref="D378:D379"/>
    <mergeCell ref="E378:E379"/>
    <mergeCell ref="G372:G373"/>
    <mergeCell ref="H372:H373"/>
    <mergeCell ref="I372:I373"/>
    <mergeCell ref="N372:N373"/>
    <mergeCell ref="D374:D375"/>
    <mergeCell ref="E374:E375"/>
    <mergeCell ref="G367:G369"/>
    <mergeCell ref="H367:H369"/>
    <mergeCell ref="I367:I369"/>
    <mergeCell ref="N367:N369"/>
    <mergeCell ref="D372:D373"/>
    <mergeCell ref="E372:E373"/>
    <mergeCell ref="D367:D369"/>
    <mergeCell ref="E367:E369"/>
    <mergeCell ref="D365:D366"/>
    <mergeCell ref="E365:E366"/>
    <mergeCell ref="G365:G366"/>
    <mergeCell ref="H365:H366"/>
    <mergeCell ref="I365:I366"/>
    <mergeCell ref="N365:N366"/>
    <mergeCell ref="G363:G364"/>
    <mergeCell ref="H363:H364"/>
    <mergeCell ref="I363:I364"/>
    <mergeCell ref="N363:N364"/>
    <mergeCell ref="D363:D364"/>
    <mergeCell ref="E363:E364"/>
    <mergeCell ref="N356:N357"/>
    <mergeCell ref="D359:D361"/>
    <mergeCell ref="E359:E361"/>
    <mergeCell ref="G359:G361"/>
    <mergeCell ref="H359:H361"/>
    <mergeCell ref="I359:I361"/>
    <mergeCell ref="N359:N361"/>
    <mergeCell ref="N352:N354"/>
    <mergeCell ref="D356:D357"/>
    <mergeCell ref="E356:E357"/>
    <mergeCell ref="G356:G357"/>
    <mergeCell ref="H356:H357"/>
    <mergeCell ref="I356:I357"/>
    <mergeCell ref="N348:N349"/>
    <mergeCell ref="D352:D354"/>
    <mergeCell ref="E352:E354"/>
    <mergeCell ref="G352:G354"/>
    <mergeCell ref="H352:H354"/>
    <mergeCell ref="I352:I354"/>
    <mergeCell ref="N346:N347"/>
    <mergeCell ref="D348:D349"/>
    <mergeCell ref="E348:E349"/>
    <mergeCell ref="G348:G349"/>
    <mergeCell ref="H348:H349"/>
    <mergeCell ref="I348:I349"/>
    <mergeCell ref="N344:N345"/>
    <mergeCell ref="D346:D347"/>
    <mergeCell ref="E346:E347"/>
    <mergeCell ref="G346:G347"/>
    <mergeCell ref="H346:H347"/>
    <mergeCell ref="I346:I347"/>
    <mergeCell ref="N339:N340"/>
    <mergeCell ref="D344:D345"/>
    <mergeCell ref="E344:E345"/>
    <mergeCell ref="G344:G345"/>
    <mergeCell ref="H344:H345"/>
    <mergeCell ref="I344:I345"/>
    <mergeCell ref="G337:G338"/>
    <mergeCell ref="H337:H338"/>
    <mergeCell ref="I337:I338"/>
    <mergeCell ref="D339:D340"/>
    <mergeCell ref="E339:E340"/>
    <mergeCell ref="G339:G340"/>
    <mergeCell ref="H339:H340"/>
    <mergeCell ref="G335:G336"/>
    <mergeCell ref="H335:H336"/>
    <mergeCell ref="I335:I336"/>
    <mergeCell ref="N335:N336"/>
    <mergeCell ref="D337:D338"/>
    <mergeCell ref="E337:E338"/>
    <mergeCell ref="G333:G334"/>
    <mergeCell ref="H333:H334"/>
    <mergeCell ref="I333:I334"/>
    <mergeCell ref="N333:N334"/>
    <mergeCell ref="D335:D336"/>
    <mergeCell ref="E335:E336"/>
    <mergeCell ref="G331:G332"/>
    <mergeCell ref="H331:H332"/>
    <mergeCell ref="I331:I332"/>
    <mergeCell ref="N331:N332"/>
    <mergeCell ref="D333:D334"/>
    <mergeCell ref="E333:E334"/>
    <mergeCell ref="G329:G330"/>
    <mergeCell ref="H329:H330"/>
    <mergeCell ref="I329:I330"/>
    <mergeCell ref="N329:N330"/>
    <mergeCell ref="D331:D332"/>
    <mergeCell ref="E331:E332"/>
    <mergeCell ref="D329:D330"/>
    <mergeCell ref="E329:E330"/>
    <mergeCell ref="D326:D328"/>
    <mergeCell ref="E326:E328"/>
    <mergeCell ref="G326:G328"/>
    <mergeCell ref="H326:H328"/>
    <mergeCell ref="I326:I328"/>
    <mergeCell ref="N326:N328"/>
    <mergeCell ref="G322:G323"/>
    <mergeCell ref="H322:H323"/>
    <mergeCell ref="I322:I323"/>
    <mergeCell ref="N322:N323"/>
    <mergeCell ref="D324:D325"/>
    <mergeCell ref="E324:E325"/>
    <mergeCell ref="G324:G325"/>
    <mergeCell ref="H324:H325"/>
    <mergeCell ref="I324:I325"/>
    <mergeCell ref="N324:N325"/>
    <mergeCell ref="D322:D323"/>
    <mergeCell ref="E322:E323"/>
    <mergeCell ref="D319:D320"/>
    <mergeCell ref="E319:E320"/>
    <mergeCell ref="G319:G320"/>
    <mergeCell ref="H319:H320"/>
    <mergeCell ref="I319:I320"/>
    <mergeCell ref="N319:N320"/>
    <mergeCell ref="H312:H313"/>
    <mergeCell ref="I312:I313"/>
    <mergeCell ref="N312:N313"/>
    <mergeCell ref="D317:D318"/>
    <mergeCell ref="G317:G318"/>
    <mergeCell ref="H317:H318"/>
    <mergeCell ref="I317:I318"/>
    <mergeCell ref="N317:N318"/>
    <mergeCell ref="D312:D313"/>
    <mergeCell ref="E312:E313"/>
    <mergeCell ref="G312:G313"/>
    <mergeCell ref="G308:G309"/>
    <mergeCell ref="H308:H309"/>
    <mergeCell ref="I308:I309"/>
    <mergeCell ref="N308:N309"/>
    <mergeCell ref="D310:D311"/>
    <mergeCell ref="E310:E311"/>
    <mergeCell ref="G310:G311"/>
    <mergeCell ref="H310:H311"/>
    <mergeCell ref="I310:I311"/>
    <mergeCell ref="N310:N311"/>
    <mergeCell ref="D308:D309"/>
    <mergeCell ref="E308:E309"/>
    <mergeCell ref="D303:D304"/>
    <mergeCell ref="E303:E304"/>
    <mergeCell ref="G303:G304"/>
    <mergeCell ref="H303:H304"/>
    <mergeCell ref="I303:I304"/>
    <mergeCell ref="N303:N304"/>
    <mergeCell ref="G299:G300"/>
    <mergeCell ref="H299:H300"/>
    <mergeCell ref="I299:I300"/>
    <mergeCell ref="N299:N300"/>
    <mergeCell ref="D301:D302"/>
    <mergeCell ref="E301:E302"/>
    <mergeCell ref="G301:G302"/>
    <mergeCell ref="H301:H302"/>
    <mergeCell ref="I301:I302"/>
    <mergeCell ref="N301:N302"/>
    <mergeCell ref="G294:G295"/>
    <mergeCell ref="H294:H295"/>
    <mergeCell ref="I294:I295"/>
    <mergeCell ref="N294:N295"/>
    <mergeCell ref="D299:D300"/>
    <mergeCell ref="E299:E300"/>
    <mergeCell ref="G292:G293"/>
    <mergeCell ref="H292:H293"/>
    <mergeCell ref="I292:I293"/>
    <mergeCell ref="N292:N293"/>
    <mergeCell ref="D294:D295"/>
    <mergeCell ref="E294:E295"/>
    <mergeCell ref="G290:G291"/>
    <mergeCell ref="H290:H291"/>
    <mergeCell ref="I290:I291"/>
    <mergeCell ref="N290:N291"/>
    <mergeCell ref="D292:D293"/>
    <mergeCell ref="E292:E293"/>
    <mergeCell ref="G288:G289"/>
    <mergeCell ref="H288:H289"/>
    <mergeCell ref="I288:I289"/>
    <mergeCell ref="N288:N289"/>
    <mergeCell ref="D290:D291"/>
    <mergeCell ref="E290:E291"/>
    <mergeCell ref="G286:G287"/>
    <mergeCell ref="H286:H287"/>
    <mergeCell ref="I286:I287"/>
    <mergeCell ref="N286:N287"/>
    <mergeCell ref="D288:D289"/>
    <mergeCell ref="E288:E289"/>
    <mergeCell ref="G282:G283"/>
    <mergeCell ref="H282:H283"/>
    <mergeCell ref="I282:I283"/>
    <mergeCell ref="N282:N283"/>
    <mergeCell ref="D286:D287"/>
    <mergeCell ref="E286:E287"/>
    <mergeCell ref="G273:G274"/>
    <mergeCell ref="H273:H274"/>
    <mergeCell ref="I273:I274"/>
    <mergeCell ref="N273:N274"/>
    <mergeCell ref="D282:D283"/>
    <mergeCell ref="E282:E283"/>
    <mergeCell ref="D273:D274"/>
    <mergeCell ref="E273:E274"/>
    <mergeCell ref="H261:H262"/>
    <mergeCell ref="I261:I262"/>
    <mergeCell ref="N261:N262"/>
    <mergeCell ref="D266:D267"/>
    <mergeCell ref="E266:E267"/>
    <mergeCell ref="G266:G267"/>
    <mergeCell ref="H266:H267"/>
    <mergeCell ref="I266:I267"/>
    <mergeCell ref="N266:N267"/>
    <mergeCell ref="H259:H260"/>
    <mergeCell ref="I259:I260"/>
    <mergeCell ref="N259:N260"/>
    <mergeCell ref="D261:D262"/>
    <mergeCell ref="E261:E262"/>
    <mergeCell ref="G261:G262"/>
    <mergeCell ref="H257:H258"/>
    <mergeCell ref="I257:I258"/>
    <mergeCell ref="N257:N258"/>
    <mergeCell ref="D259:D260"/>
    <mergeCell ref="E259:E260"/>
    <mergeCell ref="G259:G260"/>
    <mergeCell ref="H255:H256"/>
    <mergeCell ref="I255:I256"/>
    <mergeCell ref="N255:N256"/>
    <mergeCell ref="D257:D258"/>
    <mergeCell ref="E257:E258"/>
    <mergeCell ref="G257:G258"/>
    <mergeCell ref="H253:H254"/>
    <mergeCell ref="I253:I254"/>
    <mergeCell ref="N253:N254"/>
    <mergeCell ref="D255:D256"/>
    <mergeCell ref="E255:E256"/>
    <mergeCell ref="G255:G256"/>
    <mergeCell ref="H250:H251"/>
    <mergeCell ref="I250:I251"/>
    <mergeCell ref="N250:N251"/>
    <mergeCell ref="D253:D254"/>
    <mergeCell ref="E253:E254"/>
    <mergeCell ref="G253:G254"/>
    <mergeCell ref="H248:H249"/>
    <mergeCell ref="I248:I249"/>
    <mergeCell ref="N248:N249"/>
    <mergeCell ref="D250:D251"/>
    <mergeCell ref="E250:E251"/>
    <mergeCell ref="G250:G251"/>
    <mergeCell ref="G243:G244"/>
    <mergeCell ref="H243:H244"/>
    <mergeCell ref="I243:I244"/>
    <mergeCell ref="N243:N244"/>
    <mergeCell ref="D248:D249"/>
    <mergeCell ref="E248:E249"/>
    <mergeCell ref="G248:G249"/>
    <mergeCell ref="D243:D244"/>
    <mergeCell ref="E243:E244"/>
    <mergeCell ref="G238:G239"/>
    <mergeCell ref="H238:H239"/>
    <mergeCell ref="I238:I239"/>
    <mergeCell ref="N238:N239"/>
    <mergeCell ref="D240:D241"/>
    <mergeCell ref="E240:E241"/>
    <mergeCell ref="G240:G241"/>
    <mergeCell ref="H240:H241"/>
    <mergeCell ref="I240:I241"/>
    <mergeCell ref="N240:N241"/>
    <mergeCell ref="D238:D239"/>
    <mergeCell ref="E238:E239"/>
    <mergeCell ref="I232:I233"/>
    <mergeCell ref="N232:N233"/>
    <mergeCell ref="D234:D235"/>
    <mergeCell ref="E234:E235"/>
    <mergeCell ref="G234:G235"/>
    <mergeCell ref="H234:H235"/>
    <mergeCell ref="I234:I235"/>
    <mergeCell ref="N234:N235"/>
    <mergeCell ref="G230:G231"/>
    <mergeCell ref="H230:H231"/>
    <mergeCell ref="I230:I231"/>
    <mergeCell ref="N230:N231"/>
    <mergeCell ref="D232:D233"/>
    <mergeCell ref="E232:E233"/>
    <mergeCell ref="G232:G233"/>
    <mergeCell ref="H232:H233"/>
    <mergeCell ref="G228:G229"/>
    <mergeCell ref="H228:H229"/>
    <mergeCell ref="I228:I229"/>
    <mergeCell ref="N228:N229"/>
    <mergeCell ref="D230:D231"/>
    <mergeCell ref="E230:E231"/>
    <mergeCell ref="G224:G225"/>
    <mergeCell ref="H224:H225"/>
    <mergeCell ref="I224:I225"/>
    <mergeCell ref="N224:N225"/>
    <mergeCell ref="D228:D229"/>
    <mergeCell ref="E228:E229"/>
    <mergeCell ref="G222:G223"/>
    <mergeCell ref="H222:H223"/>
    <mergeCell ref="I222:I223"/>
    <mergeCell ref="N222:N223"/>
    <mergeCell ref="D224:D225"/>
    <mergeCell ref="E224:E225"/>
    <mergeCell ref="G220:G221"/>
    <mergeCell ref="H220:H221"/>
    <mergeCell ref="I220:I221"/>
    <mergeCell ref="N220:N221"/>
    <mergeCell ref="D222:D223"/>
    <mergeCell ref="E222:E223"/>
    <mergeCell ref="G218:G219"/>
    <mergeCell ref="H218:H219"/>
    <mergeCell ref="I218:I219"/>
    <mergeCell ref="N218:N219"/>
    <mergeCell ref="D220:D221"/>
    <mergeCell ref="E220:E221"/>
    <mergeCell ref="G216:G217"/>
    <mergeCell ref="H216:H217"/>
    <mergeCell ref="I216:I217"/>
    <mergeCell ref="N216:N217"/>
    <mergeCell ref="D218:D219"/>
    <mergeCell ref="E218:E219"/>
    <mergeCell ref="D216:D217"/>
    <mergeCell ref="E216:E217"/>
    <mergeCell ref="D213:D214"/>
    <mergeCell ref="E213:E214"/>
    <mergeCell ref="G213:G214"/>
    <mergeCell ref="H213:H214"/>
    <mergeCell ref="I213:I214"/>
    <mergeCell ref="N213:N214"/>
    <mergeCell ref="D211:D212"/>
    <mergeCell ref="E211:E212"/>
    <mergeCell ref="G211:G212"/>
    <mergeCell ref="I211:I212"/>
    <mergeCell ref="N211:N212"/>
    <mergeCell ref="D206:D207"/>
    <mergeCell ref="E206:E207"/>
    <mergeCell ref="G206:G207"/>
    <mergeCell ref="H206:H207"/>
    <mergeCell ref="N206:N207"/>
    <mergeCell ref="H200:H201"/>
    <mergeCell ref="I200:I201"/>
    <mergeCell ref="N200:N201"/>
    <mergeCell ref="D204:D205"/>
    <mergeCell ref="E204:E205"/>
    <mergeCell ref="G204:G205"/>
    <mergeCell ref="H204:H205"/>
    <mergeCell ref="I204:I205"/>
    <mergeCell ref="N204:N205"/>
    <mergeCell ref="D200:D201"/>
    <mergeCell ref="E200:E201"/>
    <mergeCell ref="G200:G201"/>
    <mergeCell ref="G194:G195"/>
    <mergeCell ref="H194:H195"/>
    <mergeCell ref="I194:I195"/>
    <mergeCell ref="N194:N195"/>
    <mergeCell ref="D196:D197"/>
    <mergeCell ref="E196:E197"/>
    <mergeCell ref="I196:I197"/>
    <mergeCell ref="N196:N197"/>
    <mergeCell ref="G192:G193"/>
    <mergeCell ref="H192:H193"/>
    <mergeCell ref="I192:I193"/>
    <mergeCell ref="N192:N193"/>
    <mergeCell ref="D194:D195"/>
    <mergeCell ref="E194:E195"/>
    <mergeCell ref="G188:G189"/>
    <mergeCell ref="H188:H189"/>
    <mergeCell ref="I188:I189"/>
    <mergeCell ref="N188:N189"/>
    <mergeCell ref="D192:D193"/>
    <mergeCell ref="E192:E193"/>
    <mergeCell ref="D188:D189"/>
    <mergeCell ref="E188:E189"/>
    <mergeCell ref="N184:N185"/>
    <mergeCell ref="D186:D187"/>
    <mergeCell ref="E186:E187"/>
    <mergeCell ref="G186:G187"/>
    <mergeCell ref="H186:H187"/>
    <mergeCell ref="I186:I187"/>
    <mergeCell ref="N186:N187"/>
    <mergeCell ref="G182:G183"/>
    <mergeCell ref="H182:H183"/>
    <mergeCell ref="I182:I183"/>
    <mergeCell ref="N182:N183"/>
    <mergeCell ref="D184:D185"/>
    <mergeCell ref="E184:E185"/>
    <mergeCell ref="G184:G185"/>
    <mergeCell ref="H184:H185"/>
    <mergeCell ref="I184:I185"/>
    <mergeCell ref="G180:G181"/>
    <mergeCell ref="H180:H181"/>
    <mergeCell ref="I180:I181"/>
    <mergeCell ref="N180:N181"/>
    <mergeCell ref="D182:D183"/>
    <mergeCell ref="E182:E183"/>
    <mergeCell ref="D177:D178"/>
    <mergeCell ref="E177:E178"/>
    <mergeCell ref="D180:D181"/>
    <mergeCell ref="E180:E181"/>
    <mergeCell ref="D171:D172"/>
    <mergeCell ref="E171:E172"/>
    <mergeCell ref="D175:D176"/>
    <mergeCell ref="E175:E176"/>
    <mergeCell ref="H166:H167"/>
    <mergeCell ref="N166:N167"/>
    <mergeCell ref="D169:D170"/>
    <mergeCell ref="E169:E170"/>
    <mergeCell ref="N169:N170"/>
    <mergeCell ref="G159:G160"/>
    <mergeCell ref="H159:H160"/>
    <mergeCell ref="I159:I160"/>
    <mergeCell ref="N159:N160"/>
    <mergeCell ref="D166:D167"/>
    <mergeCell ref="E166:E167"/>
    <mergeCell ref="G166:G167"/>
    <mergeCell ref="G156:G157"/>
    <mergeCell ref="H156:H157"/>
    <mergeCell ref="I156:I157"/>
    <mergeCell ref="N156:N157"/>
    <mergeCell ref="D159:D160"/>
    <mergeCell ref="E159:E160"/>
    <mergeCell ref="G154:G155"/>
    <mergeCell ref="H154:H155"/>
    <mergeCell ref="I154:I155"/>
    <mergeCell ref="N154:N155"/>
    <mergeCell ref="D156:D157"/>
    <mergeCell ref="E156:E157"/>
    <mergeCell ref="G152:G153"/>
    <mergeCell ref="H152:H153"/>
    <mergeCell ref="I152:I153"/>
    <mergeCell ref="N152:N153"/>
    <mergeCell ref="D154:D155"/>
    <mergeCell ref="E154:E155"/>
    <mergeCell ref="G150:G151"/>
    <mergeCell ref="H150:H151"/>
    <mergeCell ref="I150:I151"/>
    <mergeCell ref="N150:N151"/>
    <mergeCell ref="D152:D153"/>
    <mergeCell ref="E152:E153"/>
    <mergeCell ref="D150:D151"/>
    <mergeCell ref="E150:E151"/>
    <mergeCell ref="G145:G146"/>
    <mergeCell ref="H145:H146"/>
    <mergeCell ref="I145:I146"/>
    <mergeCell ref="N145:N146"/>
    <mergeCell ref="D147:D148"/>
    <mergeCell ref="E147:E148"/>
    <mergeCell ref="N147:N148"/>
    <mergeCell ref="D145:D146"/>
    <mergeCell ref="E145:E146"/>
    <mergeCell ref="N136:N137"/>
    <mergeCell ref="D140:D141"/>
    <mergeCell ref="E140:E141"/>
    <mergeCell ref="N140:N141"/>
    <mergeCell ref="D142:D143"/>
    <mergeCell ref="E142:E143"/>
    <mergeCell ref="N142:N143"/>
    <mergeCell ref="D134:D135"/>
    <mergeCell ref="E134:E135"/>
    <mergeCell ref="N134:N135"/>
    <mergeCell ref="D136:D137"/>
    <mergeCell ref="E136:E137"/>
    <mergeCell ref="G136:G137"/>
    <mergeCell ref="H136:H137"/>
    <mergeCell ref="G126:G127"/>
    <mergeCell ref="H126:H127"/>
    <mergeCell ref="I126:I127"/>
    <mergeCell ref="N126:N127"/>
    <mergeCell ref="D128:D129"/>
    <mergeCell ref="E128:E129"/>
    <mergeCell ref="N128:N129"/>
    <mergeCell ref="G124:G125"/>
    <mergeCell ref="H124:H125"/>
    <mergeCell ref="I124:I125"/>
    <mergeCell ref="N124:N125"/>
    <mergeCell ref="D126:D127"/>
    <mergeCell ref="E126:E127"/>
    <mergeCell ref="D124:D125"/>
    <mergeCell ref="E124:E125"/>
    <mergeCell ref="G119:G120"/>
    <mergeCell ref="H119:H120"/>
    <mergeCell ref="I119:I120"/>
    <mergeCell ref="N119:N120"/>
    <mergeCell ref="D121:D122"/>
    <mergeCell ref="E121:E122"/>
    <mergeCell ref="N121:N122"/>
    <mergeCell ref="D119:D120"/>
    <mergeCell ref="E119:E120"/>
    <mergeCell ref="G113:G114"/>
    <mergeCell ref="H113:H114"/>
    <mergeCell ref="I113:I114"/>
    <mergeCell ref="N113:N114"/>
    <mergeCell ref="D115:D116"/>
    <mergeCell ref="E115:E116"/>
    <mergeCell ref="N115:N116"/>
    <mergeCell ref="G111:G112"/>
    <mergeCell ref="H111:H112"/>
    <mergeCell ref="I111:I112"/>
    <mergeCell ref="N111:N112"/>
    <mergeCell ref="D113:D114"/>
    <mergeCell ref="E113:E114"/>
    <mergeCell ref="G109:G110"/>
    <mergeCell ref="H109:H110"/>
    <mergeCell ref="I109:I110"/>
    <mergeCell ref="N109:N110"/>
    <mergeCell ref="D111:D112"/>
    <mergeCell ref="E111:E112"/>
    <mergeCell ref="D109:D110"/>
    <mergeCell ref="E109:E110"/>
    <mergeCell ref="D102:D103"/>
    <mergeCell ref="E102:E103"/>
    <mergeCell ref="G102:G103"/>
    <mergeCell ref="H102:H103"/>
    <mergeCell ref="I102:I103"/>
    <mergeCell ref="N102:N103"/>
    <mergeCell ref="D95:D96"/>
    <mergeCell ref="E95:E96"/>
    <mergeCell ref="G95:G96"/>
    <mergeCell ref="H95:H96"/>
    <mergeCell ref="N95:N96"/>
    <mergeCell ref="D99:D100"/>
    <mergeCell ref="E99:E100"/>
    <mergeCell ref="N99:N100"/>
    <mergeCell ref="D89:D90"/>
    <mergeCell ref="E89:E90"/>
    <mergeCell ref="G89:G90"/>
    <mergeCell ref="H89:H90"/>
    <mergeCell ref="I89:I90"/>
    <mergeCell ref="N89:N90"/>
    <mergeCell ref="D87:D88"/>
    <mergeCell ref="E87:E88"/>
    <mergeCell ref="G87:G88"/>
    <mergeCell ref="H87:H88"/>
    <mergeCell ref="I87:I88"/>
    <mergeCell ref="N87:N88"/>
    <mergeCell ref="D81:D82"/>
    <mergeCell ref="E81:E82"/>
    <mergeCell ref="G81:G82"/>
    <mergeCell ref="H81:H82"/>
    <mergeCell ref="I81:I82"/>
    <mergeCell ref="N81:N82"/>
    <mergeCell ref="D77:D78"/>
    <mergeCell ref="E77:E78"/>
    <mergeCell ref="G77:G78"/>
    <mergeCell ref="H77:H78"/>
    <mergeCell ref="I77:I78"/>
    <mergeCell ref="N77:N78"/>
    <mergeCell ref="D75:D76"/>
    <mergeCell ref="E75:E76"/>
    <mergeCell ref="G75:G76"/>
    <mergeCell ref="H75:H76"/>
    <mergeCell ref="I75:I76"/>
    <mergeCell ref="N75:N76"/>
    <mergeCell ref="D73:D74"/>
    <mergeCell ref="E73:E74"/>
    <mergeCell ref="G73:G74"/>
    <mergeCell ref="H73:H74"/>
    <mergeCell ref="I73:I74"/>
    <mergeCell ref="N73:N74"/>
    <mergeCell ref="D71:D72"/>
    <mergeCell ref="E71:E72"/>
    <mergeCell ref="G71:G72"/>
    <mergeCell ref="H71:H72"/>
    <mergeCell ref="I71:I72"/>
    <mergeCell ref="N71:N72"/>
    <mergeCell ref="D65:D67"/>
    <mergeCell ref="E65:E67"/>
    <mergeCell ref="G65:G67"/>
    <mergeCell ref="H65:H67"/>
    <mergeCell ref="I65:I67"/>
    <mergeCell ref="N65:N67"/>
    <mergeCell ref="D48:D49"/>
    <mergeCell ref="E48:E49"/>
    <mergeCell ref="N48:N49"/>
    <mergeCell ref="D58:D60"/>
    <mergeCell ref="E58:E60"/>
    <mergeCell ref="N58:N60"/>
    <mergeCell ref="D30:D31"/>
    <mergeCell ref="E30:E31"/>
    <mergeCell ref="G30:G31"/>
    <mergeCell ref="H30:H31"/>
    <mergeCell ref="I30:I31"/>
    <mergeCell ref="N30:N31"/>
    <mergeCell ref="D28:D29"/>
    <mergeCell ref="E28:E29"/>
    <mergeCell ref="G28:G29"/>
    <mergeCell ref="H28:H29"/>
    <mergeCell ref="I28:I29"/>
    <mergeCell ref="N28:N29"/>
    <mergeCell ref="N24:N25"/>
    <mergeCell ref="D26:D27"/>
    <mergeCell ref="E26:E27"/>
    <mergeCell ref="G26:G27"/>
    <mergeCell ref="H26:H27"/>
    <mergeCell ref="I26:I27"/>
    <mergeCell ref="N26:N27"/>
    <mergeCell ref="D21:D22"/>
    <mergeCell ref="E21:E22"/>
    <mergeCell ref="H21:H22"/>
    <mergeCell ref="I21:I22"/>
    <mergeCell ref="N21:N22"/>
    <mergeCell ref="D24:D25"/>
    <mergeCell ref="E24:E25"/>
    <mergeCell ref="G24:G25"/>
    <mergeCell ref="H24:H25"/>
    <mergeCell ref="I24:I25"/>
    <mergeCell ref="D3:D4"/>
    <mergeCell ref="E3:E4"/>
    <mergeCell ref="G3:G4"/>
    <mergeCell ref="H3:H4"/>
    <mergeCell ref="I3:I4"/>
    <mergeCell ref="N3:N4"/>
    <mergeCell ref="D10:D11"/>
    <mergeCell ref="E10:E11"/>
    <mergeCell ref="G10:G11"/>
    <mergeCell ref="H10:H11"/>
    <mergeCell ref="I10:I11"/>
    <mergeCell ref="N10:N11"/>
    <mergeCell ref="D8:D9"/>
    <mergeCell ref="E8:E9"/>
    <mergeCell ref="G8:G9"/>
    <mergeCell ref="H8:H9"/>
    <mergeCell ref="I8:I9"/>
    <mergeCell ref="N8:N9"/>
    <mergeCell ref="D5:D6"/>
    <mergeCell ref="E5:E6"/>
    <mergeCell ref="G5:G6"/>
    <mergeCell ref="H5:H6"/>
    <mergeCell ref="I5:I6"/>
    <mergeCell ref="N5:N6"/>
  </mergeCells>
  <conditionalFormatting sqref="J2040:J2041">
    <cfRule type="expression" dxfId="631" priority="14">
      <formula>J2040="Planned"</formula>
    </cfRule>
    <cfRule type="expression" dxfId="630" priority="13">
      <formula>J2040="Hold"</formula>
    </cfRule>
    <cfRule type="expression" dxfId="629" priority="15">
      <formula>J2040="Ongoing"</formula>
    </cfRule>
    <cfRule type="expression" dxfId="628" priority="16">
      <formula>J2040="Completed"</formula>
    </cfRule>
  </conditionalFormatting>
  <conditionalFormatting sqref="J2044">
    <cfRule type="expression" dxfId="627" priority="9">
      <formula>J2044="Hold"</formula>
    </cfRule>
    <cfRule type="expression" dxfId="626" priority="10">
      <formula>J2044="Planned"</formula>
    </cfRule>
    <cfRule type="expression" dxfId="625" priority="11">
      <formula>J2044="Ongoing"</formula>
    </cfRule>
    <cfRule type="expression" dxfId="624" priority="12">
      <formula>J2044="Completed"</formula>
    </cfRule>
  </conditionalFormatting>
  <conditionalFormatting sqref="N8 N1854:O1048576 J2040:J2074">
    <cfRule type="expression" dxfId="623" priority="1212">
      <formula>J8="Completed"</formula>
    </cfRule>
    <cfRule type="expression" dxfId="622" priority="1211">
      <formula>J8="Ongoing"</formula>
    </cfRule>
    <cfRule type="expression" dxfId="621" priority="1210">
      <formula>J8="Planned"</formula>
    </cfRule>
  </conditionalFormatting>
  <conditionalFormatting sqref="N10">
    <cfRule type="expression" dxfId="620" priority="1208">
      <formula>N10="Completed"</formula>
    </cfRule>
    <cfRule type="expression" dxfId="619" priority="1207">
      <formula>N10="Ongoing"</formula>
    </cfRule>
    <cfRule type="expression" dxfId="618" priority="1206">
      <formula>N10="Planned"</formula>
    </cfRule>
    <cfRule type="expression" dxfId="617" priority="1205">
      <formula>N10="Hold"</formula>
    </cfRule>
  </conditionalFormatting>
  <conditionalFormatting sqref="N13:N20">
    <cfRule type="expression" dxfId="616" priority="1223">
      <formula>N13="Ongoing"</formula>
    </cfRule>
    <cfRule type="expression" dxfId="615" priority="1222">
      <formula>N13="Planned"</formula>
    </cfRule>
    <cfRule type="expression" dxfId="614" priority="1221">
      <formula>N13="Hold"</formula>
    </cfRule>
    <cfRule type="expression" dxfId="613" priority="1224">
      <formula>N13="Completed"</formula>
    </cfRule>
  </conditionalFormatting>
  <conditionalFormatting sqref="N23:N24">
    <cfRule type="expression" dxfId="612" priority="1220">
      <formula>N23="Completed"</formula>
    </cfRule>
    <cfRule type="expression" dxfId="611" priority="1219">
      <formula>N23="Ongoing"</formula>
    </cfRule>
    <cfRule type="expression" dxfId="610" priority="1218">
      <formula>N23="Planned"</formula>
    </cfRule>
    <cfRule type="expression" dxfId="609" priority="1217">
      <formula>N23="Hold"</formula>
    </cfRule>
  </conditionalFormatting>
  <conditionalFormatting sqref="N32">
    <cfRule type="expression" dxfId="608" priority="1204">
      <formula>N32="Completed"</formula>
    </cfRule>
    <cfRule type="expression" dxfId="607" priority="1203">
      <formula>N32="Ongoing"</formula>
    </cfRule>
    <cfRule type="expression" dxfId="606" priority="1201">
      <formula>N32="Hold"</formula>
    </cfRule>
    <cfRule type="expression" dxfId="605" priority="1202">
      <formula>N32="Planned"</formula>
    </cfRule>
  </conditionalFormatting>
  <conditionalFormatting sqref="N34">
    <cfRule type="expression" dxfId="604" priority="1193">
      <formula>N34="Hold"</formula>
    </cfRule>
    <cfRule type="expression" dxfId="603" priority="1194">
      <formula>N34="Planned"</formula>
    </cfRule>
    <cfRule type="expression" dxfId="602" priority="1195">
      <formula>N34="Ongoing"</formula>
    </cfRule>
    <cfRule type="expression" dxfId="601" priority="1196">
      <formula>N34="Completed"</formula>
    </cfRule>
  </conditionalFormatting>
  <conditionalFormatting sqref="N36:N37">
    <cfRule type="expression" dxfId="600" priority="1187">
      <formula>N36="Ongoing"</formula>
    </cfRule>
    <cfRule type="expression" dxfId="599" priority="1185">
      <formula>N36="Hold"</formula>
    </cfRule>
    <cfRule type="expression" dxfId="598" priority="1186">
      <formula>N36="Planned"</formula>
    </cfRule>
    <cfRule type="expression" dxfId="597" priority="1188">
      <formula>N36="Completed"</formula>
    </cfRule>
  </conditionalFormatting>
  <conditionalFormatting sqref="N39">
    <cfRule type="expression" dxfId="596" priority="1189">
      <formula>N39="Hold"</formula>
    </cfRule>
    <cfRule type="expression" dxfId="595" priority="1190">
      <formula>N39="Planned"</formula>
    </cfRule>
    <cfRule type="expression" dxfId="594" priority="1192">
      <formula>N39="Completed"</formula>
    </cfRule>
    <cfRule type="expression" dxfId="593" priority="1191">
      <formula>N39="Ongoing"</formula>
    </cfRule>
  </conditionalFormatting>
  <conditionalFormatting sqref="N57">
    <cfRule type="expression" dxfId="592" priority="1197">
      <formula>N57="Hold"</formula>
    </cfRule>
    <cfRule type="expression" dxfId="591" priority="1198">
      <formula>N57="Planned"</formula>
    </cfRule>
    <cfRule type="expression" dxfId="590" priority="1199">
      <formula>N57="Ongoing"</formula>
    </cfRule>
    <cfRule type="expression" dxfId="589" priority="1200">
      <formula>N57="Completed"</formula>
    </cfRule>
  </conditionalFormatting>
  <conditionalFormatting sqref="N73">
    <cfRule type="expression" dxfId="588" priority="1175">
      <formula>N73="Ongoing"</formula>
    </cfRule>
    <cfRule type="expression" dxfId="587" priority="1174">
      <formula>N73="Planned"</formula>
    </cfRule>
    <cfRule type="expression" dxfId="586" priority="1173">
      <formula>N73="Hold"</formula>
    </cfRule>
    <cfRule type="expression" dxfId="585" priority="1176">
      <formula>N73="Completed"</formula>
    </cfRule>
  </conditionalFormatting>
  <conditionalFormatting sqref="N75">
    <cfRule type="expression" dxfId="584" priority="1155">
      <formula>N75="Ongoing"</formula>
    </cfRule>
    <cfRule type="expression" dxfId="583" priority="1156">
      <formula>N75="Completed"</formula>
    </cfRule>
    <cfRule type="expression" dxfId="582" priority="1153">
      <formula>N75="Hold"</formula>
    </cfRule>
    <cfRule type="expression" dxfId="581" priority="1154">
      <formula>N75="Planned"</formula>
    </cfRule>
  </conditionalFormatting>
  <conditionalFormatting sqref="N77">
    <cfRule type="expression" dxfId="580" priority="1170">
      <formula>N77="Planned"</formula>
    </cfRule>
    <cfRule type="expression" dxfId="579" priority="1169">
      <formula>N77="Hold"</formula>
    </cfRule>
    <cfRule type="expression" dxfId="578" priority="1171">
      <formula>N77="Ongoing"</formula>
    </cfRule>
    <cfRule type="expression" dxfId="577" priority="1172">
      <formula>N77="Completed"</formula>
    </cfRule>
  </conditionalFormatting>
  <conditionalFormatting sqref="N79:N81">
    <cfRule type="expression" dxfId="576" priority="1168">
      <formula>N79="Completed"</formula>
    </cfRule>
    <cfRule type="expression" dxfId="575" priority="1167">
      <formula>N79="Ongoing"</formula>
    </cfRule>
    <cfRule type="expression" dxfId="574" priority="1166">
      <formula>N79="Planned"</formula>
    </cfRule>
    <cfRule type="expression" dxfId="573" priority="1165">
      <formula>N79="Hold"</formula>
    </cfRule>
  </conditionalFormatting>
  <conditionalFormatting sqref="N83:N87">
    <cfRule type="expression" dxfId="572" priority="1146">
      <formula>N83="Planned"</formula>
    </cfRule>
    <cfRule type="expression" dxfId="571" priority="1148">
      <formula>N83="Completed"</formula>
    </cfRule>
    <cfRule type="expression" dxfId="570" priority="1147">
      <formula>N83="Ongoing"</formula>
    </cfRule>
    <cfRule type="expression" dxfId="569" priority="1145">
      <formula>N83="Hold"</formula>
    </cfRule>
  </conditionalFormatting>
  <conditionalFormatting sqref="N89">
    <cfRule type="expression" dxfId="568" priority="1152">
      <formula>N89="Completed"</formula>
    </cfRule>
    <cfRule type="expression" dxfId="567" priority="1151">
      <formula>N89="Ongoing"</formula>
    </cfRule>
    <cfRule type="expression" dxfId="566" priority="1150">
      <formula>N89="Planned"</formula>
    </cfRule>
    <cfRule type="expression" dxfId="565" priority="1149">
      <formula>N89="Hold"</formula>
    </cfRule>
  </conditionalFormatting>
  <conditionalFormatting sqref="N91:N95 N97:N99">
    <cfRule type="expression" dxfId="564" priority="1164">
      <formula>N91="Completed"</formula>
    </cfRule>
    <cfRule type="expression" dxfId="563" priority="1163">
      <formula>N91="Ongoing"</formula>
    </cfRule>
    <cfRule type="expression" dxfId="562" priority="1162">
      <formula>N91="Planned"</formula>
    </cfRule>
    <cfRule type="expression" dxfId="561" priority="1161">
      <formula>N91="Hold"</formula>
    </cfRule>
  </conditionalFormatting>
  <conditionalFormatting sqref="N102">
    <cfRule type="expression" dxfId="560" priority="1158">
      <formula>N102="Planned"</formula>
    </cfRule>
    <cfRule type="expression" dxfId="559" priority="1157">
      <formula>N102="Hold"</formula>
    </cfRule>
    <cfRule type="expression" dxfId="558" priority="1159">
      <formula>N102="Ongoing"</formula>
    </cfRule>
    <cfRule type="expression" dxfId="557" priority="1160">
      <formula>N102="Completed"</formula>
    </cfRule>
  </conditionalFormatting>
  <conditionalFormatting sqref="N107:N109">
    <cfRule type="expression" dxfId="556" priority="1103">
      <formula>N107="Ongoing"</formula>
    </cfRule>
    <cfRule type="expression" dxfId="555" priority="1104">
      <formula>N107="Completed"</formula>
    </cfRule>
    <cfRule type="expression" dxfId="554" priority="1102">
      <formula>N107="Planned"</formula>
    </cfRule>
    <cfRule type="expression" dxfId="553" priority="1101">
      <formula>N107="Hold"</formula>
    </cfRule>
  </conditionalFormatting>
  <conditionalFormatting sqref="N111">
    <cfRule type="expression" dxfId="552" priority="1108">
      <formula>N111="Completed"</formula>
    </cfRule>
    <cfRule type="expression" dxfId="551" priority="1105">
      <formula>N111="Hold"</formula>
    </cfRule>
    <cfRule type="expression" dxfId="550" priority="1107">
      <formula>N111="Ongoing"</formula>
    </cfRule>
    <cfRule type="expression" dxfId="549" priority="1106">
      <formula>N111="Planned"</formula>
    </cfRule>
  </conditionalFormatting>
  <conditionalFormatting sqref="N113">
    <cfRule type="expression" dxfId="548" priority="1097">
      <formula>N113="Hold"</formula>
    </cfRule>
    <cfRule type="expression" dxfId="547" priority="1100">
      <formula>N113="Completed"</formula>
    </cfRule>
    <cfRule type="expression" dxfId="546" priority="1099">
      <formula>N113="Ongoing"</formula>
    </cfRule>
    <cfRule type="expression" dxfId="545" priority="1098">
      <formula>N113="Planned"</formula>
    </cfRule>
  </conditionalFormatting>
  <conditionalFormatting sqref="N115">
    <cfRule type="expression" dxfId="544" priority="1113">
      <formula>N115="Hold"</formula>
    </cfRule>
    <cfRule type="expression" dxfId="543" priority="1114">
      <formula>N115="Planned"</formula>
    </cfRule>
    <cfRule type="expression" dxfId="542" priority="1115">
      <formula>N115="Ongoing"</formula>
    </cfRule>
    <cfRule type="expression" dxfId="541" priority="1116">
      <formula>N115="Completed"</formula>
    </cfRule>
  </conditionalFormatting>
  <conditionalFormatting sqref="N119">
    <cfRule type="expression" dxfId="540" priority="1093">
      <formula>N119="Hold"</formula>
    </cfRule>
    <cfRule type="expression" dxfId="539" priority="1096">
      <formula>N119="Completed"</formula>
    </cfRule>
    <cfRule type="expression" dxfId="538" priority="1095">
      <formula>N119="Ongoing"</formula>
    </cfRule>
    <cfRule type="expression" dxfId="537" priority="1094">
      <formula>N119="Planned"</formula>
    </cfRule>
  </conditionalFormatting>
  <conditionalFormatting sqref="N121">
    <cfRule type="expression" dxfId="536" priority="1072">
      <formula>N121="Completed"</formula>
    </cfRule>
    <cfRule type="expression" dxfId="535" priority="1069">
      <formula>N121="Hold"</formula>
    </cfRule>
    <cfRule type="expression" dxfId="534" priority="1070">
      <formula>N121="Planned"</formula>
    </cfRule>
    <cfRule type="expression" dxfId="533" priority="1071">
      <formula>N121="Ongoing"</formula>
    </cfRule>
  </conditionalFormatting>
  <conditionalFormatting sqref="N123:N124">
    <cfRule type="expression" dxfId="532" priority="1092">
      <formula>N123="Completed"</formula>
    </cfRule>
    <cfRule type="expression" dxfId="531" priority="1091">
      <formula>N123="Ongoing"</formula>
    </cfRule>
    <cfRule type="expression" dxfId="530" priority="1090">
      <formula>N123="Planned"</formula>
    </cfRule>
    <cfRule type="expression" dxfId="529" priority="1089">
      <formula>N123="Hold"</formula>
    </cfRule>
  </conditionalFormatting>
  <conditionalFormatting sqref="N126">
    <cfRule type="expression" dxfId="528" priority="1088">
      <formula>N126="Completed"</formula>
    </cfRule>
    <cfRule type="expression" dxfId="527" priority="1087">
      <formula>N126="Ongoing"</formula>
    </cfRule>
    <cfRule type="expression" dxfId="526" priority="1086">
      <formula>N126="Planned"</formula>
    </cfRule>
    <cfRule type="expression" dxfId="525" priority="1085">
      <formula>N126="Hold"</formula>
    </cfRule>
  </conditionalFormatting>
  <conditionalFormatting sqref="N128">
    <cfRule type="expression" dxfId="524" priority="1067">
      <formula>N128="Ongoing"</formula>
    </cfRule>
    <cfRule type="expression" dxfId="523" priority="1065">
      <formula>N128="Hold"</formula>
    </cfRule>
    <cfRule type="expression" dxfId="522" priority="1066">
      <formula>N128="Planned"</formula>
    </cfRule>
    <cfRule type="expression" dxfId="521" priority="1068">
      <formula>N128="Completed"</formula>
    </cfRule>
  </conditionalFormatting>
  <conditionalFormatting sqref="N134">
    <cfRule type="expression" dxfId="520" priority="1084">
      <formula>N134="Completed"</formula>
    </cfRule>
    <cfRule type="expression" dxfId="519" priority="1083">
      <formula>N134="Ongoing"</formula>
    </cfRule>
    <cfRule type="expression" dxfId="518" priority="1082">
      <formula>N134="Planned"</formula>
    </cfRule>
    <cfRule type="expression" dxfId="517" priority="1081">
      <formula>N134="Hold"</formula>
    </cfRule>
  </conditionalFormatting>
  <conditionalFormatting sqref="N136">
    <cfRule type="expression" dxfId="516" priority="1112">
      <formula>N136="Completed"</formula>
    </cfRule>
    <cfRule type="expression" dxfId="515" priority="1110">
      <formula>N136="Planned"</formula>
    </cfRule>
    <cfRule type="expression" dxfId="514" priority="1109">
      <formula>N136="Hold"</formula>
    </cfRule>
    <cfRule type="expression" dxfId="513" priority="1111">
      <formula>N136="Ongoing"</formula>
    </cfRule>
  </conditionalFormatting>
  <conditionalFormatting sqref="N138:N140">
    <cfRule type="expression" dxfId="512" priority="1080">
      <formula>N138="Completed"</formula>
    </cfRule>
    <cfRule type="expression" dxfId="511" priority="1077">
      <formula>N138="Hold"</formula>
    </cfRule>
    <cfRule type="expression" dxfId="510" priority="1079">
      <formula>N138="Ongoing"</formula>
    </cfRule>
    <cfRule type="expression" dxfId="509" priority="1078">
      <formula>N138="Planned"</formula>
    </cfRule>
  </conditionalFormatting>
  <conditionalFormatting sqref="N142">
    <cfRule type="expression" dxfId="508" priority="1064">
      <formula>N142="Completed"</formula>
    </cfRule>
    <cfRule type="expression" dxfId="507" priority="1063">
      <formula>N142="Ongoing"</formula>
    </cfRule>
    <cfRule type="expression" dxfId="506" priority="1062">
      <formula>N142="Planned"</formula>
    </cfRule>
    <cfRule type="expression" dxfId="505" priority="1061">
      <formula>N142="Hold"</formula>
    </cfRule>
  </conditionalFormatting>
  <conditionalFormatting sqref="N145">
    <cfRule type="expression" dxfId="504" priority="1074">
      <formula>N145="Planned"</formula>
    </cfRule>
    <cfRule type="expression" dxfId="503" priority="1073">
      <formula>N145="Hold"</formula>
    </cfRule>
    <cfRule type="expression" dxfId="502" priority="1075">
      <formula>N145="Ongoing"</formula>
    </cfRule>
    <cfRule type="expression" dxfId="501" priority="1076">
      <formula>N145="Completed"</formula>
    </cfRule>
  </conditionalFormatting>
  <conditionalFormatting sqref="N180">
    <cfRule type="expression" dxfId="500" priority="1020">
      <formula>N180="Completed"</formula>
    </cfRule>
    <cfRule type="expression" dxfId="499" priority="1019">
      <formula>N180="Ongoing"</formula>
    </cfRule>
    <cfRule type="expression" dxfId="498" priority="1017">
      <formula>N180="Hold"</formula>
    </cfRule>
    <cfRule type="expression" dxfId="497" priority="1018">
      <formula>N180="Planned"</formula>
    </cfRule>
  </conditionalFormatting>
  <conditionalFormatting sqref="N182">
    <cfRule type="expression" dxfId="496" priority="1004">
      <formula>N182="Completed"</formula>
    </cfRule>
    <cfRule type="expression" dxfId="495" priority="1003">
      <formula>N182="Ongoing"</formula>
    </cfRule>
    <cfRule type="expression" dxfId="494" priority="1002">
      <formula>N182="Planned"</formula>
    </cfRule>
    <cfRule type="expression" dxfId="493" priority="1001">
      <formula>N182="Hold"</formula>
    </cfRule>
  </conditionalFormatting>
  <conditionalFormatting sqref="N184">
    <cfRule type="expression" dxfId="492" priority="1000">
      <formula>N184="Completed"</formula>
    </cfRule>
    <cfRule type="expression" dxfId="491" priority="999">
      <formula>N184="Ongoing"</formula>
    </cfRule>
    <cfRule type="expression" dxfId="490" priority="998">
      <formula>N184="Planned"</formula>
    </cfRule>
    <cfRule type="expression" dxfId="489" priority="997">
      <formula>N184="Hold"</formula>
    </cfRule>
  </conditionalFormatting>
  <conditionalFormatting sqref="N188">
    <cfRule type="expression" dxfId="488" priority="1016">
      <formula>N188="Completed"</formula>
    </cfRule>
    <cfRule type="expression" dxfId="487" priority="1015">
      <formula>N188="Ongoing"</formula>
    </cfRule>
    <cfRule type="expression" dxfId="486" priority="1014">
      <formula>N188="Planned"</formula>
    </cfRule>
    <cfRule type="expression" dxfId="485" priority="1013">
      <formula>N188="Hold"</formula>
    </cfRule>
  </conditionalFormatting>
  <conditionalFormatting sqref="N190:N192">
    <cfRule type="expression" dxfId="484" priority="1012">
      <formula>N190="Completed"</formula>
    </cfRule>
    <cfRule type="expression" dxfId="483" priority="1011">
      <formula>N190="Ongoing"</formula>
    </cfRule>
    <cfRule type="expression" dxfId="482" priority="1010">
      <formula>N190="Planned"</formula>
    </cfRule>
    <cfRule type="expression" dxfId="481" priority="1009">
      <formula>N190="Hold"</formula>
    </cfRule>
  </conditionalFormatting>
  <conditionalFormatting sqref="N194">
    <cfRule type="expression" dxfId="480" priority="989">
      <formula>N194="Hold"</formula>
    </cfRule>
    <cfRule type="expression" dxfId="479" priority="992">
      <formula>N194="Completed"</formula>
    </cfRule>
    <cfRule type="expression" dxfId="478" priority="991">
      <formula>N194="Ongoing"</formula>
    </cfRule>
    <cfRule type="expression" dxfId="477" priority="990">
      <formula>N194="Planned"</formula>
    </cfRule>
  </conditionalFormatting>
  <conditionalFormatting sqref="N196">
    <cfRule type="expression" dxfId="476" priority="1006">
      <formula>N196="Planned"</formula>
    </cfRule>
    <cfRule type="expression" dxfId="475" priority="1008">
      <formula>N196="Completed"</formula>
    </cfRule>
    <cfRule type="expression" dxfId="474" priority="1007">
      <formula>N196="Ongoing"</formula>
    </cfRule>
    <cfRule type="expression" dxfId="473" priority="1005">
      <formula>N196="Hold"</formula>
    </cfRule>
  </conditionalFormatting>
  <conditionalFormatting sqref="N198:N200">
    <cfRule type="expression" dxfId="472" priority="1024">
      <formula>N198="Completed"</formula>
    </cfRule>
    <cfRule type="expression" dxfId="471" priority="1023">
      <formula>N198="Ongoing"</formula>
    </cfRule>
    <cfRule type="expression" dxfId="470" priority="1022">
      <formula>N198="Planned"</formula>
    </cfRule>
    <cfRule type="expression" dxfId="469" priority="1021">
      <formula>N198="Hold"</formula>
    </cfRule>
  </conditionalFormatting>
  <conditionalFormatting sqref="N206">
    <cfRule type="expression" dxfId="468" priority="996">
      <formula>N206="Completed"</formula>
    </cfRule>
    <cfRule type="expression" dxfId="467" priority="994">
      <formula>N206="Planned"</formula>
    </cfRule>
    <cfRule type="expression" dxfId="466" priority="993">
      <formula>N206="Hold"</formula>
    </cfRule>
    <cfRule type="expression" dxfId="465" priority="995">
      <formula>N206="Ongoing"</formula>
    </cfRule>
  </conditionalFormatting>
  <conditionalFormatting sqref="N208:N210">
    <cfRule type="expression" dxfId="464" priority="988">
      <formula>N208="Completed"</formula>
    </cfRule>
    <cfRule type="expression" dxfId="463" priority="987">
      <formula>N208="Ongoing"</formula>
    </cfRule>
    <cfRule type="expression" dxfId="462" priority="986">
      <formula>N208="Planned"</formula>
    </cfRule>
    <cfRule type="expression" dxfId="461" priority="985">
      <formula>N208="Hold"</formula>
    </cfRule>
  </conditionalFormatting>
  <conditionalFormatting sqref="N215:N216">
    <cfRule type="expression" dxfId="460" priority="938">
      <formula>N215="Planned"</formula>
    </cfRule>
    <cfRule type="expression" dxfId="459" priority="940">
      <formula>N215="Completed"</formula>
    </cfRule>
    <cfRule type="expression" dxfId="458" priority="939">
      <formula>N215="Ongoing"</formula>
    </cfRule>
    <cfRule type="expression" dxfId="457" priority="937">
      <formula>N215="Hold"</formula>
    </cfRule>
  </conditionalFormatting>
  <conditionalFormatting sqref="N218">
    <cfRule type="expression" dxfId="456" priority="932">
      <formula>N218="Completed"</formula>
    </cfRule>
    <cfRule type="expression" dxfId="455" priority="931">
      <formula>N218="Ongoing"</formula>
    </cfRule>
    <cfRule type="expression" dxfId="454" priority="930">
      <formula>N218="Planned"</formula>
    </cfRule>
    <cfRule type="expression" dxfId="453" priority="929">
      <formula>N218="Hold"</formula>
    </cfRule>
  </conditionalFormatting>
  <conditionalFormatting sqref="N220">
    <cfRule type="expression" dxfId="452" priority="928">
      <formula>N220="Completed"</formula>
    </cfRule>
    <cfRule type="expression" dxfId="451" priority="927">
      <formula>N220="Ongoing"</formula>
    </cfRule>
    <cfRule type="expression" dxfId="450" priority="926">
      <formula>N220="Planned"</formula>
    </cfRule>
    <cfRule type="expression" dxfId="449" priority="925">
      <formula>N220="Hold"</formula>
    </cfRule>
  </conditionalFormatting>
  <conditionalFormatting sqref="N224">
    <cfRule type="expression" dxfId="448" priority="936">
      <formula>N224="Completed"</formula>
    </cfRule>
    <cfRule type="expression" dxfId="447" priority="935">
      <formula>N224="Ongoing"</formula>
    </cfRule>
    <cfRule type="expression" dxfId="446" priority="934">
      <formula>N224="Planned"</formula>
    </cfRule>
    <cfRule type="expression" dxfId="445" priority="933">
      <formula>N224="Hold"</formula>
    </cfRule>
  </conditionalFormatting>
  <conditionalFormatting sqref="N230">
    <cfRule type="expression" dxfId="444" priority="909">
      <formula>N230="Hold"</formula>
    </cfRule>
    <cfRule type="expression" dxfId="443" priority="910">
      <formula>N230="Planned"</formula>
    </cfRule>
    <cfRule type="expression" dxfId="442" priority="911">
      <formula>N230="Ongoing"</formula>
    </cfRule>
    <cfRule type="expression" dxfId="441" priority="912">
      <formula>N230="Completed"</formula>
    </cfRule>
  </conditionalFormatting>
  <conditionalFormatting sqref="N232">
    <cfRule type="expression" dxfId="440" priority="905">
      <formula>N232="Hold"</formula>
    </cfRule>
    <cfRule type="expression" dxfId="439" priority="906">
      <formula>N232="Planned"</formula>
    </cfRule>
    <cfRule type="expression" dxfId="438" priority="907">
      <formula>N232="Ongoing"</formula>
    </cfRule>
    <cfRule type="expression" dxfId="437" priority="908">
      <formula>N232="Completed"</formula>
    </cfRule>
  </conditionalFormatting>
  <conditionalFormatting sqref="N234">
    <cfRule type="expression" dxfId="436" priority="914">
      <formula>N234="Planned"</formula>
    </cfRule>
    <cfRule type="expression" dxfId="435" priority="916">
      <formula>N234="Completed"</formula>
    </cfRule>
    <cfRule type="expression" dxfId="434" priority="915">
      <formula>N234="Ongoing"</formula>
    </cfRule>
    <cfRule type="expression" dxfId="433" priority="913">
      <formula>N234="Hold"</formula>
    </cfRule>
  </conditionalFormatting>
  <conditionalFormatting sqref="N236:N238">
    <cfRule type="expression" dxfId="432" priority="944">
      <formula>N236="Completed"</formula>
    </cfRule>
    <cfRule type="expression" dxfId="431" priority="941">
      <formula>N236="Hold"</formula>
    </cfRule>
    <cfRule type="expression" dxfId="430" priority="942">
      <formula>N236="Planned"</formula>
    </cfRule>
    <cfRule type="expression" dxfId="429" priority="943">
      <formula>N236="Ongoing"</formula>
    </cfRule>
  </conditionalFormatting>
  <conditionalFormatting sqref="N240">
    <cfRule type="expression" dxfId="428" priority="897">
      <formula>N240="Hold"</formula>
    </cfRule>
    <cfRule type="expression" dxfId="427" priority="900">
      <formula>N240="Completed"</formula>
    </cfRule>
    <cfRule type="expression" dxfId="426" priority="899">
      <formula>N240="Ongoing"</formula>
    </cfRule>
    <cfRule type="expression" dxfId="425" priority="898">
      <formula>N240="Planned"</formula>
    </cfRule>
  </conditionalFormatting>
  <conditionalFormatting sqref="N242:N243">
    <cfRule type="expression" dxfId="424" priority="904">
      <formula>N242="Completed"</formula>
    </cfRule>
    <cfRule type="expression" dxfId="423" priority="903">
      <formula>N242="Ongoing"</formula>
    </cfRule>
    <cfRule type="expression" dxfId="422" priority="902">
      <formula>N242="Planned"</formula>
    </cfRule>
    <cfRule type="expression" dxfId="421" priority="901">
      <formula>N242="Hold"</formula>
    </cfRule>
  </conditionalFormatting>
  <conditionalFormatting sqref="N245:N247">
    <cfRule type="expression" dxfId="420" priority="921">
      <formula>N245="Hold"</formula>
    </cfRule>
    <cfRule type="expression" dxfId="419" priority="922">
      <formula>N245="Planned"</formula>
    </cfRule>
    <cfRule type="expression" dxfId="418" priority="923">
      <formula>N245="Ongoing"</formula>
    </cfRule>
    <cfRule type="expression" dxfId="417" priority="924">
      <formula>N245="Completed"</formula>
    </cfRule>
  </conditionalFormatting>
  <conditionalFormatting sqref="N250">
    <cfRule type="expression" dxfId="416" priority="919">
      <formula>N250="Ongoing"</formula>
    </cfRule>
    <cfRule type="expression" dxfId="415" priority="918">
      <formula>N250="Planned"</formula>
    </cfRule>
    <cfRule type="expression" dxfId="414" priority="920">
      <formula>N250="Completed"</formula>
    </cfRule>
    <cfRule type="expression" dxfId="413" priority="917">
      <formula>N250="Hold"</formula>
    </cfRule>
  </conditionalFormatting>
  <conditionalFormatting sqref="N252:N253">
    <cfRule type="expression" dxfId="412" priority="866">
      <formula>N252="Planned"</formula>
    </cfRule>
    <cfRule type="expression" dxfId="411" priority="868">
      <formula>N252="Completed"</formula>
    </cfRule>
    <cfRule type="expression" dxfId="410" priority="867">
      <formula>N252="Ongoing"</formula>
    </cfRule>
    <cfRule type="expression" dxfId="409" priority="865">
      <formula>N252="Hold"</formula>
    </cfRule>
  </conditionalFormatting>
  <conditionalFormatting sqref="N255">
    <cfRule type="expression" dxfId="408" priority="857">
      <formula>N255="Hold"</formula>
    </cfRule>
    <cfRule type="expression" dxfId="407" priority="858">
      <formula>N255="Planned"</formula>
    </cfRule>
    <cfRule type="expression" dxfId="406" priority="859">
      <formula>N255="Ongoing"</formula>
    </cfRule>
    <cfRule type="expression" dxfId="405" priority="860">
      <formula>N255="Completed"</formula>
    </cfRule>
  </conditionalFormatting>
  <conditionalFormatting sqref="N257">
    <cfRule type="expression" dxfId="404" priority="853">
      <formula>N257="Hold"</formula>
    </cfRule>
    <cfRule type="expression" dxfId="403" priority="856">
      <formula>N257="Completed"</formula>
    </cfRule>
    <cfRule type="expression" dxfId="402" priority="854">
      <formula>N257="Planned"</formula>
    </cfRule>
    <cfRule type="expression" dxfId="401" priority="855">
      <formula>N257="Ongoing"</formula>
    </cfRule>
  </conditionalFormatting>
  <conditionalFormatting sqref="N261">
    <cfRule type="expression" dxfId="400" priority="861">
      <formula>N261="Hold"</formula>
    </cfRule>
    <cfRule type="expression" dxfId="399" priority="864">
      <formula>N261="Completed"</formula>
    </cfRule>
    <cfRule type="expression" dxfId="398" priority="863">
      <formula>N261="Ongoing"</formula>
    </cfRule>
    <cfRule type="expression" dxfId="397" priority="862">
      <formula>N261="Planned"</formula>
    </cfRule>
  </conditionalFormatting>
  <conditionalFormatting sqref="N264:N266">
    <cfRule type="expression" dxfId="396" priority="841">
      <formula>N264="Hold"</formula>
    </cfRule>
    <cfRule type="expression" dxfId="395" priority="842">
      <formula>N264="Planned"</formula>
    </cfRule>
    <cfRule type="expression" dxfId="394" priority="843">
      <formula>N264="Ongoing"</formula>
    </cfRule>
    <cfRule type="expression" dxfId="393" priority="844">
      <formula>N264="Completed"</formula>
    </cfRule>
  </conditionalFormatting>
  <conditionalFormatting sqref="N270:N273">
    <cfRule type="expression" dxfId="392" priority="845">
      <formula>N270="Hold"</formula>
    </cfRule>
    <cfRule type="expression" dxfId="391" priority="846">
      <formula>N270="Planned"</formula>
    </cfRule>
    <cfRule type="expression" dxfId="390" priority="847">
      <formula>N270="Ongoing"</formula>
    </cfRule>
    <cfRule type="expression" dxfId="389" priority="848">
      <formula>N270="Completed"</formula>
    </cfRule>
  </conditionalFormatting>
  <conditionalFormatting sqref="N275:N281">
    <cfRule type="expression" dxfId="388" priority="849">
      <formula>N275="Hold"</formula>
    </cfRule>
    <cfRule type="expression" dxfId="387" priority="850">
      <formula>N275="Planned"</formula>
    </cfRule>
    <cfRule type="expression" dxfId="386" priority="851">
      <formula>N275="Ongoing"</formula>
    </cfRule>
    <cfRule type="expression" dxfId="385" priority="852">
      <formula>N275="Completed"</formula>
    </cfRule>
  </conditionalFormatting>
  <conditionalFormatting sqref="N284:N286">
    <cfRule type="expression" dxfId="384" priority="818">
      <formula>N284="Planned"</formula>
    </cfRule>
    <cfRule type="expression" dxfId="383" priority="820">
      <formula>N284="Completed"</formula>
    </cfRule>
    <cfRule type="expression" dxfId="382" priority="819">
      <formula>N284="Ongoing"</formula>
    </cfRule>
    <cfRule type="expression" dxfId="381" priority="817">
      <formula>N284="Hold"</formula>
    </cfRule>
  </conditionalFormatting>
  <conditionalFormatting sqref="N288">
    <cfRule type="expression" dxfId="380" priority="810">
      <formula>N288="Planned"</formula>
    </cfRule>
    <cfRule type="expression" dxfId="379" priority="809">
      <formula>N288="Hold"</formula>
    </cfRule>
    <cfRule type="expression" dxfId="378" priority="812">
      <formula>N288="Completed"</formula>
    </cfRule>
    <cfRule type="expression" dxfId="377" priority="811">
      <formula>N288="Ongoing"</formula>
    </cfRule>
  </conditionalFormatting>
  <conditionalFormatting sqref="N290">
    <cfRule type="expression" dxfId="376" priority="805">
      <formula>N290="Hold"</formula>
    </cfRule>
    <cfRule type="expression" dxfId="375" priority="806">
      <formula>N290="Planned"</formula>
    </cfRule>
    <cfRule type="expression" dxfId="374" priority="807">
      <formula>N290="Ongoing"</formula>
    </cfRule>
    <cfRule type="expression" dxfId="373" priority="808">
      <formula>N290="Completed"</formula>
    </cfRule>
  </conditionalFormatting>
  <conditionalFormatting sqref="N294">
    <cfRule type="expression" dxfId="372" priority="814">
      <formula>N294="Planned"</formula>
    </cfRule>
    <cfRule type="expression" dxfId="371" priority="815">
      <formula>N294="Ongoing"</formula>
    </cfRule>
    <cfRule type="expression" dxfId="370" priority="816">
      <formula>N294="Completed"</formula>
    </cfRule>
    <cfRule type="expression" dxfId="369" priority="813">
      <formula>N294="Hold"</formula>
    </cfRule>
  </conditionalFormatting>
  <conditionalFormatting sqref="N301">
    <cfRule type="expression" dxfId="368" priority="800">
      <formula>N301="Completed"</formula>
    </cfRule>
    <cfRule type="expression" dxfId="367" priority="798">
      <formula>N301="Planned"</formula>
    </cfRule>
    <cfRule type="expression" dxfId="366" priority="797">
      <formula>N301="Hold"</formula>
    </cfRule>
    <cfRule type="expression" dxfId="365" priority="799">
      <formula>N301="Ongoing"</formula>
    </cfRule>
  </conditionalFormatting>
  <conditionalFormatting sqref="N312">
    <cfRule type="expression" dxfId="364" priority="796">
      <formula>N312="Completed"</formula>
    </cfRule>
    <cfRule type="expression" dxfId="363" priority="795">
      <formula>N312="Ongoing"</formula>
    </cfRule>
    <cfRule type="expression" dxfId="362" priority="794">
      <formula>N312="Planned"</formula>
    </cfRule>
    <cfRule type="expression" dxfId="361" priority="793">
      <formula>N312="Hold"</formula>
    </cfRule>
  </conditionalFormatting>
  <conditionalFormatting sqref="N324">
    <cfRule type="expression" dxfId="360" priority="802">
      <formula>N324="Planned"</formula>
    </cfRule>
    <cfRule type="expression" dxfId="359" priority="801">
      <formula>N324="Hold"</formula>
    </cfRule>
    <cfRule type="expression" dxfId="358" priority="804">
      <formula>N324="Completed"</formula>
    </cfRule>
    <cfRule type="expression" dxfId="357" priority="803">
      <formula>N324="Ongoing"</formula>
    </cfRule>
  </conditionalFormatting>
  <conditionalFormatting sqref="N329">
    <cfRule type="expression" dxfId="356" priority="754">
      <formula>N329="Planned"</formula>
    </cfRule>
    <cfRule type="expression" dxfId="355" priority="756">
      <formula>N329="Completed"</formula>
    </cfRule>
    <cfRule type="expression" dxfId="354" priority="755">
      <formula>N329="Ongoing"</formula>
    </cfRule>
    <cfRule type="expression" dxfId="353" priority="753">
      <formula>N329="Hold"</formula>
    </cfRule>
  </conditionalFormatting>
  <conditionalFormatting sqref="N331">
    <cfRule type="expression" dxfId="352" priority="749">
      <formula>N331="Hold"</formula>
    </cfRule>
    <cfRule type="expression" dxfId="351" priority="752">
      <formula>N331="Completed"</formula>
    </cfRule>
    <cfRule type="expression" dxfId="350" priority="751">
      <formula>N331="Ongoing"</formula>
    </cfRule>
    <cfRule type="expression" dxfId="349" priority="750">
      <formula>N331="Planned"</formula>
    </cfRule>
  </conditionalFormatting>
  <conditionalFormatting sqref="N333">
    <cfRule type="expression" dxfId="348" priority="747">
      <formula>N333="Ongoing"</formula>
    </cfRule>
    <cfRule type="expression" dxfId="347" priority="745">
      <formula>N333="Hold"</formula>
    </cfRule>
    <cfRule type="expression" dxfId="346" priority="746">
      <formula>N333="Planned"</formula>
    </cfRule>
    <cfRule type="expression" dxfId="345" priority="748">
      <formula>N333="Completed"</formula>
    </cfRule>
  </conditionalFormatting>
  <conditionalFormatting sqref="N335">
    <cfRule type="expression" dxfId="344" priority="732">
      <formula>N335="Completed"</formula>
    </cfRule>
    <cfRule type="expression" dxfId="343" priority="729">
      <formula>N335="Hold"</formula>
    </cfRule>
    <cfRule type="expression" dxfId="342" priority="730">
      <formula>N335="Planned"</formula>
    </cfRule>
    <cfRule type="expression" dxfId="341" priority="731">
      <formula>N335="Ongoing"</formula>
    </cfRule>
  </conditionalFormatting>
  <conditionalFormatting sqref="N337:N339">
    <cfRule type="expression" dxfId="340" priority="727">
      <formula>N337="Ongoing"</formula>
    </cfRule>
    <cfRule type="expression" dxfId="339" priority="726">
      <formula>N337="Planned"</formula>
    </cfRule>
    <cfRule type="expression" dxfId="338" priority="728">
      <formula>N337="Completed"</formula>
    </cfRule>
    <cfRule type="expression" dxfId="337" priority="725">
      <formula>N337="Hold"</formula>
    </cfRule>
  </conditionalFormatting>
  <conditionalFormatting sqref="N346">
    <cfRule type="expression" dxfId="336" priority="740">
      <formula>N346="Completed"</formula>
    </cfRule>
    <cfRule type="expression" dxfId="335" priority="738">
      <formula>N346="Planned"</formula>
    </cfRule>
    <cfRule type="expression" dxfId="334" priority="737">
      <formula>N346="Hold"</formula>
    </cfRule>
    <cfRule type="expression" dxfId="333" priority="739">
      <formula>N346="Ongoing"</formula>
    </cfRule>
  </conditionalFormatting>
  <conditionalFormatting sqref="N350:N353 N356">
    <cfRule type="expression" dxfId="332" priority="757">
      <formula>N350="Hold"</formula>
    </cfRule>
    <cfRule type="expression" dxfId="331" priority="758">
      <formula>N350="Planned"</formula>
    </cfRule>
    <cfRule type="expression" dxfId="330" priority="759">
      <formula>N350="Ongoing"</formula>
    </cfRule>
    <cfRule type="expression" dxfId="329" priority="760">
      <formula>N350="Completed"</formula>
    </cfRule>
  </conditionalFormatting>
  <conditionalFormatting sqref="N362:N363">
    <cfRule type="expression" dxfId="328" priority="735">
      <formula>N362="Ongoing"</formula>
    </cfRule>
    <cfRule type="expression" dxfId="327" priority="733">
      <formula>N362="Hold"</formula>
    </cfRule>
    <cfRule type="expression" dxfId="326" priority="734">
      <formula>N362="Planned"</formula>
    </cfRule>
    <cfRule type="expression" dxfId="325" priority="736">
      <formula>N362="Completed"</formula>
    </cfRule>
  </conditionalFormatting>
  <conditionalFormatting sqref="N365">
    <cfRule type="expression" dxfId="324" priority="744">
      <formula>N365="Completed"</formula>
    </cfRule>
    <cfRule type="expression" dxfId="323" priority="743">
      <formula>N365="Ongoing"</formula>
    </cfRule>
    <cfRule type="expression" dxfId="322" priority="742">
      <formula>N365="Planned"</formula>
    </cfRule>
    <cfRule type="expression" dxfId="321" priority="741">
      <formula>N365="Hold"</formula>
    </cfRule>
  </conditionalFormatting>
  <conditionalFormatting sqref="N370:N374">
    <cfRule type="expression" dxfId="320" priority="713">
      <formula>N370="Hold"</formula>
    </cfRule>
    <cfRule type="expression" dxfId="319" priority="714">
      <formula>N370="Planned"</formula>
    </cfRule>
    <cfRule type="expression" dxfId="318" priority="716">
      <formula>N370="Completed"</formula>
    </cfRule>
    <cfRule type="expression" dxfId="317" priority="715">
      <formula>N370="Ongoing"</formula>
    </cfRule>
  </conditionalFormatting>
  <conditionalFormatting sqref="N376:N383">
    <cfRule type="expression" dxfId="316" priority="646">
      <formula>N376="Planned"</formula>
    </cfRule>
    <cfRule type="expression" dxfId="315" priority="648">
      <formula>N376="Completed"</formula>
    </cfRule>
    <cfRule type="expression" dxfId="314" priority="647">
      <formula>N376="Ongoing"</formula>
    </cfRule>
    <cfRule type="expression" dxfId="313" priority="645">
      <formula>N376="Hold"</formula>
    </cfRule>
  </conditionalFormatting>
  <conditionalFormatting sqref="N385">
    <cfRule type="expression" dxfId="312" priority="700">
      <formula>N385="Completed"</formula>
    </cfRule>
    <cfRule type="expression" dxfId="311" priority="699">
      <formula>N385="Ongoing"</formula>
    </cfRule>
    <cfRule type="expression" dxfId="310" priority="698">
      <formula>N385="Planned"</formula>
    </cfRule>
    <cfRule type="expression" dxfId="309" priority="697">
      <formula>N385="Hold"</formula>
    </cfRule>
  </conditionalFormatting>
  <conditionalFormatting sqref="N387:N391">
    <cfRule type="expression" dxfId="308" priority="652">
      <formula>N387="Completed"</formula>
    </cfRule>
    <cfRule type="expression" dxfId="307" priority="649">
      <formula>N387="Hold"</formula>
    </cfRule>
    <cfRule type="expression" dxfId="306" priority="651">
      <formula>N387="Ongoing"</formula>
    </cfRule>
    <cfRule type="expression" dxfId="305" priority="650">
      <formula>N387="Planned"</formula>
    </cfRule>
  </conditionalFormatting>
  <conditionalFormatting sqref="N393">
    <cfRule type="expression" dxfId="304" priority="692">
      <formula>N393="Completed"</formula>
    </cfRule>
    <cfRule type="expression" dxfId="303" priority="691">
      <formula>N393="Ongoing"</formula>
    </cfRule>
    <cfRule type="expression" dxfId="302" priority="690">
      <formula>N393="Planned"</formula>
    </cfRule>
    <cfRule type="expression" dxfId="301" priority="689">
      <formula>N393="Hold"</formula>
    </cfRule>
  </conditionalFormatting>
  <conditionalFormatting sqref="N395:N396">
    <cfRule type="expression" dxfId="300" priority="676">
      <formula>N395="Completed"</formula>
    </cfRule>
    <cfRule type="expression" dxfId="299" priority="674">
      <formula>N395="Planned"</formula>
    </cfRule>
    <cfRule type="expression" dxfId="298" priority="675">
      <formula>N395="Ongoing"</formula>
    </cfRule>
    <cfRule type="expression" dxfId="297" priority="673">
      <formula>N395="Hold"</formula>
    </cfRule>
  </conditionalFormatting>
  <conditionalFormatting sqref="N398">
    <cfRule type="expression" dxfId="296" priority="669">
      <formula>N398="Hold"</formula>
    </cfRule>
    <cfRule type="expression" dxfId="295" priority="670">
      <formula>N398="Planned"</formula>
    </cfRule>
    <cfRule type="expression" dxfId="294" priority="671">
      <formula>N398="Ongoing"</formula>
    </cfRule>
    <cfRule type="expression" dxfId="293" priority="672">
      <formula>N398="Completed"</formula>
    </cfRule>
  </conditionalFormatting>
  <conditionalFormatting sqref="N400">
    <cfRule type="expression" dxfId="292" priority="665">
      <formula>N400="Hold"</formula>
    </cfRule>
    <cfRule type="expression" dxfId="291" priority="668">
      <formula>N400="Completed"</formula>
    </cfRule>
    <cfRule type="expression" dxfId="290" priority="667">
      <formula>N400="Ongoing"</formula>
    </cfRule>
    <cfRule type="expression" dxfId="289" priority="666">
      <formula>N400="Planned"</formula>
    </cfRule>
  </conditionalFormatting>
  <conditionalFormatting sqref="N402:N404">
    <cfRule type="expression" dxfId="288" priority="659">
      <formula>N402="Ongoing"</formula>
    </cfRule>
    <cfRule type="expression" dxfId="287" priority="657">
      <formula>N402="Hold"</formula>
    </cfRule>
    <cfRule type="expression" dxfId="286" priority="658">
      <formula>N402="Planned"</formula>
    </cfRule>
    <cfRule type="expression" dxfId="285" priority="660">
      <formula>N402="Completed"</formula>
    </cfRule>
  </conditionalFormatting>
  <conditionalFormatting sqref="N406:N412">
    <cfRule type="expression" dxfId="284" priority="644">
      <formula>N406="Completed"</formula>
    </cfRule>
    <cfRule type="expression" dxfId="283" priority="641">
      <formula>N406="Hold"</formula>
    </cfRule>
    <cfRule type="expression" dxfId="282" priority="642">
      <formula>N406="Planned"</formula>
    </cfRule>
    <cfRule type="expression" dxfId="281" priority="643">
      <formula>N406="Ongoing"</formula>
    </cfRule>
  </conditionalFormatting>
  <conditionalFormatting sqref="N414:N417 N420:N422">
    <cfRule type="expression" dxfId="280" priority="619">
      <formula>N414="Ongoing"</formula>
    </cfRule>
    <cfRule type="expression" dxfId="279" priority="620">
      <formula>N414="Completed"</formula>
    </cfRule>
    <cfRule type="expression" dxfId="278" priority="617">
      <formula>N414="Hold"</formula>
    </cfRule>
    <cfRule type="expression" dxfId="277" priority="618">
      <formula>N414="Planned"</formula>
    </cfRule>
  </conditionalFormatting>
  <conditionalFormatting sqref="N424">
    <cfRule type="expression" dxfId="276" priority="637">
      <formula>N424="Hold"</formula>
    </cfRule>
    <cfRule type="expression" dxfId="275" priority="639">
      <formula>N424="Ongoing"</formula>
    </cfRule>
    <cfRule type="expression" dxfId="274" priority="638">
      <formula>N424="Planned"</formula>
    </cfRule>
    <cfRule type="expression" dxfId="273" priority="640">
      <formula>N424="Completed"</formula>
    </cfRule>
  </conditionalFormatting>
  <conditionalFormatting sqref="N429">
    <cfRule type="expression" dxfId="272" priority="611">
      <formula>N429="Ongoing"</formula>
    </cfRule>
    <cfRule type="expression" dxfId="271" priority="612">
      <formula>N429="Completed"</formula>
    </cfRule>
    <cfRule type="expression" dxfId="270" priority="609">
      <formula>N429="Hold"</formula>
    </cfRule>
    <cfRule type="expression" dxfId="269" priority="610">
      <formula>N429="Planned"</formula>
    </cfRule>
  </conditionalFormatting>
  <conditionalFormatting sqref="N431:N432">
    <cfRule type="expression" dxfId="268" priority="633">
      <formula>N431="Hold"</formula>
    </cfRule>
    <cfRule type="expression" dxfId="267" priority="636">
      <formula>N431="Completed"</formula>
    </cfRule>
    <cfRule type="expression" dxfId="266" priority="635">
      <formula>N431="Ongoing"</formula>
    </cfRule>
    <cfRule type="expression" dxfId="265" priority="634">
      <formula>N431="Planned"</formula>
    </cfRule>
  </conditionalFormatting>
  <conditionalFormatting sqref="N434">
    <cfRule type="expression" dxfId="264" priority="629">
      <formula>N434="Hold"</formula>
    </cfRule>
    <cfRule type="expression" dxfId="263" priority="630">
      <formula>N434="Planned"</formula>
    </cfRule>
    <cfRule type="expression" dxfId="262" priority="631">
      <formula>N434="Ongoing"</formula>
    </cfRule>
    <cfRule type="expression" dxfId="261" priority="632">
      <formula>N434="Completed"</formula>
    </cfRule>
  </conditionalFormatting>
  <conditionalFormatting sqref="N436">
    <cfRule type="expression" dxfId="260" priority="625">
      <formula>N436="Hold"</formula>
    </cfRule>
    <cfRule type="expression" dxfId="259" priority="626">
      <formula>N436="Planned"</formula>
    </cfRule>
    <cfRule type="expression" dxfId="258" priority="628">
      <formula>N436="Completed"</formula>
    </cfRule>
    <cfRule type="expression" dxfId="257" priority="627">
      <formula>N436="Ongoing"</formula>
    </cfRule>
  </conditionalFormatting>
  <conditionalFormatting sqref="N438 N440">
    <cfRule type="expression" dxfId="256" priority="623">
      <formula>N438="Ongoing"</formula>
    </cfRule>
    <cfRule type="expression" dxfId="255" priority="622">
      <formula>N438="Planned"</formula>
    </cfRule>
    <cfRule type="expression" dxfId="254" priority="624">
      <formula>N438="Completed"</formula>
    </cfRule>
    <cfRule type="expression" dxfId="253" priority="621">
      <formula>N438="Hold"</formula>
    </cfRule>
  </conditionalFormatting>
  <conditionalFormatting sqref="N442:N449">
    <cfRule type="expression" dxfId="252" priority="616">
      <formula>N442="Completed"</formula>
    </cfRule>
    <cfRule type="expression" dxfId="251" priority="615">
      <formula>N442="Ongoing"</formula>
    </cfRule>
    <cfRule type="expression" dxfId="250" priority="614">
      <formula>N442="Planned"</formula>
    </cfRule>
    <cfRule type="expression" dxfId="249" priority="613">
      <formula>N442="Hold"</formula>
    </cfRule>
  </conditionalFormatting>
  <conditionalFormatting sqref="N451:N452">
    <cfRule type="expression" dxfId="248" priority="569">
      <formula>N451="Hold"</formula>
    </cfRule>
    <cfRule type="expression" dxfId="247" priority="570">
      <formula>N451="Planned"</formula>
    </cfRule>
    <cfRule type="expression" dxfId="246" priority="571">
      <formula>N451="Ongoing"</formula>
    </cfRule>
    <cfRule type="expression" dxfId="245" priority="572">
      <formula>N451="Completed"</formula>
    </cfRule>
  </conditionalFormatting>
  <conditionalFormatting sqref="N454:N457">
    <cfRule type="expression" dxfId="244" priority="561">
      <formula>N454="Hold"</formula>
    </cfRule>
    <cfRule type="expression" dxfId="243" priority="562">
      <formula>N454="Planned"</formula>
    </cfRule>
    <cfRule type="expression" dxfId="242" priority="564">
      <formula>N454="Completed"</formula>
    </cfRule>
    <cfRule type="expression" dxfId="241" priority="563">
      <formula>N454="Ongoing"</formula>
    </cfRule>
  </conditionalFormatting>
  <conditionalFormatting sqref="N460:N461">
    <cfRule type="expression" dxfId="240" priority="560">
      <formula>N460="Completed"</formula>
    </cfRule>
    <cfRule type="expression" dxfId="239" priority="559">
      <formula>N460="Ongoing"</formula>
    </cfRule>
    <cfRule type="expression" dxfId="238" priority="558">
      <formula>N460="Planned"</formula>
    </cfRule>
    <cfRule type="expression" dxfId="237" priority="557">
      <formula>N460="Hold"</formula>
    </cfRule>
  </conditionalFormatting>
  <conditionalFormatting sqref="N463">
    <cfRule type="expression" dxfId="236" priority="565">
      <formula>N463="Hold"</formula>
    </cfRule>
    <cfRule type="expression" dxfId="235" priority="566">
      <formula>N463="Planned"</formula>
    </cfRule>
    <cfRule type="expression" dxfId="234" priority="567">
      <formula>N463="Ongoing"</formula>
    </cfRule>
    <cfRule type="expression" dxfId="233" priority="568">
      <formula>N463="Completed"</formula>
    </cfRule>
  </conditionalFormatting>
  <conditionalFormatting sqref="N465:N466">
    <cfRule type="expression" dxfId="232" priority="555">
      <formula>N465="Ongoing"</formula>
    </cfRule>
    <cfRule type="expression" dxfId="231" priority="556">
      <formula>N465="Completed"</formula>
    </cfRule>
    <cfRule type="expression" dxfId="230" priority="553">
      <formula>N465="Hold"</formula>
    </cfRule>
    <cfRule type="expression" dxfId="229" priority="554">
      <formula>N465="Planned"</formula>
    </cfRule>
  </conditionalFormatting>
  <conditionalFormatting sqref="N468">
    <cfRule type="expression" dxfId="228" priority="579">
      <formula>N468="Ongoing"</formula>
    </cfRule>
    <cfRule type="expression" dxfId="227" priority="578">
      <formula>N468="Planned"</formula>
    </cfRule>
    <cfRule type="expression" dxfId="226" priority="580">
      <formula>N468="Completed"</formula>
    </cfRule>
    <cfRule type="expression" dxfId="225" priority="577">
      <formula>N468="Hold"</formula>
    </cfRule>
  </conditionalFormatting>
  <conditionalFormatting sqref="N470 N473">
    <cfRule type="expression" dxfId="224" priority="573">
      <formula>N470="Hold"</formula>
    </cfRule>
    <cfRule type="expression" dxfId="223" priority="576">
      <formula>N470="Completed"</formula>
    </cfRule>
    <cfRule type="expression" dxfId="222" priority="575">
      <formula>N470="Ongoing"</formula>
    </cfRule>
    <cfRule type="expression" dxfId="221" priority="574">
      <formula>N470="Planned"</formula>
    </cfRule>
  </conditionalFormatting>
  <conditionalFormatting sqref="N475:N480">
    <cfRule type="expression" dxfId="220" priority="549">
      <formula>N475="Hold"</formula>
    </cfRule>
    <cfRule type="expression" dxfId="219" priority="552">
      <formula>N475="Completed"</formula>
    </cfRule>
    <cfRule type="expression" dxfId="218" priority="551">
      <formula>N475="Ongoing"</formula>
    </cfRule>
    <cfRule type="expression" dxfId="217" priority="550">
      <formula>N475="Planned"</formula>
    </cfRule>
  </conditionalFormatting>
  <conditionalFormatting sqref="N483">
    <cfRule type="expression" dxfId="216" priority="521">
      <formula>N483="Hold"</formula>
    </cfRule>
    <cfRule type="expression" dxfId="215" priority="524">
      <formula>N483="Completed"</formula>
    </cfRule>
    <cfRule type="expression" dxfId="214" priority="523">
      <formula>N483="Ongoing"</formula>
    </cfRule>
    <cfRule type="expression" dxfId="213" priority="522">
      <formula>N483="Planned"</formula>
    </cfRule>
  </conditionalFormatting>
  <conditionalFormatting sqref="N485:N488">
    <cfRule type="expression" dxfId="212" priority="493">
      <formula>N485="Hold"</formula>
    </cfRule>
    <cfRule type="expression" dxfId="211" priority="494">
      <formula>N485="Planned"</formula>
    </cfRule>
    <cfRule type="expression" dxfId="210" priority="495">
      <formula>N485="Ongoing"</formula>
    </cfRule>
    <cfRule type="expression" dxfId="209" priority="496">
      <formula>N485="Completed"</formula>
    </cfRule>
  </conditionalFormatting>
  <conditionalFormatting sqref="N490">
    <cfRule type="expression" dxfId="208" priority="489">
      <formula>N490="Hold"</formula>
    </cfRule>
    <cfRule type="expression" dxfId="207" priority="490">
      <formula>N490="Planned"</formula>
    </cfRule>
    <cfRule type="expression" dxfId="206" priority="491">
      <formula>N490="Ongoing"</formula>
    </cfRule>
    <cfRule type="expression" dxfId="205" priority="492">
      <formula>N490="Completed"</formula>
    </cfRule>
  </conditionalFormatting>
  <conditionalFormatting sqref="N492">
    <cfRule type="expression" dxfId="204" priority="485">
      <formula>N492="Hold"</formula>
    </cfRule>
    <cfRule type="expression" dxfId="203" priority="486">
      <formula>N492="Planned"</formula>
    </cfRule>
    <cfRule type="expression" dxfId="202" priority="487">
      <formula>N492="Ongoing"</formula>
    </cfRule>
    <cfRule type="expression" dxfId="201" priority="488">
      <formula>N492="Completed"</formula>
    </cfRule>
  </conditionalFormatting>
  <conditionalFormatting sqref="N494:N495">
    <cfRule type="expression" dxfId="200" priority="505">
      <formula>N494="Hold"</formula>
    </cfRule>
    <cfRule type="expression" dxfId="199" priority="508">
      <formula>N494="Completed"</formula>
    </cfRule>
    <cfRule type="expression" dxfId="198" priority="507">
      <formula>N494="Ongoing"</formula>
    </cfRule>
    <cfRule type="expression" dxfId="197" priority="506">
      <formula>N494="Planned"</formula>
    </cfRule>
  </conditionalFormatting>
  <conditionalFormatting sqref="N498">
    <cfRule type="expression" dxfId="196" priority="510">
      <formula>N498="Planned"</formula>
    </cfRule>
    <cfRule type="expression" dxfId="195" priority="509">
      <formula>N498="Hold"</formula>
    </cfRule>
    <cfRule type="expression" dxfId="194" priority="511">
      <formula>N498="Ongoing"</formula>
    </cfRule>
    <cfRule type="expression" dxfId="193" priority="512">
      <formula>N498="Completed"</formula>
    </cfRule>
  </conditionalFormatting>
  <conditionalFormatting sqref="N500">
    <cfRule type="expression" dxfId="192" priority="500">
      <formula>N500="Completed"</formula>
    </cfRule>
    <cfRule type="expression" dxfId="191" priority="499">
      <formula>N500="Ongoing"</formula>
    </cfRule>
    <cfRule type="expression" dxfId="190" priority="498">
      <formula>N500="Planned"</formula>
    </cfRule>
    <cfRule type="expression" dxfId="189" priority="497">
      <formula>N500="Hold"</formula>
    </cfRule>
  </conditionalFormatting>
  <conditionalFormatting sqref="N502:N504">
    <cfRule type="expression" dxfId="188" priority="501">
      <formula>N502="Hold"</formula>
    </cfRule>
    <cfRule type="expression" dxfId="187" priority="502">
      <formula>N502="Planned"</formula>
    </cfRule>
    <cfRule type="expression" dxfId="186" priority="503">
      <formula>N502="Ongoing"</formula>
    </cfRule>
    <cfRule type="expression" dxfId="185" priority="504">
      <formula>N502="Completed"</formula>
    </cfRule>
  </conditionalFormatting>
  <conditionalFormatting sqref="N507">
    <cfRule type="expression" dxfId="184" priority="517">
      <formula>N507="Hold"</formula>
    </cfRule>
    <cfRule type="expression" dxfId="183" priority="518">
      <formula>N507="Planned"</formula>
    </cfRule>
    <cfRule type="expression" dxfId="182" priority="519">
      <formula>N507="Ongoing"</formula>
    </cfRule>
    <cfRule type="expression" dxfId="181" priority="520">
      <formula>N507="Completed"</formula>
    </cfRule>
  </conditionalFormatting>
  <conditionalFormatting sqref="N509 N512">
    <cfRule type="expression" dxfId="180" priority="516">
      <formula>N509="Completed"</formula>
    </cfRule>
    <cfRule type="expression" dxfId="179" priority="515">
      <formula>N509="Ongoing"</formula>
    </cfRule>
    <cfRule type="expression" dxfId="178" priority="513">
      <formula>N509="Hold"</formula>
    </cfRule>
    <cfRule type="expression" dxfId="177" priority="514">
      <formula>N509="Planned"</formula>
    </cfRule>
  </conditionalFormatting>
  <conditionalFormatting sqref="N514:N515">
    <cfRule type="expression" dxfId="176" priority="460">
      <formula>N514="Completed"</formula>
    </cfRule>
    <cfRule type="expression" dxfId="175" priority="459">
      <formula>N514="Ongoing"</formula>
    </cfRule>
    <cfRule type="expression" dxfId="174" priority="458">
      <formula>N514="Planned"</formula>
    </cfRule>
    <cfRule type="expression" dxfId="173" priority="457">
      <formula>N514="Hold"</formula>
    </cfRule>
  </conditionalFormatting>
  <conditionalFormatting sqref="N519:N522">
    <cfRule type="expression" dxfId="172" priority="447">
      <formula>N519="Ongoing"</formula>
    </cfRule>
    <cfRule type="expression" dxfId="171" priority="446">
      <formula>N519="Planned"</formula>
    </cfRule>
    <cfRule type="expression" dxfId="170" priority="445">
      <formula>N519="Hold"</formula>
    </cfRule>
    <cfRule type="expression" dxfId="169" priority="448">
      <formula>N519="Completed"</formula>
    </cfRule>
  </conditionalFormatting>
  <conditionalFormatting sqref="N533">
    <cfRule type="expression" dxfId="168" priority="454">
      <formula>N533="Planned"</formula>
    </cfRule>
    <cfRule type="expression" dxfId="167" priority="453">
      <formula>N533="Hold"</formula>
    </cfRule>
    <cfRule type="expression" dxfId="166" priority="456">
      <formula>N533="Completed"</formula>
    </cfRule>
    <cfRule type="expression" dxfId="165" priority="455">
      <formula>N533="Ongoing"</formula>
    </cfRule>
  </conditionalFormatting>
  <conditionalFormatting sqref="N535 N537">
    <cfRule type="expression" dxfId="164" priority="449">
      <formula>N535="Hold"</formula>
    </cfRule>
    <cfRule type="expression" dxfId="163" priority="451">
      <formula>N535="Ongoing"</formula>
    </cfRule>
    <cfRule type="expression" dxfId="162" priority="450">
      <formula>N535="Planned"</formula>
    </cfRule>
    <cfRule type="expression" dxfId="161" priority="452">
      <formula>N535="Completed"</formula>
    </cfRule>
  </conditionalFormatting>
  <conditionalFormatting sqref="N539:N544">
    <cfRule type="expression" dxfId="160" priority="424">
      <formula>N539="Completed"</formula>
    </cfRule>
    <cfRule type="expression" dxfId="159" priority="423">
      <formula>N539="Ongoing"</formula>
    </cfRule>
    <cfRule type="expression" dxfId="158" priority="422">
      <formula>N539="Planned"</formula>
    </cfRule>
    <cfRule type="expression" dxfId="157" priority="421">
      <formula>N539="Hold"</formula>
    </cfRule>
  </conditionalFormatting>
  <conditionalFormatting sqref="N548:N552 N554:N555">
    <cfRule type="expression" dxfId="156" priority="418">
      <formula>N548="Planned"</formula>
    </cfRule>
    <cfRule type="expression" dxfId="155" priority="420">
      <formula>N548="Completed"</formula>
    </cfRule>
    <cfRule type="expression" dxfId="154" priority="417">
      <formula>N548="Hold"</formula>
    </cfRule>
    <cfRule type="expression" dxfId="153" priority="419">
      <formula>N548="Ongoing"</formula>
    </cfRule>
  </conditionalFormatting>
  <conditionalFormatting sqref="N575:N579">
    <cfRule type="expression" dxfId="152" priority="401">
      <formula>N575="Hold"</formula>
    </cfRule>
    <cfRule type="expression" dxfId="151" priority="404">
      <formula>N575="Completed"</formula>
    </cfRule>
    <cfRule type="expression" dxfId="150" priority="403">
      <formula>N575="Ongoing"</formula>
    </cfRule>
    <cfRule type="expression" dxfId="149" priority="402">
      <formula>N575="Planned"</formula>
    </cfRule>
  </conditionalFormatting>
  <conditionalFormatting sqref="N584 N587 N591:N592">
    <cfRule type="expression" dxfId="148" priority="400">
      <formula>N584="Completed"</formula>
    </cfRule>
    <cfRule type="expression" dxfId="147" priority="397">
      <formula>N584="Hold"</formula>
    </cfRule>
    <cfRule type="expression" dxfId="146" priority="399">
      <formula>N584="Ongoing"</formula>
    </cfRule>
    <cfRule type="expression" dxfId="145" priority="398">
      <formula>N584="Planned"</formula>
    </cfRule>
  </conditionalFormatting>
  <conditionalFormatting sqref="N612:N616">
    <cfRule type="expression" dxfId="144" priority="381">
      <formula>N612="Hold"</formula>
    </cfRule>
    <cfRule type="expression" dxfId="143" priority="382">
      <formula>N612="Planned"</formula>
    </cfRule>
    <cfRule type="expression" dxfId="142" priority="383">
      <formula>N612="Ongoing"</formula>
    </cfRule>
    <cfRule type="expression" dxfId="141" priority="384">
      <formula>N612="Completed"</formula>
    </cfRule>
  </conditionalFormatting>
  <conditionalFormatting sqref="N621 N627">
    <cfRule type="expression" dxfId="140" priority="377">
      <formula>N621="Hold"</formula>
    </cfRule>
    <cfRule type="expression" dxfId="139" priority="378">
      <formula>N621="Planned"</formula>
    </cfRule>
    <cfRule type="expression" dxfId="138" priority="379">
      <formula>N621="Ongoing"</formula>
    </cfRule>
    <cfRule type="expression" dxfId="137" priority="380">
      <formula>N621="Completed"</formula>
    </cfRule>
  </conditionalFormatting>
  <conditionalFormatting sqref="N649:N651">
    <cfRule type="expression" dxfId="136" priority="361">
      <formula>N649="Hold"</formula>
    </cfRule>
    <cfRule type="expression" dxfId="135" priority="364">
      <formula>N649="Completed"</formula>
    </cfRule>
    <cfRule type="expression" dxfId="134" priority="362">
      <formula>N649="Planned"</formula>
    </cfRule>
    <cfRule type="expression" dxfId="133" priority="363">
      <formula>N649="Ongoing"</formula>
    </cfRule>
  </conditionalFormatting>
  <conditionalFormatting sqref="N656 N660">
    <cfRule type="expression" dxfId="132" priority="358">
      <formula>N656="Planned"</formula>
    </cfRule>
    <cfRule type="expression" dxfId="131" priority="357">
      <formula>N656="Hold"</formula>
    </cfRule>
    <cfRule type="expression" dxfId="130" priority="359">
      <formula>N656="Ongoing"</formula>
    </cfRule>
    <cfRule type="expression" dxfId="129" priority="360">
      <formula>N656="Completed"</formula>
    </cfRule>
  </conditionalFormatting>
  <conditionalFormatting sqref="N680:N682">
    <cfRule type="expression" dxfId="128" priority="344">
      <formula>N680="Completed"</formula>
    </cfRule>
    <cfRule type="expression" dxfId="127" priority="341">
      <formula>N680="Hold"</formula>
    </cfRule>
    <cfRule type="expression" dxfId="126" priority="342">
      <formula>N680="Planned"</formula>
    </cfRule>
    <cfRule type="expression" dxfId="125" priority="343">
      <formula>N680="Ongoing"</formula>
    </cfRule>
  </conditionalFormatting>
  <conditionalFormatting sqref="N687">
    <cfRule type="expression" dxfId="124" priority="337">
      <formula>N687="Hold"</formula>
    </cfRule>
    <cfRule type="expression" dxfId="123" priority="340">
      <formula>N687="Completed"</formula>
    </cfRule>
    <cfRule type="expression" dxfId="122" priority="338">
      <formula>N687="Planned"</formula>
    </cfRule>
    <cfRule type="expression" dxfId="121" priority="339">
      <formula>N687="Ongoing"</formula>
    </cfRule>
  </conditionalFormatting>
  <conditionalFormatting sqref="N690:N696">
    <cfRule type="expression" dxfId="120" priority="336">
      <formula>N690="Completed"</formula>
    </cfRule>
    <cfRule type="expression" dxfId="119" priority="335">
      <formula>N690="Ongoing"</formula>
    </cfRule>
    <cfRule type="expression" dxfId="118" priority="334">
      <formula>N690="Planned"</formula>
    </cfRule>
    <cfRule type="expression" dxfId="117" priority="333">
      <formula>N690="Hold"</formula>
    </cfRule>
  </conditionalFormatting>
  <conditionalFormatting sqref="N719">
    <cfRule type="expression" dxfId="116" priority="320">
      <formula>N719="Completed"</formula>
    </cfRule>
    <cfRule type="expression" dxfId="115" priority="318">
      <formula>N719="Planned"</formula>
    </cfRule>
    <cfRule type="expression" dxfId="114" priority="317">
      <formula>N719="Hold"</formula>
    </cfRule>
    <cfRule type="expression" dxfId="113" priority="319">
      <formula>N719="Ongoing"</formula>
    </cfRule>
  </conditionalFormatting>
  <conditionalFormatting sqref="N722:N727">
    <cfRule type="expression" dxfId="112" priority="313">
      <formula>N722="Hold"</formula>
    </cfRule>
    <cfRule type="expression" dxfId="111" priority="316">
      <formula>N722="Completed"</formula>
    </cfRule>
    <cfRule type="expression" dxfId="110" priority="315">
      <formula>N722="Ongoing"</formula>
    </cfRule>
    <cfRule type="expression" dxfId="109" priority="314">
      <formula>N722="Planned"</formula>
    </cfRule>
  </conditionalFormatting>
  <conditionalFormatting sqref="N738">
    <cfRule type="expression" dxfId="108" priority="309">
      <formula>N738="Hold"</formula>
    </cfRule>
    <cfRule type="expression" dxfId="107" priority="310">
      <formula>N738="Planned"</formula>
    </cfRule>
    <cfRule type="expression" dxfId="106" priority="312">
      <formula>N738="Completed"</formula>
    </cfRule>
    <cfRule type="expression" dxfId="105" priority="311">
      <formula>N738="Ongoing"</formula>
    </cfRule>
  </conditionalFormatting>
  <conditionalFormatting sqref="N745:N753">
    <cfRule type="expression" dxfId="104" priority="285">
      <formula>N745="Hold"</formula>
    </cfRule>
    <cfRule type="expression" dxfId="103" priority="288">
      <formula>N745="Completed"</formula>
    </cfRule>
    <cfRule type="expression" dxfId="102" priority="286">
      <formula>N745="Planned"</formula>
    </cfRule>
    <cfRule type="expression" dxfId="101" priority="287">
      <formula>N745="Ongoing"</formula>
    </cfRule>
  </conditionalFormatting>
  <conditionalFormatting sqref="N757:N762">
    <cfRule type="expression" dxfId="100" priority="282">
      <formula>N757="Planned"</formula>
    </cfRule>
    <cfRule type="expression" dxfId="99" priority="281">
      <formula>N757="Hold"</formula>
    </cfRule>
    <cfRule type="expression" dxfId="98" priority="284">
      <formula>N757="Completed"</formula>
    </cfRule>
    <cfRule type="expression" dxfId="97" priority="283">
      <formula>N757="Ongoing"</formula>
    </cfRule>
  </conditionalFormatting>
  <conditionalFormatting sqref="N776">
    <cfRule type="expression" dxfId="96" priority="280">
      <formula>N776="Completed"</formula>
    </cfRule>
    <cfRule type="expression" dxfId="95" priority="279">
      <formula>N776="Ongoing"</formula>
    </cfRule>
    <cfRule type="expression" dxfId="94" priority="278">
      <formula>N776="Planned"</formula>
    </cfRule>
    <cfRule type="expression" dxfId="93" priority="277">
      <formula>N776="Hold"</formula>
    </cfRule>
  </conditionalFormatting>
  <conditionalFormatting sqref="N798">
    <cfRule type="expression" dxfId="92" priority="264">
      <formula>N798="Completed"</formula>
    </cfRule>
    <cfRule type="expression" dxfId="91" priority="261">
      <formula>N798="Hold"</formula>
    </cfRule>
    <cfRule type="expression" dxfId="90" priority="263">
      <formula>N798="Ongoing"</formula>
    </cfRule>
    <cfRule type="expression" dxfId="89" priority="262">
      <formula>N798="Planned"</formula>
    </cfRule>
  </conditionalFormatting>
  <conditionalFormatting sqref="N811">
    <cfRule type="expression" dxfId="88" priority="267">
      <formula>N811="Ongoing"</formula>
    </cfRule>
    <cfRule type="expression" dxfId="87" priority="266">
      <formula>N811="Planned"</formula>
    </cfRule>
    <cfRule type="expression" dxfId="86" priority="265">
      <formula>N811="Hold"</formula>
    </cfRule>
    <cfRule type="expression" dxfId="85" priority="268">
      <formula>N811="Completed"</formula>
    </cfRule>
  </conditionalFormatting>
  <conditionalFormatting sqref="N838">
    <cfRule type="expression" dxfId="84" priority="252">
      <formula>N838="Completed"</formula>
    </cfRule>
    <cfRule type="expression" dxfId="83" priority="251">
      <formula>N838="Ongoing"</formula>
    </cfRule>
    <cfRule type="expression" dxfId="82" priority="250">
      <formula>N838="Planned"</formula>
    </cfRule>
    <cfRule type="expression" dxfId="81" priority="249">
      <formula>N838="Hold"</formula>
    </cfRule>
  </conditionalFormatting>
  <conditionalFormatting sqref="N864">
    <cfRule type="expression" dxfId="80" priority="240">
      <formula>N864="Completed"</formula>
    </cfRule>
    <cfRule type="expression" dxfId="79" priority="239">
      <formula>N864="Ongoing"</formula>
    </cfRule>
    <cfRule type="expression" dxfId="78" priority="238">
      <formula>N864="Planned"</formula>
    </cfRule>
    <cfRule type="expression" dxfId="77" priority="237">
      <formula>N864="Hold"</formula>
    </cfRule>
  </conditionalFormatting>
  <conditionalFormatting sqref="N892">
    <cfRule type="expression" dxfId="76" priority="226">
      <formula>N892="Planned"</formula>
    </cfRule>
    <cfRule type="expression" dxfId="75" priority="225">
      <formula>N892="Hold"</formula>
    </cfRule>
    <cfRule type="expression" dxfId="74" priority="228">
      <formula>N892="Completed"</formula>
    </cfRule>
    <cfRule type="expression" dxfId="73" priority="227">
      <formula>N892="Ongoing"</formula>
    </cfRule>
  </conditionalFormatting>
  <conditionalFormatting sqref="N922">
    <cfRule type="expression" dxfId="72" priority="214">
      <formula>N922="Planned"</formula>
    </cfRule>
    <cfRule type="expression" dxfId="71" priority="213">
      <formula>N922="Hold"</formula>
    </cfRule>
    <cfRule type="expression" dxfId="70" priority="216">
      <formula>N922="Completed"</formula>
    </cfRule>
    <cfRule type="expression" dxfId="69" priority="215">
      <formula>N922="Ongoing"</formula>
    </cfRule>
  </conditionalFormatting>
  <conditionalFormatting sqref="N956">
    <cfRule type="expression" dxfId="68" priority="204">
      <formula>N956="Completed"</formula>
    </cfRule>
    <cfRule type="expression" dxfId="67" priority="203">
      <formula>N956="Ongoing"</formula>
    </cfRule>
    <cfRule type="expression" dxfId="66" priority="202">
      <formula>N956="Planned"</formula>
    </cfRule>
    <cfRule type="expression" dxfId="65" priority="201">
      <formula>N956="Hold"</formula>
    </cfRule>
  </conditionalFormatting>
  <conditionalFormatting sqref="N991">
    <cfRule type="expression" dxfId="64" priority="189">
      <formula>N991="Hold"</formula>
    </cfRule>
    <cfRule type="expression" dxfId="63" priority="192">
      <formula>N991="Completed"</formula>
    </cfRule>
    <cfRule type="expression" dxfId="62" priority="191">
      <formula>N991="Ongoing"</formula>
    </cfRule>
    <cfRule type="expression" dxfId="61" priority="190">
      <formula>N991="Planned"</formula>
    </cfRule>
  </conditionalFormatting>
  <conditionalFormatting sqref="N1024">
    <cfRule type="expression" dxfId="60" priority="180">
      <formula>N1024="Completed"</formula>
    </cfRule>
    <cfRule type="expression" dxfId="59" priority="179">
      <formula>N1024="Ongoing"</formula>
    </cfRule>
    <cfRule type="expression" dxfId="58" priority="178">
      <formula>N1024="Planned"</formula>
    </cfRule>
    <cfRule type="expression" dxfId="57" priority="177">
      <formula>N1024="Hold"</formula>
    </cfRule>
  </conditionalFormatting>
  <conditionalFormatting sqref="N1131">
    <cfRule type="expression" dxfId="56" priority="160">
      <formula>N1131="Completed"</formula>
    </cfRule>
    <cfRule type="expression" dxfId="55" priority="159">
      <formula>N1131="Ongoing"</formula>
    </cfRule>
    <cfRule type="expression" dxfId="54" priority="158">
      <formula>N1131="Planned"</formula>
    </cfRule>
    <cfRule type="expression" dxfId="53" priority="157">
      <formula>N1131="Hold"</formula>
    </cfRule>
  </conditionalFormatting>
  <conditionalFormatting sqref="N1392">
    <cfRule type="expression" dxfId="52" priority="120">
      <formula>N1392="Completed"</formula>
    </cfRule>
    <cfRule type="expression" dxfId="51" priority="119">
      <formula>N1392="Ongoing"</formula>
    </cfRule>
    <cfRule type="expression" dxfId="50" priority="118">
      <formula>N1392="Planned"</formula>
    </cfRule>
    <cfRule type="expression" dxfId="49" priority="117">
      <formula>N1392="Hold"</formula>
    </cfRule>
  </conditionalFormatting>
  <conditionalFormatting sqref="N1394">
    <cfRule type="expression" dxfId="48" priority="113">
      <formula>N1394="Hold"</formula>
    </cfRule>
    <cfRule type="expression" dxfId="47" priority="116">
      <formula>N1394="Completed"</formula>
    </cfRule>
    <cfRule type="expression" dxfId="46" priority="115">
      <formula>N1394="Ongoing"</formula>
    </cfRule>
    <cfRule type="expression" dxfId="45" priority="114">
      <formula>N1394="Planned"</formula>
    </cfRule>
  </conditionalFormatting>
  <conditionalFormatting sqref="N1794">
    <cfRule type="expression" dxfId="44" priority="51">
      <formula>N1794="Ongoing"</formula>
    </cfRule>
    <cfRule type="expression" dxfId="43" priority="52">
      <formula>N1794="Completed"</formula>
    </cfRule>
    <cfRule type="expression" dxfId="42" priority="50">
      <formula>N1794="Planned"</formula>
    </cfRule>
    <cfRule type="expression" dxfId="41" priority="49">
      <formula>N1794="Hold"</formula>
    </cfRule>
  </conditionalFormatting>
  <conditionalFormatting sqref="N1854 N1856 N1890 N1911:N1912 N1927 N1929">
    <cfRule type="expression" dxfId="40" priority="36">
      <formula>N1854="Completed"</formula>
    </cfRule>
    <cfRule type="expression" dxfId="39" priority="35">
      <formula>N1854="Ongoing"</formula>
    </cfRule>
    <cfRule type="expression" dxfId="38" priority="34">
      <formula>N1854="Planned"</formula>
    </cfRule>
    <cfRule type="expression" dxfId="37" priority="33">
      <formula>N1854="Hold"</formula>
    </cfRule>
  </conditionalFormatting>
  <conditionalFormatting sqref="N1965 N1967">
    <cfRule type="expression" dxfId="36" priority="32">
      <formula>N1965="Completed"</formula>
    </cfRule>
    <cfRule type="expression" dxfId="35" priority="31">
      <formula>N1965="Ongoing"</formula>
    </cfRule>
    <cfRule type="expression" dxfId="34" priority="30">
      <formula>N1965="Planned"</formula>
    </cfRule>
    <cfRule type="expression" dxfId="33" priority="29">
      <formula>N1965="Hold"</formula>
    </cfRule>
  </conditionalFormatting>
  <conditionalFormatting sqref="N2002 N2004:N2008">
    <cfRule type="expression" dxfId="32" priority="28">
      <formula>N2002="Completed"</formula>
    </cfRule>
    <cfRule type="expression" dxfId="31" priority="27">
      <formula>N2002="Ongoing"</formula>
    </cfRule>
    <cfRule type="expression" dxfId="30" priority="26">
      <formula>N2002="Planned"</formula>
    </cfRule>
    <cfRule type="expression" dxfId="29" priority="25">
      <formula>N2002="Hold"</formula>
    </cfRule>
  </conditionalFormatting>
  <conditionalFormatting sqref="N2011">
    <cfRule type="expression" dxfId="28" priority="24">
      <formula>N2011="Completed"</formula>
    </cfRule>
    <cfRule type="expression" dxfId="27" priority="23">
      <formula>N2011="Ongoing"</formula>
    </cfRule>
    <cfRule type="expression" dxfId="26" priority="22">
      <formula>N2011="Planned"</formula>
    </cfRule>
    <cfRule type="expression" dxfId="25" priority="21">
      <formula>N2011="Hold"</formula>
    </cfRule>
  </conditionalFormatting>
  <conditionalFormatting sqref="N2040:N2041">
    <cfRule type="expression" dxfId="24" priority="5">
      <formula>N2040="Hold"</formula>
    </cfRule>
    <cfRule type="expression" dxfId="23" priority="8">
      <formula>N2040="Completed"</formula>
    </cfRule>
    <cfRule type="expression" dxfId="22" priority="7">
      <formula>N2040="Ongoing"</formula>
    </cfRule>
    <cfRule type="expression" dxfId="21" priority="6">
      <formula>N2040="Planned"</formula>
    </cfRule>
  </conditionalFormatting>
  <conditionalFormatting sqref="N2044">
    <cfRule type="expression" dxfId="20" priority="4">
      <formula>N2044="Completed"</formula>
    </cfRule>
    <cfRule type="expression" dxfId="19" priority="3">
      <formula>N2044="Ongoing"</formula>
    </cfRule>
    <cfRule type="expression" dxfId="18" priority="1">
      <formula>N2044="Hold"</formula>
    </cfRule>
    <cfRule type="expression" dxfId="17" priority="2">
      <formula>N2044="Planned"</formula>
    </cfRule>
  </conditionalFormatting>
  <conditionalFormatting sqref="N71:O71 N150:O179 N326:O326 N367 O379:O381">
    <cfRule type="expression" dxfId="16" priority="1228">
      <formula>N71="Completed"</formula>
    </cfRule>
    <cfRule type="expression" dxfId="15" priority="1225">
      <formula>N71="Hold"</formula>
    </cfRule>
    <cfRule type="expression" dxfId="14" priority="1226">
      <formula>N71="Planned"</formula>
    </cfRule>
    <cfRule type="expression" dxfId="13" priority="1227">
      <formula>N71="Ongoing"</formula>
    </cfRule>
  </conditionalFormatting>
  <conditionalFormatting sqref="N1854:O1048576 J2040:J2074 N8">
    <cfRule type="expression" dxfId="12" priority="1209">
      <formula>J8="Hold"</formula>
    </cfRule>
  </conditionalFormatting>
  <conditionalFormatting sqref="O1:O70 N3 N5">
    <cfRule type="expression" dxfId="11" priority="1213">
      <formula>N1="Hold"</formula>
    </cfRule>
    <cfRule type="expression" dxfId="10" priority="1214">
      <formula>N1="Planned"</formula>
    </cfRule>
    <cfRule type="expression" dxfId="9" priority="1215">
      <formula>N1="Ongoing"</formula>
    </cfRule>
    <cfRule type="expression" dxfId="8" priority="1216">
      <formula>N1="Completed"</formula>
    </cfRule>
  </conditionalFormatting>
  <conditionalFormatting sqref="O72:O149">
    <cfRule type="expression" dxfId="7" priority="1181">
      <formula>O72="Hold"</formula>
    </cfRule>
    <cfRule type="expression" dxfId="6" priority="1182">
      <formula>O72="Planned"</formula>
    </cfRule>
    <cfRule type="expression" dxfId="5" priority="1183">
      <formula>O72="Ongoing"</formula>
    </cfRule>
    <cfRule type="expression" dxfId="4" priority="1184">
      <formula>O72="Completed"</formula>
    </cfRule>
  </conditionalFormatting>
  <conditionalFormatting sqref="O180:O325 N202:N204 N227:N228 N298:N299 N306:N308 N310 N314:N317 N321 O327:O369 N344 N358:N359 O406:O782 N426:N427 N517 N530:N531 N546 N565 N582 N603:N604 N619 N640 N654 N670 N685 N708 N717 N755 N783:O785 N786:N789 O786:O1408 N791:N796 N818:N824 N826:N828 N830 N843:N846 N848:N850 N853:N855 N869:N873 N875 N879:N881 N899:N905 N909:N913 N928:N936 N940 N942:N943 N945 N961:N967 N973 N975:N979 N996:N997 N999 N1001:N1003 N1007 N1009:N1013 N1029:N1030 N1033 N1035:N1038 N1042 N1044:N1048 N1068:N1070 N1072 N1074:N1077 N1081:N1082 N1084:N1086 N1107:N1109 N1111 N1114:N1117 N1121:N1122 N1124:N1126 N1141 N1143 N1146:N1149 N1153:N1154 N1156:N1159 N1176 N1178 N1181:N1184 N1189 N1191 N1193:N1195 N1210 N1212 N1215:N1218 N1223 N1225 N1230 N1242 N1244 N1247:N1250 N1255 N1257 N1260 N1274 N1276 N1279:N1282 N1287 N1289 N1292 N1304 N1306 N1309:N1312 N1317 N1319 N1323 N1337 N1339 N1342:N1345 N1350:N1351 N1357 N1371 N1373 N1375:N1378 N1383:N1384 N1390 N1405 N1407 N1409:O1409 N1410:N1413 O1410:O1853 N1416:N1418 N1422 N1441 N1443 N1445:N1450 N1452:N1453 N1471 N1473 N1475:N1478 N1484 N1503 N1505 N1507:N1510 N1516 N1537 N1539 N1541:N1544 N1548 N1567 N1569 N1571:N1574 N1578 N1601 N1603 N1605:N1608 N1614 N1638 N1641:N1644 N1651 N1679:N1682 N1686 N1706 N1709:N1711 N1736 N1738:N1739 N1762 N1764:N1766 N1789 N1791 N1820 N1822">
    <cfRule type="expression" dxfId="3" priority="1177">
      <formula>N180="Hold"</formula>
    </cfRule>
    <cfRule type="expression" dxfId="2" priority="1178">
      <formula>N180="Planned"</formula>
    </cfRule>
    <cfRule type="expression" dxfId="1" priority="1179">
      <formula>N180="Ongoing"</formula>
    </cfRule>
    <cfRule type="expression" dxfId="0" priority="1180">
      <formula>N180="Completed"</formula>
    </cfRule>
  </conditionalFormatting>
  <dataValidations count="5">
    <dataValidation type="list" allowBlank="1" showInputMessage="1" showErrorMessage="1" sqref="A32 A107 A70 A68" xr:uid="{BC03C5BA-E099-471E-916C-0CF4175503D3}">
      <formula1>$A$12:$A$15</formula1>
    </dataValidation>
    <dataValidation type="list" allowBlank="1" showInputMessage="1" showErrorMessage="1" sqref="A12" xr:uid="{316884E2-CD69-4E6E-BABD-464763272932}">
      <formula1>$A$13:$A$16</formula1>
    </dataValidation>
    <dataValidation type="list" allowBlank="1" showInputMessage="1" showErrorMessage="1" sqref="A13:A31 A1833:A1853 A1800:A1819 A1772:A1788 A1747:A1761 A1719:A1735 A1690:A1705 A1656:A1678 A1619:A1640 A1583:A1604 A1553:A1570 A1521:A1540 A1489:A1506 A1458:A1474 A1422:A1445 A1390:A1409 A1357:A1374 A1323:A1341 A1292:A1308 A1260:A1278 A1230:A1246 A1195:A1214 A1193 A1157:A1180 A1125:A1145 A180:A1113 A108:A149 A71:A106 A33:A67 A69 A2:A11" xr:uid="{D4584E76-76D1-4CDD-A347-38C438ED169A}">
      <formula1>$A$14:$A$16</formula1>
    </dataValidation>
    <dataValidation type="list" allowBlank="1" showInputMessage="1" showErrorMessage="1" sqref="A150:A179 A1961:A1964 A2075:A1048576" xr:uid="{2B944B28-D857-4CA0-9E06-4E6B689C126F}">
      <formula1>#REF!</formula1>
    </dataValidation>
    <dataValidation type="list" allowBlank="1" showInputMessage="1" showErrorMessage="1" sqref="A1865:A1888 A1923:A1926 A1899:A1920 A1941:A1960 A1976:A2001 A2020:A2039 A2054:A2074" xr:uid="{A3CD074A-ACB8-4C20-835C-0B116C9C6FA3}">
      <formula1>$A$15:$A$17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38F8DE-4627-4C9D-9737-F6D7CD1104C8}">
          <x14:formula1>
            <xm:f>Sheet3!$C:$C</xm:f>
          </x14:formula1>
          <xm:sqref>C1961:C1964 C2002:C3945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DF55-1AA4-4CD7-B3E1-C2708E3AB6ED}">
  <dimension ref="B1:C60"/>
  <sheetViews>
    <sheetView workbookViewId="0">
      <selection activeCell="B3" sqref="B3"/>
    </sheetView>
  </sheetViews>
  <sheetFormatPr defaultRowHeight="16.95" customHeight="1" x14ac:dyDescent="0.3"/>
  <cols>
    <col min="3" max="3" width="22.44140625" customWidth="1"/>
  </cols>
  <sheetData>
    <row r="1" spans="2:3" ht="16.95" customHeight="1" thickBot="1" x14ac:dyDescent="0.35">
      <c r="B1" s="208" t="s">
        <v>1333</v>
      </c>
      <c r="C1" s="209" t="s">
        <v>1242</v>
      </c>
    </row>
    <row r="2" spans="2:3" ht="16.95" customHeight="1" thickBot="1" x14ac:dyDescent="0.35">
      <c r="B2" s="210">
        <v>140887</v>
      </c>
      <c r="C2" s="211" t="s">
        <v>1243</v>
      </c>
    </row>
    <row r="3" spans="2:3" ht="16.95" customHeight="1" thickBot="1" x14ac:dyDescent="0.35">
      <c r="B3" s="210">
        <v>140219</v>
      </c>
      <c r="C3" s="211" t="s">
        <v>1244</v>
      </c>
    </row>
    <row r="4" spans="2:3" ht="16.95" customHeight="1" thickBot="1" x14ac:dyDescent="0.35">
      <c r="B4" s="210">
        <v>142702</v>
      </c>
      <c r="C4" s="211" t="s">
        <v>1245</v>
      </c>
    </row>
    <row r="5" spans="2:3" ht="16.95" customHeight="1" thickBot="1" x14ac:dyDescent="0.35">
      <c r="B5" s="210">
        <v>142255</v>
      </c>
      <c r="C5" s="211" t="s">
        <v>1246</v>
      </c>
    </row>
    <row r="6" spans="2:3" ht="16.95" customHeight="1" thickBot="1" x14ac:dyDescent="0.35">
      <c r="B6" s="210">
        <v>142489</v>
      </c>
      <c r="C6" s="211" t="s">
        <v>1247</v>
      </c>
    </row>
    <row r="7" spans="2:3" ht="16.95" customHeight="1" thickBot="1" x14ac:dyDescent="0.35">
      <c r="B7" s="210">
        <v>141002</v>
      </c>
      <c r="C7" s="211" t="s">
        <v>1248</v>
      </c>
    </row>
    <row r="8" spans="2:3" ht="16.95" customHeight="1" thickBot="1" x14ac:dyDescent="0.35">
      <c r="B8" s="210">
        <v>142864</v>
      </c>
      <c r="C8" s="211" t="s">
        <v>1249</v>
      </c>
    </row>
    <row r="9" spans="2:3" ht="16.95" customHeight="1" thickBot="1" x14ac:dyDescent="0.35">
      <c r="B9" s="210">
        <v>140108</v>
      </c>
      <c r="C9" s="211" t="s">
        <v>1250</v>
      </c>
    </row>
    <row r="10" spans="2:3" ht="16.95" customHeight="1" thickBot="1" x14ac:dyDescent="0.35">
      <c r="B10" s="210">
        <v>143213</v>
      </c>
      <c r="C10" s="211" t="s">
        <v>1251</v>
      </c>
    </row>
    <row r="11" spans="2:3" ht="16.95" customHeight="1" thickBot="1" x14ac:dyDescent="0.35">
      <c r="B11" s="210">
        <v>142882</v>
      </c>
      <c r="C11" s="211" t="s">
        <v>1252</v>
      </c>
    </row>
    <row r="12" spans="2:3" ht="16.95" customHeight="1" thickBot="1" x14ac:dyDescent="0.35">
      <c r="B12" s="210">
        <v>140482</v>
      </c>
      <c r="C12" s="211" t="s">
        <v>1253</v>
      </c>
    </row>
    <row r="13" spans="2:3" ht="16.95" customHeight="1" thickBot="1" x14ac:dyDescent="0.35">
      <c r="B13" s="210">
        <v>143344</v>
      </c>
      <c r="C13" s="211" t="s">
        <v>1254</v>
      </c>
    </row>
    <row r="14" spans="2:3" ht="16.95" customHeight="1" thickBot="1" x14ac:dyDescent="0.35">
      <c r="B14" s="210">
        <v>141191</v>
      </c>
      <c r="C14" s="211" t="s">
        <v>1255</v>
      </c>
    </row>
    <row r="15" spans="2:3" ht="16.95" customHeight="1" thickBot="1" x14ac:dyDescent="0.35">
      <c r="B15" s="210">
        <v>142296</v>
      </c>
      <c r="C15" s="211" t="s">
        <v>1256</v>
      </c>
    </row>
    <row r="16" spans="2:3" ht="16.95" customHeight="1" thickBot="1" x14ac:dyDescent="0.35">
      <c r="B16" s="210">
        <v>142570</v>
      </c>
      <c r="C16" s="211" t="s">
        <v>1257</v>
      </c>
    </row>
    <row r="17" spans="2:3" ht="16.95" customHeight="1" thickBot="1" x14ac:dyDescent="0.35">
      <c r="B17" s="210">
        <v>143010</v>
      </c>
      <c r="C17" s="211" t="s">
        <v>1258</v>
      </c>
    </row>
    <row r="18" spans="2:3" ht="16.95" customHeight="1" thickBot="1" x14ac:dyDescent="0.35">
      <c r="B18" s="210">
        <v>142716</v>
      </c>
      <c r="C18" s="211" t="s">
        <v>1259</v>
      </c>
    </row>
    <row r="19" spans="2:3" ht="16.95" customHeight="1" thickBot="1" x14ac:dyDescent="0.35">
      <c r="B19" s="210">
        <v>142858</v>
      </c>
      <c r="C19" s="211" t="s">
        <v>1260</v>
      </c>
    </row>
    <row r="20" spans="2:3" ht="16.95" customHeight="1" thickBot="1" x14ac:dyDescent="0.35">
      <c r="B20" s="210">
        <v>143324</v>
      </c>
      <c r="C20" s="211" t="s">
        <v>1261</v>
      </c>
    </row>
    <row r="21" spans="2:3" ht="16.95" customHeight="1" thickBot="1" x14ac:dyDescent="0.35">
      <c r="B21" s="210">
        <v>142904</v>
      </c>
      <c r="C21" s="211" t="s">
        <v>1262</v>
      </c>
    </row>
    <row r="22" spans="2:3" ht="16.95" customHeight="1" thickBot="1" x14ac:dyDescent="0.35">
      <c r="B22" s="210">
        <v>142105</v>
      </c>
      <c r="C22" s="211" t="s">
        <v>1263</v>
      </c>
    </row>
    <row r="23" spans="2:3" ht="16.95" customHeight="1" thickBot="1" x14ac:dyDescent="0.35">
      <c r="B23" s="210">
        <v>140654</v>
      </c>
      <c r="C23" s="211" t="s">
        <v>1264</v>
      </c>
    </row>
    <row r="24" spans="2:3" ht="16.95" customHeight="1" thickBot="1" x14ac:dyDescent="0.35">
      <c r="B24" s="210">
        <v>140151</v>
      </c>
      <c r="C24" s="211" t="s">
        <v>1265</v>
      </c>
    </row>
    <row r="25" spans="2:3" ht="16.95" customHeight="1" thickBot="1" x14ac:dyDescent="0.35">
      <c r="B25" s="210">
        <v>142308</v>
      </c>
      <c r="C25" s="211" t="s">
        <v>1266</v>
      </c>
    </row>
    <row r="26" spans="2:3" ht="16.95" customHeight="1" thickBot="1" x14ac:dyDescent="0.35">
      <c r="B26" s="210">
        <v>142728</v>
      </c>
      <c r="C26" s="211" t="s">
        <v>1267</v>
      </c>
    </row>
    <row r="27" spans="2:3" ht="16.95" customHeight="1" thickBot="1" x14ac:dyDescent="0.35">
      <c r="B27" s="210">
        <v>142950</v>
      </c>
      <c r="C27" s="211" t="s">
        <v>1268</v>
      </c>
    </row>
    <row r="28" spans="2:3" ht="16.95" customHeight="1" thickBot="1" x14ac:dyDescent="0.35">
      <c r="B28" s="210">
        <v>142556</v>
      </c>
      <c r="C28" s="211" t="s">
        <v>1269</v>
      </c>
    </row>
    <row r="29" spans="2:3" ht="16.95" customHeight="1" thickBot="1" x14ac:dyDescent="0.35">
      <c r="B29" s="210">
        <v>142859</v>
      </c>
      <c r="C29" s="211" t="s">
        <v>1270</v>
      </c>
    </row>
    <row r="30" spans="2:3" ht="16.95" customHeight="1" thickBot="1" x14ac:dyDescent="0.35">
      <c r="B30" s="210">
        <v>141260</v>
      </c>
      <c r="C30" s="211" t="s">
        <v>1271</v>
      </c>
    </row>
    <row r="31" spans="2:3" ht="16.95" customHeight="1" thickBot="1" x14ac:dyDescent="0.35">
      <c r="B31" s="210">
        <v>140525</v>
      </c>
      <c r="C31" s="211" t="s">
        <v>1272</v>
      </c>
    </row>
    <row r="32" spans="2:3" ht="16.95" customHeight="1" thickBot="1" x14ac:dyDescent="0.35">
      <c r="B32" s="210">
        <v>141756</v>
      </c>
      <c r="C32" s="211" t="s">
        <v>1273</v>
      </c>
    </row>
    <row r="33" spans="2:3" ht="16.95" customHeight="1" thickBot="1" x14ac:dyDescent="0.35">
      <c r="B33" s="210">
        <v>142258</v>
      </c>
      <c r="C33" s="211" t="s">
        <v>1274</v>
      </c>
    </row>
    <row r="34" spans="2:3" ht="16.95" customHeight="1" thickBot="1" x14ac:dyDescent="0.35">
      <c r="B34" s="210">
        <v>141894</v>
      </c>
      <c r="C34" s="211" t="s">
        <v>1275</v>
      </c>
    </row>
    <row r="35" spans="2:3" ht="16.95" customHeight="1" thickBot="1" x14ac:dyDescent="0.35">
      <c r="B35" s="210">
        <v>142893</v>
      </c>
      <c r="C35" s="211" t="s">
        <v>1276</v>
      </c>
    </row>
    <row r="36" spans="2:3" ht="16.95" customHeight="1" thickBot="1" x14ac:dyDescent="0.35">
      <c r="B36" s="210">
        <v>141135</v>
      </c>
      <c r="C36" s="211" t="s">
        <v>1277</v>
      </c>
    </row>
    <row r="37" spans="2:3" ht="16.95" customHeight="1" thickBot="1" x14ac:dyDescent="0.35">
      <c r="B37" s="210">
        <v>142848</v>
      </c>
      <c r="C37" s="211" t="s">
        <v>1278</v>
      </c>
    </row>
    <row r="38" spans="2:3" ht="16.95" customHeight="1" thickBot="1" x14ac:dyDescent="0.35">
      <c r="B38" s="210">
        <v>142872</v>
      </c>
      <c r="C38" s="211" t="s">
        <v>1279</v>
      </c>
    </row>
    <row r="39" spans="2:3" ht="16.95" customHeight="1" thickBot="1" x14ac:dyDescent="0.35">
      <c r="B39" s="210">
        <v>142744</v>
      </c>
      <c r="C39" s="211" t="s">
        <v>1280</v>
      </c>
    </row>
    <row r="40" spans="2:3" ht="16.95" customHeight="1" thickBot="1" x14ac:dyDescent="0.35">
      <c r="B40" s="210">
        <v>142828</v>
      </c>
      <c r="C40" s="211" t="s">
        <v>1281</v>
      </c>
    </row>
    <row r="41" spans="2:3" ht="16.95" customHeight="1" thickBot="1" x14ac:dyDescent="0.35">
      <c r="B41" s="210">
        <v>141622</v>
      </c>
      <c r="C41" s="211" t="s">
        <v>1282</v>
      </c>
    </row>
    <row r="42" spans="2:3" ht="16.95" customHeight="1" thickBot="1" x14ac:dyDescent="0.35">
      <c r="B42" s="210">
        <v>142917</v>
      </c>
      <c r="C42" s="211" t="s">
        <v>1283</v>
      </c>
    </row>
    <row r="43" spans="2:3" ht="16.95" customHeight="1" thickBot="1" x14ac:dyDescent="0.35">
      <c r="B43" s="210">
        <v>141775</v>
      </c>
      <c r="C43" s="211" t="s">
        <v>1284</v>
      </c>
    </row>
    <row r="44" spans="2:3" ht="16.95" customHeight="1" thickBot="1" x14ac:dyDescent="0.35">
      <c r="B44" s="210">
        <v>143339</v>
      </c>
      <c r="C44" s="211" t="s">
        <v>1285</v>
      </c>
    </row>
    <row r="45" spans="2:3" ht="16.95" customHeight="1" thickBot="1" x14ac:dyDescent="0.35">
      <c r="B45" s="210">
        <v>142794</v>
      </c>
      <c r="C45" s="211" t="s">
        <v>1286</v>
      </c>
    </row>
    <row r="46" spans="2:3" ht="16.95" customHeight="1" thickBot="1" x14ac:dyDescent="0.35">
      <c r="B46" s="210">
        <v>142862</v>
      </c>
      <c r="C46" s="211" t="s">
        <v>1287</v>
      </c>
    </row>
    <row r="47" spans="2:3" ht="16.95" customHeight="1" thickBot="1" x14ac:dyDescent="0.35">
      <c r="B47" s="210">
        <v>142896</v>
      </c>
      <c r="C47" s="211" t="s">
        <v>1288</v>
      </c>
    </row>
    <row r="48" spans="2:3" ht="16.95" customHeight="1" thickBot="1" x14ac:dyDescent="0.35">
      <c r="B48" s="210">
        <v>140075</v>
      </c>
      <c r="C48" s="211" t="s">
        <v>1289</v>
      </c>
    </row>
    <row r="49" spans="2:3" ht="16.95" customHeight="1" thickBot="1" x14ac:dyDescent="0.35">
      <c r="B49" s="210">
        <v>141004</v>
      </c>
      <c r="C49" s="211" t="s">
        <v>1290</v>
      </c>
    </row>
    <row r="50" spans="2:3" ht="16.95" customHeight="1" thickBot="1" x14ac:dyDescent="0.35">
      <c r="B50" s="210">
        <v>141044</v>
      </c>
      <c r="C50" s="211" t="s">
        <v>1291</v>
      </c>
    </row>
    <row r="51" spans="2:3" ht="16.95" customHeight="1" thickBot="1" x14ac:dyDescent="0.35">
      <c r="B51" s="210">
        <v>140184</v>
      </c>
      <c r="C51" s="211" t="s">
        <v>1292</v>
      </c>
    </row>
    <row r="52" spans="2:3" ht="16.95" customHeight="1" thickBot="1" x14ac:dyDescent="0.35">
      <c r="B52" s="210">
        <v>142923</v>
      </c>
      <c r="C52" s="211" t="s">
        <v>1293</v>
      </c>
    </row>
    <row r="53" spans="2:3" ht="16.95" customHeight="1" thickBot="1" x14ac:dyDescent="0.35">
      <c r="B53" s="210">
        <v>142171</v>
      </c>
      <c r="C53" s="211" t="s">
        <v>1294</v>
      </c>
    </row>
    <row r="54" spans="2:3" ht="16.95" customHeight="1" thickBot="1" x14ac:dyDescent="0.35">
      <c r="B54" s="210">
        <v>141814</v>
      </c>
      <c r="C54" s="211" t="s">
        <v>1295</v>
      </c>
    </row>
    <row r="55" spans="2:3" ht="16.95" customHeight="1" thickBot="1" x14ac:dyDescent="0.35">
      <c r="B55" s="210">
        <v>141866</v>
      </c>
      <c r="C55" s="211" t="s">
        <v>1296</v>
      </c>
    </row>
    <row r="56" spans="2:3" ht="16.95" customHeight="1" thickBot="1" x14ac:dyDescent="0.35">
      <c r="B56" s="210">
        <v>140439</v>
      </c>
      <c r="C56" s="211" t="s">
        <v>1297</v>
      </c>
    </row>
    <row r="57" spans="2:3" ht="16.95" customHeight="1" thickBot="1" x14ac:dyDescent="0.35">
      <c r="B57" s="210">
        <v>142887</v>
      </c>
      <c r="C57" s="211" t="s">
        <v>1298</v>
      </c>
    </row>
    <row r="58" spans="2:3" ht="16.95" customHeight="1" thickBot="1" x14ac:dyDescent="0.35">
      <c r="B58" s="210">
        <v>140437</v>
      </c>
      <c r="C58" s="211" t="s">
        <v>1299</v>
      </c>
    </row>
    <row r="59" spans="2:3" ht="16.95" customHeight="1" x14ac:dyDescent="0.3">
      <c r="C59" s="207" t="s">
        <v>771</v>
      </c>
    </row>
    <row r="60" spans="2:3" ht="16.95" customHeight="1" x14ac:dyDescent="0.3">
      <c r="B60" s="213">
        <v>140373</v>
      </c>
      <c r="C60" s="212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C0BA40-CDDD-4018-8633-776FFEAB60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Dash Board Final</vt:lpstr>
      <vt:lpstr>Man Hours</vt:lpstr>
      <vt:lpstr>Daily_Activity_Tracker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Radhakrishnan</dc:creator>
  <cp:lastModifiedBy>NEERAJ RAM</cp:lastModifiedBy>
  <dcterms:created xsi:type="dcterms:W3CDTF">2025-10-14T07:53:41Z</dcterms:created>
  <dcterms:modified xsi:type="dcterms:W3CDTF">2026-03-07T16:03:21Z</dcterms:modified>
</cp:coreProperties>
</file>